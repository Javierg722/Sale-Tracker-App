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0"/>
  <workbookPr/>
  <xr:revisionPtr revIDLastSave="0" documentId="11_D6D107894DAE36A564610FCC2BC7E04A1E493FA9" xr6:coauthVersionLast="47" xr6:coauthVersionMax="47" xr10:uidLastSave="{00000000-0000-0000-0000-000000000000}"/>
  <bookViews>
    <workbookView xWindow="0" yWindow="0" windowWidth="0" windowHeight="0" xr2:uid="{00000000-000D-0000-FFFF-FFFF00000000}"/>
  </bookViews>
  <sheets>
    <sheet name="Wash Sale Tracker" sheetId="1" r:id="rId1"/>
    <sheet name="Wash Basis Adjustments" sheetId="2" r:id="rId2"/>
    <sheet name="Setup &amp; Notes" sheetId="3" r:id="rId3"/>
    <sheet name="Reference Lists" sheetId="4" r:id="rId4"/>
  </sheets>
  <calcPr calcId="191028"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91" i="2" l="1"/>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M18" i="1"/>
  <c r="I18" i="1"/>
  <c r="J18" i="1"/>
  <c r="N18" i="1"/>
  <c r="O18" i="1"/>
  <c r="T18" i="1"/>
  <c r="K18" i="1"/>
  <c r="Z18" i="1"/>
  <c r="M19" i="1"/>
  <c r="I19" i="1"/>
  <c r="J19" i="1"/>
  <c r="N19" i="1"/>
  <c r="O19" i="1"/>
  <c r="T19" i="1"/>
  <c r="K19" i="1"/>
  <c r="Z19" i="1"/>
  <c r="M20" i="1"/>
  <c r="I20" i="1"/>
  <c r="J20" i="1"/>
  <c r="N20" i="1"/>
  <c r="O20" i="1"/>
  <c r="T20" i="1"/>
  <c r="K20" i="1"/>
  <c r="Z20" i="1"/>
  <c r="M21" i="1"/>
  <c r="I21" i="1"/>
  <c r="J21" i="1"/>
  <c r="N21" i="1"/>
  <c r="O21" i="1"/>
  <c r="T21" i="1"/>
  <c r="K21" i="1"/>
  <c r="Z21" i="1"/>
  <c r="M22" i="1"/>
  <c r="I22" i="1"/>
  <c r="J22" i="1"/>
  <c r="N22" i="1"/>
  <c r="O22" i="1"/>
  <c r="T22" i="1"/>
  <c r="K22" i="1"/>
  <c r="Z22" i="1"/>
  <c r="M23" i="1"/>
  <c r="I23" i="1"/>
  <c r="J23" i="1"/>
  <c r="N23" i="1"/>
  <c r="O23" i="1"/>
  <c r="T23" i="1"/>
  <c r="K23" i="1"/>
  <c r="Z23" i="1"/>
  <c r="M24" i="1"/>
  <c r="I24" i="1"/>
  <c r="J24" i="1"/>
  <c r="N24" i="1"/>
  <c r="O24" i="1"/>
  <c r="T24" i="1"/>
  <c r="K24" i="1"/>
  <c r="Z24" i="1"/>
  <c r="M25" i="1"/>
  <c r="I25" i="1"/>
  <c r="J25" i="1"/>
  <c r="N25" i="1"/>
  <c r="O25" i="1"/>
  <c r="T25" i="1"/>
  <c r="K25" i="1"/>
  <c r="Z25" i="1"/>
  <c r="M26" i="1"/>
  <c r="I26" i="1"/>
  <c r="J26" i="1"/>
  <c r="N26" i="1"/>
  <c r="O26" i="1"/>
  <c r="T26" i="1"/>
  <c r="K26" i="1"/>
  <c r="Z26" i="1"/>
  <c r="M27" i="1"/>
  <c r="I27" i="1"/>
  <c r="J27" i="1"/>
  <c r="N27" i="1"/>
  <c r="L27" i="1"/>
  <c r="L18" i="1"/>
  <c r="L19" i="1"/>
  <c r="L20" i="1"/>
  <c r="L21" i="1"/>
  <c r="L22" i="1"/>
  <c r="L23" i="1"/>
  <c r="L24" i="1"/>
  <c r="L25" i="1"/>
  <c r="L26"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O27" i="1"/>
  <c r="T27" i="1"/>
  <c r="K27" i="1"/>
  <c r="Z27" i="1"/>
  <c r="M28" i="1"/>
  <c r="I28" i="1"/>
  <c r="J28" i="1"/>
  <c r="N28" i="1"/>
  <c r="O28" i="1"/>
  <c r="T28" i="1"/>
  <c r="K28" i="1"/>
  <c r="Z28" i="1"/>
  <c r="M29" i="1"/>
  <c r="I29" i="1"/>
  <c r="J29" i="1"/>
  <c r="N29" i="1"/>
  <c r="O29" i="1"/>
  <c r="T29" i="1"/>
  <c r="K29" i="1"/>
  <c r="Z29" i="1"/>
  <c r="M30" i="1"/>
  <c r="I30" i="1"/>
  <c r="J30" i="1"/>
  <c r="N30" i="1"/>
  <c r="O30" i="1"/>
  <c r="T30" i="1"/>
  <c r="K30" i="1"/>
  <c r="Z30" i="1"/>
  <c r="M31" i="1"/>
  <c r="I31" i="1"/>
  <c r="J31" i="1"/>
  <c r="N31" i="1"/>
  <c r="O31" i="1"/>
  <c r="T31" i="1"/>
  <c r="K31" i="1"/>
  <c r="Z31" i="1"/>
  <c r="M32" i="1"/>
  <c r="I32" i="1"/>
  <c r="J32" i="1"/>
  <c r="N32" i="1"/>
  <c r="O32" i="1"/>
  <c r="T32" i="1"/>
  <c r="K32" i="1"/>
  <c r="Z32" i="1"/>
  <c r="M33" i="1"/>
  <c r="I33" i="1"/>
  <c r="J33" i="1"/>
  <c r="N33" i="1"/>
  <c r="O33" i="1"/>
  <c r="T33" i="1"/>
  <c r="K33" i="1"/>
  <c r="Z33" i="1"/>
  <c r="M34" i="1"/>
  <c r="I34" i="1"/>
  <c r="J34" i="1"/>
  <c r="N34" i="1"/>
  <c r="O34" i="1"/>
  <c r="T34" i="1"/>
  <c r="K34" i="1"/>
  <c r="Z34" i="1"/>
  <c r="M35" i="1"/>
  <c r="I35" i="1"/>
  <c r="J35" i="1"/>
  <c r="N35" i="1"/>
  <c r="O35" i="1"/>
  <c r="T35" i="1"/>
  <c r="K35" i="1"/>
  <c r="Z35" i="1"/>
  <c r="M36" i="1"/>
  <c r="I36" i="1"/>
  <c r="J36" i="1"/>
  <c r="N36" i="1"/>
  <c r="O36" i="1"/>
  <c r="T36" i="1"/>
  <c r="K36" i="1"/>
  <c r="Z36" i="1"/>
  <c r="M37" i="1"/>
  <c r="I37" i="1"/>
  <c r="J37" i="1"/>
  <c r="N37" i="1"/>
  <c r="O37" i="1"/>
  <c r="T37" i="1"/>
  <c r="K37" i="1"/>
  <c r="Z37" i="1"/>
  <c r="M38" i="1"/>
  <c r="I38" i="1"/>
  <c r="J38" i="1"/>
  <c r="N38" i="1"/>
  <c r="O38" i="1"/>
  <c r="T38" i="1"/>
  <c r="K38" i="1"/>
  <c r="Z38" i="1"/>
  <c r="M39" i="1"/>
  <c r="I39" i="1"/>
  <c r="J39" i="1"/>
  <c r="N39" i="1"/>
  <c r="O39" i="1"/>
  <c r="T39" i="1"/>
  <c r="K39" i="1"/>
  <c r="Z39" i="1"/>
  <c r="M40" i="1"/>
  <c r="I40" i="1"/>
  <c r="J40" i="1"/>
  <c r="N40" i="1"/>
  <c r="O40" i="1"/>
  <c r="T40" i="1"/>
  <c r="K40" i="1"/>
  <c r="Z40" i="1"/>
  <c r="K41" i="1"/>
  <c r="Z41" i="1"/>
  <c r="K42" i="1"/>
  <c r="Z42" i="1"/>
  <c r="K43" i="1"/>
  <c r="Z43" i="1"/>
  <c r="K44" i="1"/>
  <c r="Z44" i="1"/>
  <c r="K45" i="1"/>
  <c r="Z45" i="1"/>
  <c r="K46" i="1"/>
  <c r="Z46" i="1"/>
  <c r="K47" i="1"/>
  <c r="Z47" i="1"/>
  <c r="K48" i="1"/>
  <c r="Z48" i="1"/>
  <c r="K49" i="1"/>
  <c r="Z49" i="1"/>
  <c r="K50" i="1"/>
  <c r="Z50" i="1"/>
  <c r="K51" i="1"/>
  <c r="Z51" i="1"/>
  <c r="K52" i="1"/>
  <c r="Z52" i="1"/>
  <c r="K53" i="1"/>
  <c r="Z53" i="1"/>
  <c r="K54" i="1"/>
  <c r="Z54" i="1"/>
  <c r="K55" i="1"/>
  <c r="Z55" i="1"/>
  <c r="K56" i="1"/>
  <c r="Z56" i="1"/>
  <c r="K57" i="1"/>
  <c r="Z57" i="1"/>
  <c r="K58" i="1"/>
  <c r="Z58" i="1"/>
  <c r="K59" i="1"/>
  <c r="Z59" i="1"/>
  <c r="K60" i="1"/>
  <c r="Z60" i="1"/>
  <c r="K61" i="1"/>
  <c r="Z61" i="1"/>
  <c r="K62" i="1"/>
  <c r="Z62" i="1"/>
  <c r="K63" i="1"/>
  <c r="Z63" i="1"/>
  <c r="K64" i="1"/>
  <c r="Z64" i="1"/>
  <c r="K65" i="1"/>
  <c r="Z65" i="1"/>
  <c r="K66" i="1"/>
  <c r="Z66" i="1"/>
  <c r="K67" i="1"/>
  <c r="Z67" i="1"/>
  <c r="K68" i="1"/>
  <c r="Z68" i="1"/>
  <c r="K69" i="1"/>
  <c r="Z69" i="1"/>
  <c r="K70" i="1"/>
  <c r="Z70" i="1"/>
  <c r="K71" i="1"/>
  <c r="Z71" i="1"/>
  <c r="K72" i="1"/>
  <c r="Z72" i="1"/>
  <c r="K73" i="1"/>
  <c r="Z73" i="1"/>
  <c r="K74" i="1"/>
  <c r="Z74" i="1"/>
  <c r="K75" i="1"/>
  <c r="Z75" i="1"/>
  <c r="K76" i="1"/>
  <c r="Z76" i="1"/>
  <c r="K77" i="1"/>
  <c r="Z77" i="1"/>
  <c r="K78" i="1"/>
  <c r="Z78" i="1"/>
  <c r="K79" i="1"/>
  <c r="Z79" i="1"/>
  <c r="K80" i="1"/>
  <c r="Z80" i="1"/>
  <c r="K81" i="1"/>
  <c r="Z81" i="1"/>
  <c r="K82" i="1"/>
  <c r="Z82" i="1"/>
  <c r="K83" i="1"/>
  <c r="Z83" i="1"/>
  <c r="K84" i="1"/>
  <c r="Z84" i="1"/>
  <c r="K85" i="1"/>
  <c r="Z85" i="1"/>
  <c r="K86" i="1"/>
  <c r="Z86" i="1"/>
  <c r="K87" i="1"/>
  <c r="Z87" i="1"/>
  <c r="K88" i="1"/>
  <c r="Z88" i="1"/>
  <c r="K89" i="1"/>
  <c r="Z89" i="1"/>
  <c r="K90" i="1"/>
  <c r="Z90" i="1"/>
  <c r="K91" i="1"/>
  <c r="Z91" i="1"/>
  <c r="K92" i="1"/>
  <c r="Z92" i="1"/>
  <c r="K93" i="1"/>
  <c r="Z93" i="1"/>
  <c r="K94" i="1"/>
  <c r="Z94" i="1"/>
  <c r="K95" i="1"/>
  <c r="Z95" i="1"/>
  <c r="K96" i="1"/>
  <c r="Z96" i="1"/>
  <c r="K97" i="1"/>
  <c r="Z97" i="1"/>
  <c r="K98" i="1"/>
  <c r="Z98" i="1"/>
  <c r="K99" i="1"/>
  <c r="Z99" i="1"/>
  <c r="K100"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K301" i="1"/>
  <c r="Z301" i="1"/>
  <c r="K302" i="1"/>
  <c r="Z302" i="1"/>
  <c r="K303" i="1"/>
  <c r="Z303" i="1"/>
  <c r="K304" i="1"/>
  <c r="Z304" i="1"/>
  <c r="K305" i="1"/>
  <c r="Z305" i="1"/>
  <c r="K306" i="1"/>
  <c r="Z306" i="1"/>
  <c r="K307" i="1"/>
  <c r="Z307" i="1"/>
  <c r="K308" i="1"/>
  <c r="Z308" i="1"/>
  <c r="K309" i="1"/>
  <c r="Z309" i="1"/>
  <c r="K310" i="1"/>
  <c r="Z310" i="1"/>
  <c r="K311" i="1"/>
  <c r="Z311" i="1"/>
  <c r="K312" i="1"/>
  <c r="Z312" i="1"/>
  <c r="K313" i="1"/>
  <c r="Z313" i="1"/>
  <c r="K314" i="1"/>
  <c r="Z314" i="1"/>
  <c r="K315" i="1"/>
  <c r="Z315" i="1"/>
  <c r="K316" i="1"/>
  <c r="Z316" i="1"/>
  <c r="K317" i="1"/>
  <c r="Z317" i="1"/>
  <c r="K318" i="1"/>
  <c r="Z318" i="1"/>
  <c r="K319" i="1"/>
  <c r="Z319" i="1"/>
  <c r="K320" i="1"/>
  <c r="Z320" i="1"/>
  <c r="K321" i="1"/>
  <c r="Z321" i="1"/>
  <c r="K322" i="1"/>
  <c r="Z322" i="1"/>
  <c r="K323" i="1"/>
  <c r="Z323" i="1"/>
  <c r="K324" i="1"/>
  <c r="Z324" i="1"/>
  <c r="K325" i="1"/>
  <c r="Z325" i="1"/>
  <c r="K326" i="1"/>
  <c r="Z326" i="1"/>
  <c r="K327" i="1"/>
  <c r="Z327" i="1"/>
  <c r="K328" i="1"/>
  <c r="Z328" i="1"/>
  <c r="K329" i="1"/>
  <c r="Z329" i="1"/>
  <c r="K330" i="1"/>
  <c r="Z330" i="1"/>
  <c r="K331" i="1"/>
  <c r="Z331" i="1"/>
  <c r="K332" i="1"/>
  <c r="Z332" i="1"/>
  <c r="K333" i="1"/>
  <c r="Z333" i="1"/>
  <c r="K334" i="1"/>
  <c r="Z334" i="1"/>
  <c r="K335" i="1"/>
  <c r="Z335" i="1"/>
  <c r="K336" i="1"/>
  <c r="Z336" i="1"/>
  <c r="K337" i="1"/>
  <c r="Z337" i="1"/>
  <c r="K338" i="1"/>
  <c r="Z338" i="1"/>
  <c r="K339" i="1"/>
  <c r="Z339" i="1"/>
  <c r="K340" i="1"/>
  <c r="Z340" i="1"/>
  <c r="K341" i="1"/>
  <c r="Z341" i="1"/>
  <c r="K342" i="1"/>
  <c r="Z342" i="1"/>
  <c r="K343" i="1"/>
  <c r="Z343" i="1"/>
  <c r="K344" i="1"/>
  <c r="Z344" i="1"/>
  <c r="K345" i="1"/>
  <c r="Z345" i="1"/>
  <c r="K346" i="1"/>
  <c r="Z346" i="1"/>
  <c r="K347" i="1"/>
  <c r="Z347" i="1"/>
  <c r="K348" i="1"/>
  <c r="Z348" i="1"/>
  <c r="K349" i="1"/>
  <c r="Z349" i="1"/>
  <c r="K350" i="1"/>
  <c r="Z350" i="1"/>
  <c r="K351" i="1"/>
  <c r="Z351" i="1"/>
  <c r="K352" i="1"/>
  <c r="Z352" i="1"/>
  <c r="K353" i="1"/>
  <c r="Z353" i="1"/>
  <c r="K354" i="1"/>
  <c r="Z354" i="1"/>
  <c r="K355" i="1"/>
  <c r="Z355" i="1"/>
  <c r="K356" i="1"/>
  <c r="Z356" i="1"/>
  <c r="K357" i="1"/>
  <c r="Z357" i="1"/>
  <c r="K358" i="1"/>
  <c r="Z358" i="1"/>
  <c r="K359" i="1"/>
  <c r="Z359" i="1"/>
  <c r="K360" i="1"/>
  <c r="Z360" i="1"/>
  <c r="K361" i="1"/>
  <c r="Z361" i="1"/>
  <c r="K362" i="1"/>
  <c r="Z362" i="1"/>
  <c r="K363" i="1"/>
  <c r="Z363" i="1"/>
  <c r="K364" i="1"/>
  <c r="Z364" i="1"/>
  <c r="K365" i="1"/>
  <c r="Z365" i="1"/>
  <c r="K366" i="1"/>
  <c r="Z366" i="1"/>
  <c r="K367" i="1"/>
  <c r="Z367" i="1"/>
  <c r="K368" i="1"/>
  <c r="Z368" i="1"/>
  <c r="K369" i="1"/>
  <c r="Z369" i="1"/>
  <c r="K370" i="1"/>
  <c r="Z370" i="1"/>
  <c r="K371" i="1"/>
  <c r="Z371" i="1"/>
  <c r="K372" i="1"/>
  <c r="Z372" i="1"/>
  <c r="K373" i="1"/>
  <c r="Z373" i="1"/>
  <c r="K374" i="1"/>
  <c r="Z374" i="1"/>
  <c r="K375" i="1"/>
  <c r="Z375" i="1"/>
  <c r="K376" i="1"/>
  <c r="Z376" i="1"/>
  <c r="K377" i="1"/>
  <c r="Z377" i="1"/>
  <c r="K378" i="1"/>
  <c r="Z378" i="1"/>
  <c r="Z379" i="1"/>
  <c r="Z380" i="1"/>
  <c r="M381" i="1"/>
  <c r="I381" i="1"/>
  <c r="J381" i="1"/>
  <c r="N381" i="1"/>
  <c r="O381" i="1"/>
  <c r="T381" i="1"/>
  <c r="K381" i="1"/>
  <c r="Z381" i="1"/>
  <c r="M382" i="1"/>
  <c r="I382" i="1"/>
  <c r="J382" i="1"/>
  <c r="N382" i="1"/>
  <c r="O382" i="1"/>
  <c r="T382" i="1"/>
  <c r="K382" i="1"/>
  <c r="Z382" i="1"/>
  <c r="M383" i="1"/>
  <c r="I383" i="1"/>
  <c r="J383" i="1"/>
  <c r="N383" i="1"/>
  <c r="O383" i="1"/>
  <c r="T383" i="1"/>
  <c r="K383" i="1"/>
  <c r="Z383" i="1"/>
  <c r="M384" i="1"/>
  <c r="I384" i="1"/>
  <c r="J384" i="1"/>
  <c r="N384" i="1"/>
  <c r="O384" i="1"/>
  <c r="T384" i="1"/>
  <c r="K384" i="1"/>
  <c r="Z384" i="1"/>
  <c r="M385" i="1"/>
  <c r="I385" i="1"/>
  <c r="J385" i="1"/>
  <c r="N385" i="1"/>
  <c r="O385" i="1"/>
  <c r="T385" i="1"/>
  <c r="K385" i="1"/>
  <c r="Z385" i="1"/>
  <c r="M386" i="1"/>
  <c r="I386" i="1"/>
  <c r="J386" i="1"/>
  <c r="N386" i="1"/>
  <c r="O386" i="1"/>
  <c r="T386" i="1"/>
  <c r="K386" i="1"/>
  <c r="Z386" i="1"/>
  <c r="K387" i="1"/>
  <c r="Z387" i="1"/>
  <c r="K388" i="1"/>
  <c r="Z388" i="1"/>
  <c r="K389" i="1"/>
  <c r="Z389" i="1"/>
  <c r="K390" i="1"/>
  <c r="Z390" i="1"/>
  <c r="K391" i="1"/>
  <c r="Z391" i="1"/>
  <c r="K392" i="1"/>
  <c r="Z392" i="1"/>
  <c r="K393" i="1"/>
  <c r="Z393" i="1"/>
  <c r="K394" i="1"/>
  <c r="Z394" i="1"/>
  <c r="K395" i="1"/>
  <c r="Z395" i="1"/>
  <c r="K396" i="1"/>
  <c r="Z396" i="1"/>
  <c r="K397" i="1"/>
  <c r="Z397" i="1"/>
  <c r="K398" i="1"/>
  <c r="Z398" i="1"/>
  <c r="K399" i="1"/>
  <c r="Z399" i="1"/>
  <c r="K400" i="1"/>
  <c r="Z400" i="1"/>
  <c r="K401" i="1"/>
  <c r="Z401" i="1"/>
  <c r="K402" i="1"/>
  <c r="Z402" i="1"/>
  <c r="K403" i="1"/>
  <c r="Z403" i="1"/>
  <c r="K404" i="1"/>
  <c r="Z404" i="1"/>
  <c r="K405" i="1"/>
  <c r="Z405" i="1"/>
  <c r="K406" i="1"/>
  <c r="Z406" i="1"/>
  <c r="K407" i="1"/>
  <c r="Z407" i="1"/>
  <c r="K408" i="1"/>
  <c r="Z408" i="1"/>
  <c r="K409" i="1"/>
  <c r="Z409" i="1"/>
  <c r="K410" i="1"/>
  <c r="Z410" i="1"/>
  <c r="K411" i="1"/>
  <c r="Z411" i="1"/>
  <c r="K412" i="1"/>
  <c r="Z412" i="1"/>
  <c r="K413" i="1"/>
  <c r="Z413" i="1"/>
  <c r="K414" i="1"/>
  <c r="Z414" i="1"/>
  <c r="K415" i="1"/>
  <c r="Z415" i="1"/>
  <c r="K416" i="1"/>
  <c r="Z416" i="1"/>
  <c r="K417" i="1"/>
  <c r="Z417" i="1"/>
  <c r="K418" i="1"/>
  <c r="Z418" i="1"/>
  <c r="K419" i="1"/>
  <c r="Z419" i="1"/>
  <c r="K420" i="1"/>
  <c r="Z420" i="1"/>
  <c r="K421" i="1"/>
  <c r="Z421" i="1"/>
  <c r="K422" i="1"/>
  <c r="Z422" i="1"/>
  <c r="K423" i="1"/>
  <c r="Z423" i="1"/>
  <c r="K424" i="1"/>
  <c r="Z424" i="1"/>
  <c r="K425" i="1"/>
  <c r="Z425" i="1"/>
  <c r="K426" i="1"/>
  <c r="Z426" i="1"/>
  <c r="K427" i="1"/>
  <c r="Z427" i="1"/>
  <c r="K428" i="1"/>
  <c r="Z428" i="1"/>
  <c r="K429" i="1"/>
  <c r="Z429" i="1"/>
  <c r="K430" i="1"/>
  <c r="Z430" i="1"/>
  <c r="K431" i="1"/>
  <c r="Z431" i="1"/>
  <c r="K432" i="1"/>
  <c r="Z432" i="1"/>
  <c r="K433" i="1"/>
  <c r="Z433" i="1"/>
  <c r="K434" i="1"/>
  <c r="Z434" i="1"/>
  <c r="K435" i="1"/>
  <c r="Z435" i="1"/>
  <c r="K436" i="1"/>
  <c r="Z436" i="1"/>
  <c r="K437" i="1"/>
  <c r="Z437" i="1"/>
  <c r="K438" i="1"/>
  <c r="Z438" i="1"/>
  <c r="K439" i="1"/>
  <c r="Z439" i="1"/>
  <c r="K440" i="1"/>
  <c r="Z440" i="1"/>
  <c r="K441" i="1"/>
  <c r="Z441" i="1"/>
  <c r="K442" i="1"/>
  <c r="Z442" i="1"/>
  <c r="K443" i="1"/>
  <c r="Z443" i="1"/>
  <c r="K444" i="1"/>
  <c r="Z444" i="1"/>
  <c r="K445" i="1"/>
  <c r="Z445" i="1"/>
  <c r="K446" i="1"/>
  <c r="Z446" i="1"/>
  <c r="K447" i="1"/>
  <c r="Z447" i="1"/>
  <c r="K448" i="1"/>
  <c r="Z448" i="1"/>
  <c r="K449" i="1"/>
  <c r="Z449" i="1"/>
  <c r="K450" i="1"/>
  <c r="Z450" i="1"/>
  <c r="K451" i="1"/>
  <c r="Z451" i="1"/>
  <c r="K452" i="1"/>
  <c r="Z452" i="1"/>
  <c r="K453" i="1"/>
  <c r="Z453" i="1"/>
  <c r="K454" i="1"/>
  <c r="Z454" i="1"/>
  <c r="K455" i="1"/>
  <c r="Z455" i="1"/>
  <c r="K456" i="1"/>
  <c r="Z456" i="1"/>
  <c r="K457" i="1"/>
  <c r="Z457" i="1"/>
  <c r="K458" i="1"/>
  <c r="Z458" i="1"/>
  <c r="K459" i="1"/>
  <c r="Z459" i="1"/>
  <c r="K460" i="1"/>
  <c r="Z460" i="1"/>
  <c r="K461" i="1"/>
  <c r="Z461" i="1"/>
  <c r="K462" i="1"/>
  <c r="Z462" i="1"/>
  <c r="K463" i="1"/>
  <c r="Z463" i="1"/>
  <c r="K464" i="1"/>
  <c r="Z464" i="1"/>
  <c r="K465" i="1"/>
  <c r="Z465" i="1"/>
  <c r="K466" i="1"/>
  <c r="Z466" i="1"/>
  <c r="K467" i="1"/>
  <c r="Z467" i="1"/>
  <c r="K468" i="1"/>
  <c r="Z468" i="1"/>
  <c r="K469" i="1"/>
  <c r="Z469" i="1"/>
  <c r="K470" i="1"/>
  <c r="Z470" i="1"/>
  <c r="K471" i="1"/>
  <c r="Z471" i="1"/>
  <c r="K472" i="1"/>
  <c r="Z472" i="1"/>
  <c r="K473" i="1"/>
  <c r="Z473" i="1"/>
  <c r="K474" i="1"/>
  <c r="Z474" i="1"/>
  <c r="K475" i="1"/>
  <c r="Z475" i="1"/>
  <c r="K476" i="1"/>
  <c r="Z476" i="1"/>
  <c r="K477" i="1"/>
  <c r="Z477" i="1"/>
  <c r="K478" i="1"/>
  <c r="Z478" i="1"/>
  <c r="K479" i="1"/>
  <c r="Z479" i="1"/>
  <c r="K480" i="1"/>
  <c r="Z480" i="1"/>
  <c r="K481" i="1"/>
  <c r="Z481" i="1"/>
  <c r="K482" i="1"/>
  <c r="Z482" i="1"/>
  <c r="K483" i="1"/>
  <c r="Z483" i="1"/>
  <c r="K484" i="1"/>
  <c r="Z484" i="1"/>
  <c r="K485" i="1"/>
  <c r="Z485" i="1"/>
  <c r="K486" i="1"/>
  <c r="Z486" i="1"/>
  <c r="K487" i="1"/>
  <c r="Z487" i="1"/>
  <c r="K488" i="1"/>
  <c r="Z488" i="1"/>
  <c r="K489" i="1"/>
  <c r="Z489" i="1"/>
  <c r="K490" i="1"/>
  <c r="Z490" i="1"/>
  <c r="K491" i="1"/>
  <c r="Z491" i="1"/>
  <c r="K492" i="1"/>
  <c r="Z492" i="1"/>
  <c r="K493" i="1"/>
  <c r="Z493" i="1"/>
  <c r="K494" i="1"/>
  <c r="Z494" i="1"/>
  <c r="K495" i="1"/>
  <c r="Z495" i="1"/>
  <c r="K496" i="1"/>
  <c r="Z496" i="1"/>
  <c r="K497" i="1"/>
  <c r="Z497" i="1"/>
  <c r="K498" i="1"/>
  <c r="Z498" i="1"/>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I200" i="2"/>
  <c r="H200" i="2"/>
  <c r="G200" i="2"/>
  <c r="F200" i="2"/>
  <c r="E200" i="2"/>
  <c r="D200" i="2"/>
  <c r="C200" i="2"/>
  <c r="B200" i="2"/>
  <c r="I199" i="2"/>
  <c r="H199" i="2"/>
  <c r="G199" i="2"/>
  <c r="F199" i="2"/>
  <c r="E199" i="2"/>
  <c r="D199" i="2"/>
  <c r="C199" i="2"/>
  <c r="B199" i="2"/>
  <c r="I198" i="2"/>
  <c r="H198" i="2"/>
  <c r="G198" i="2"/>
  <c r="F198" i="2"/>
  <c r="E198" i="2"/>
  <c r="D198" i="2"/>
  <c r="C198" i="2"/>
  <c r="B198" i="2"/>
  <c r="I197" i="2"/>
  <c r="H197" i="2"/>
  <c r="G197" i="2"/>
  <c r="F197" i="2"/>
  <c r="E197" i="2"/>
  <c r="D197" i="2"/>
  <c r="C197" i="2"/>
  <c r="B197" i="2"/>
  <c r="I196" i="2"/>
  <c r="H196" i="2"/>
  <c r="G196" i="2"/>
  <c r="F196" i="2"/>
  <c r="E196" i="2"/>
  <c r="D196" i="2"/>
  <c r="C196" i="2"/>
  <c r="B196" i="2"/>
  <c r="I195" i="2"/>
  <c r="H195" i="2"/>
  <c r="G195" i="2"/>
  <c r="F195" i="2"/>
  <c r="E195" i="2"/>
  <c r="D195" i="2"/>
  <c r="C195" i="2"/>
  <c r="B195" i="2"/>
  <c r="I194" i="2"/>
  <c r="H194" i="2"/>
  <c r="G194" i="2"/>
  <c r="F194" i="2"/>
  <c r="E194" i="2"/>
  <c r="D194" i="2"/>
  <c r="C194" i="2"/>
  <c r="B194" i="2"/>
  <c r="I193" i="2"/>
  <c r="H193" i="2"/>
  <c r="G193" i="2"/>
  <c r="F193" i="2"/>
  <c r="E193" i="2"/>
  <c r="D193" i="2"/>
  <c r="C193" i="2"/>
  <c r="B193" i="2"/>
  <c r="I192" i="2"/>
  <c r="H192" i="2"/>
  <c r="G192" i="2"/>
  <c r="F192" i="2"/>
  <c r="E192" i="2"/>
  <c r="D192" i="2"/>
  <c r="C192" i="2"/>
  <c r="B192" i="2"/>
  <c r="I191" i="2"/>
  <c r="H191" i="2"/>
  <c r="G191" i="2"/>
  <c r="F191" i="2"/>
  <c r="E191" i="2"/>
  <c r="D191" i="2"/>
  <c r="C191" i="2"/>
  <c r="B191" i="2"/>
  <c r="I190" i="2"/>
  <c r="H190" i="2"/>
  <c r="G190" i="2"/>
  <c r="F190" i="2"/>
  <c r="E190" i="2"/>
  <c r="D190" i="2"/>
  <c r="C190" i="2"/>
  <c r="B190" i="2"/>
  <c r="I189" i="2"/>
  <c r="H189" i="2"/>
  <c r="G189" i="2"/>
  <c r="F189" i="2"/>
  <c r="E189" i="2"/>
  <c r="D189" i="2"/>
  <c r="C189" i="2"/>
  <c r="B189" i="2"/>
  <c r="I188" i="2"/>
  <c r="H188" i="2"/>
  <c r="G188" i="2"/>
  <c r="F188" i="2"/>
  <c r="E188" i="2"/>
  <c r="D188" i="2"/>
  <c r="C188" i="2"/>
  <c r="B188" i="2"/>
  <c r="I187" i="2"/>
  <c r="H187" i="2"/>
  <c r="G187" i="2"/>
  <c r="F187" i="2"/>
  <c r="E187" i="2"/>
  <c r="D187" i="2"/>
  <c r="C187" i="2"/>
  <c r="B187" i="2"/>
  <c r="I186" i="2"/>
  <c r="H186" i="2"/>
  <c r="G186" i="2"/>
  <c r="F186" i="2"/>
  <c r="E186" i="2"/>
  <c r="D186" i="2"/>
  <c r="C186" i="2"/>
  <c r="B186" i="2"/>
  <c r="I185" i="2"/>
  <c r="H185" i="2"/>
  <c r="G185" i="2"/>
  <c r="F185" i="2"/>
  <c r="E185" i="2"/>
  <c r="D185" i="2"/>
  <c r="C185" i="2"/>
  <c r="B185" i="2"/>
  <c r="I184" i="2"/>
  <c r="H184" i="2"/>
  <c r="G184" i="2"/>
  <c r="F184" i="2"/>
  <c r="E184" i="2"/>
  <c r="D184" i="2"/>
  <c r="C184" i="2"/>
  <c r="B184" i="2"/>
  <c r="I183" i="2"/>
  <c r="H183" i="2"/>
  <c r="G183" i="2"/>
  <c r="F183" i="2"/>
  <c r="E183" i="2"/>
  <c r="D183" i="2"/>
  <c r="C183" i="2"/>
  <c r="B183" i="2"/>
  <c r="I182" i="2"/>
  <c r="H182" i="2"/>
  <c r="G182" i="2"/>
  <c r="F182" i="2"/>
  <c r="E182" i="2"/>
  <c r="D182" i="2"/>
  <c r="C182" i="2"/>
  <c r="B182" i="2"/>
  <c r="I181" i="2"/>
  <c r="H181" i="2"/>
  <c r="G181" i="2"/>
  <c r="F181" i="2"/>
  <c r="E181" i="2"/>
  <c r="D181" i="2"/>
  <c r="C181" i="2"/>
  <c r="B181" i="2"/>
  <c r="I180" i="2"/>
  <c r="H180" i="2"/>
  <c r="G180" i="2"/>
  <c r="F180" i="2"/>
  <c r="E180" i="2"/>
  <c r="D180" i="2"/>
  <c r="C180" i="2"/>
  <c r="B180" i="2"/>
  <c r="I179" i="2"/>
  <c r="H179" i="2"/>
  <c r="G179" i="2"/>
  <c r="F179" i="2"/>
  <c r="E179" i="2"/>
  <c r="D179" i="2"/>
  <c r="C179" i="2"/>
  <c r="B179" i="2"/>
  <c r="I178" i="2"/>
  <c r="H178" i="2"/>
  <c r="G178" i="2"/>
  <c r="F178" i="2"/>
  <c r="E178" i="2"/>
  <c r="D178" i="2"/>
  <c r="C178" i="2"/>
  <c r="B178" i="2"/>
  <c r="I177" i="2"/>
  <c r="H177" i="2"/>
  <c r="G177" i="2"/>
  <c r="F177" i="2"/>
  <c r="E177" i="2"/>
  <c r="D177" i="2"/>
  <c r="C177" i="2"/>
  <c r="B177" i="2"/>
  <c r="I176" i="2"/>
  <c r="H176" i="2"/>
  <c r="G176" i="2"/>
  <c r="F176" i="2"/>
  <c r="E176" i="2"/>
  <c r="D176" i="2"/>
  <c r="C176" i="2"/>
  <c r="B176" i="2"/>
  <c r="I175" i="2"/>
  <c r="H175" i="2"/>
  <c r="G175" i="2"/>
  <c r="F175" i="2"/>
  <c r="E175" i="2"/>
  <c r="D175" i="2"/>
  <c r="C175" i="2"/>
  <c r="B175" i="2"/>
  <c r="I174" i="2"/>
  <c r="H174" i="2"/>
  <c r="G174" i="2"/>
  <c r="F174" i="2"/>
  <c r="E174" i="2"/>
  <c r="D174" i="2"/>
  <c r="C174" i="2"/>
  <c r="B174" i="2"/>
  <c r="I173" i="2"/>
  <c r="H173" i="2"/>
  <c r="G173" i="2"/>
  <c r="F173" i="2"/>
  <c r="E173" i="2"/>
  <c r="D173" i="2"/>
  <c r="C173" i="2"/>
  <c r="B173" i="2"/>
  <c r="I172" i="2"/>
  <c r="H172" i="2"/>
  <c r="G172" i="2"/>
  <c r="F172" i="2"/>
  <c r="E172" i="2"/>
  <c r="D172" i="2"/>
  <c r="C172" i="2"/>
  <c r="B172" i="2"/>
  <c r="I171" i="2"/>
  <c r="H171" i="2"/>
  <c r="G171" i="2"/>
  <c r="F171" i="2"/>
  <c r="E171" i="2"/>
  <c r="D171" i="2"/>
  <c r="C171" i="2"/>
  <c r="B171" i="2"/>
  <c r="I170" i="2"/>
  <c r="H170" i="2"/>
  <c r="G170" i="2"/>
  <c r="F170" i="2"/>
  <c r="E170" i="2"/>
  <c r="D170" i="2"/>
  <c r="C170" i="2"/>
  <c r="B170" i="2"/>
  <c r="I169" i="2"/>
  <c r="H169" i="2"/>
  <c r="G169" i="2"/>
  <c r="F169" i="2"/>
  <c r="E169" i="2"/>
  <c r="D169" i="2"/>
  <c r="C169" i="2"/>
  <c r="B169" i="2"/>
  <c r="I168" i="2"/>
  <c r="H168" i="2"/>
  <c r="G168" i="2"/>
  <c r="F168" i="2"/>
  <c r="E168" i="2"/>
  <c r="D168" i="2"/>
  <c r="C168" i="2"/>
  <c r="B168" i="2"/>
  <c r="I167" i="2"/>
  <c r="H167" i="2"/>
  <c r="G167" i="2"/>
  <c r="F167" i="2"/>
  <c r="E167" i="2"/>
  <c r="D167" i="2"/>
  <c r="C167" i="2"/>
  <c r="B167" i="2"/>
  <c r="I166" i="2"/>
  <c r="H166" i="2"/>
  <c r="G166" i="2"/>
  <c r="F166" i="2"/>
  <c r="E166" i="2"/>
  <c r="D166" i="2"/>
  <c r="C166" i="2"/>
  <c r="B166" i="2"/>
  <c r="I165" i="2"/>
  <c r="H165" i="2"/>
  <c r="G165" i="2"/>
  <c r="F165" i="2"/>
  <c r="E165" i="2"/>
  <c r="D165" i="2"/>
  <c r="C165" i="2"/>
  <c r="B165" i="2"/>
  <c r="I164" i="2"/>
  <c r="H164" i="2"/>
  <c r="G164" i="2"/>
  <c r="F164" i="2"/>
  <c r="E164" i="2"/>
  <c r="D164" i="2"/>
  <c r="C164" i="2"/>
  <c r="B164" i="2"/>
  <c r="I163" i="2"/>
  <c r="H163" i="2"/>
  <c r="G163" i="2"/>
  <c r="F163" i="2"/>
  <c r="E163" i="2"/>
  <c r="D163" i="2"/>
  <c r="C163" i="2"/>
  <c r="B163" i="2"/>
  <c r="I162" i="2"/>
  <c r="H162" i="2"/>
  <c r="G162" i="2"/>
  <c r="F162" i="2"/>
  <c r="E162" i="2"/>
  <c r="D162" i="2"/>
  <c r="C162" i="2"/>
  <c r="B162" i="2"/>
  <c r="I161" i="2"/>
  <c r="H161" i="2"/>
  <c r="G161" i="2"/>
  <c r="F161" i="2"/>
  <c r="E161" i="2"/>
  <c r="D161" i="2"/>
  <c r="C161" i="2"/>
  <c r="B161" i="2"/>
  <c r="I160" i="2"/>
  <c r="H160" i="2"/>
  <c r="G160" i="2"/>
  <c r="F160" i="2"/>
  <c r="E160" i="2"/>
  <c r="D160" i="2"/>
  <c r="C160" i="2"/>
  <c r="B160" i="2"/>
  <c r="I159" i="2"/>
  <c r="H159" i="2"/>
  <c r="G159" i="2"/>
  <c r="F159" i="2"/>
  <c r="E159" i="2"/>
  <c r="D159" i="2"/>
  <c r="C159" i="2"/>
  <c r="B159" i="2"/>
  <c r="I158" i="2"/>
  <c r="H158" i="2"/>
  <c r="G158" i="2"/>
  <c r="F158" i="2"/>
  <c r="E158" i="2"/>
  <c r="D158" i="2"/>
  <c r="C158" i="2"/>
  <c r="B158" i="2"/>
  <c r="I157" i="2"/>
  <c r="H157" i="2"/>
  <c r="G157" i="2"/>
  <c r="F157" i="2"/>
  <c r="E157" i="2"/>
  <c r="D157" i="2"/>
  <c r="C157" i="2"/>
  <c r="B157" i="2"/>
  <c r="I156" i="2"/>
  <c r="H156" i="2"/>
  <c r="G156" i="2"/>
  <c r="F156" i="2"/>
  <c r="E156" i="2"/>
  <c r="D156" i="2"/>
  <c r="C156" i="2"/>
  <c r="B156" i="2"/>
  <c r="I155" i="2"/>
  <c r="H155" i="2"/>
  <c r="G155" i="2"/>
  <c r="F155" i="2"/>
  <c r="E155" i="2"/>
  <c r="D155" i="2"/>
  <c r="C155" i="2"/>
  <c r="B155" i="2"/>
  <c r="I154" i="2"/>
  <c r="H154" i="2"/>
  <c r="G154" i="2"/>
  <c r="F154" i="2"/>
  <c r="E154" i="2"/>
  <c r="D154" i="2"/>
  <c r="C154" i="2"/>
  <c r="B154" i="2"/>
  <c r="I153" i="2"/>
  <c r="H153" i="2"/>
  <c r="G153" i="2"/>
  <c r="F153" i="2"/>
  <c r="E153" i="2"/>
  <c r="D153" i="2"/>
  <c r="C153" i="2"/>
  <c r="B153" i="2"/>
  <c r="I152" i="2"/>
  <c r="H152" i="2"/>
  <c r="G152" i="2"/>
  <c r="F152" i="2"/>
  <c r="E152" i="2"/>
  <c r="D152" i="2"/>
  <c r="C152" i="2"/>
  <c r="B152" i="2"/>
  <c r="I151" i="2"/>
  <c r="H151" i="2"/>
  <c r="G151" i="2"/>
  <c r="F151" i="2"/>
  <c r="E151" i="2"/>
  <c r="D151" i="2"/>
  <c r="C151" i="2"/>
  <c r="B151" i="2"/>
  <c r="I150" i="2"/>
  <c r="H150" i="2"/>
  <c r="G150" i="2"/>
  <c r="F150" i="2"/>
  <c r="E150" i="2"/>
  <c r="D150" i="2"/>
  <c r="C150" i="2"/>
  <c r="B150" i="2"/>
  <c r="I149" i="2"/>
  <c r="H149" i="2"/>
  <c r="G149" i="2"/>
  <c r="F149" i="2"/>
  <c r="E149" i="2"/>
  <c r="D149" i="2"/>
  <c r="C149" i="2"/>
  <c r="B149" i="2"/>
  <c r="I148" i="2"/>
  <c r="H148" i="2"/>
  <c r="G148" i="2"/>
  <c r="F148" i="2"/>
  <c r="E148" i="2"/>
  <c r="D148" i="2"/>
  <c r="C148" i="2"/>
  <c r="B148" i="2"/>
  <c r="I147" i="2"/>
  <c r="H147" i="2"/>
  <c r="G147" i="2"/>
  <c r="F147" i="2"/>
  <c r="E147" i="2"/>
  <c r="D147" i="2"/>
  <c r="C147" i="2"/>
  <c r="B147" i="2"/>
  <c r="I146" i="2"/>
  <c r="H146" i="2"/>
  <c r="G146" i="2"/>
  <c r="F146" i="2"/>
  <c r="E146" i="2"/>
  <c r="D146" i="2"/>
  <c r="C146" i="2"/>
  <c r="B146" i="2"/>
  <c r="I145" i="2"/>
  <c r="H145" i="2"/>
  <c r="G145" i="2"/>
  <c r="F145" i="2"/>
  <c r="E145" i="2"/>
  <c r="D145" i="2"/>
  <c r="C145" i="2"/>
  <c r="B145" i="2"/>
  <c r="I144" i="2"/>
  <c r="H144" i="2"/>
  <c r="G144" i="2"/>
  <c r="F144" i="2"/>
  <c r="E144" i="2"/>
  <c r="D144" i="2"/>
  <c r="C144" i="2"/>
  <c r="B144" i="2"/>
  <c r="I143" i="2"/>
  <c r="H143" i="2"/>
  <c r="G143" i="2"/>
  <c r="F143" i="2"/>
  <c r="E143" i="2"/>
  <c r="D143" i="2"/>
  <c r="C143" i="2"/>
  <c r="B143" i="2"/>
  <c r="I142" i="2"/>
  <c r="H142" i="2"/>
  <c r="G142" i="2"/>
  <c r="F142" i="2"/>
  <c r="E142" i="2"/>
  <c r="D142" i="2"/>
  <c r="C142" i="2"/>
  <c r="B142" i="2"/>
  <c r="I141" i="2"/>
  <c r="H141" i="2"/>
  <c r="G141" i="2"/>
  <c r="F141" i="2"/>
  <c r="E141" i="2"/>
  <c r="D141" i="2"/>
  <c r="C141" i="2"/>
  <c r="B141" i="2"/>
  <c r="I140" i="2"/>
  <c r="H140" i="2"/>
  <c r="G140" i="2"/>
  <c r="F140" i="2"/>
  <c r="E140" i="2"/>
  <c r="D140" i="2"/>
  <c r="C140" i="2"/>
  <c r="B140" i="2"/>
  <c r="I139" i="2"/>
  <c r="H139" i="2"/>
  <c r="G139" i="2"/>
  <c r="F139" i="2"/>
  <c r="E139" i="2"/>
  <c r="D139" i="2"/>
  <c r="C139" i="2"/>
  <c r="B139" i="2"/>
  <c r="I138" i="2"/>
  <c r="H138" i="2"/>
  <c r="G138" i="2"/>
  <c r="F138" i="2"/>
  <c r="E138" i="2"/>
  <c r="D138" i="2"/>
  <c r="C138" i="2"/>
  <c r="B138" i="2"/>
  <c r="I137" i="2"/>
  <c r="H137" i="2"/>
  <c r="G137" i="2"/>
  <c r="F137" i="2"/>
  <c r="E137" i="2"/>
  <c r="D137" i="2"/>
  <c r="C137" i="2"/>
  <c r="B137" i="2"/>
  <c r="I136" i="2"/>
  <c r="H136" i="2"/>
  <c r="G136" i="2"/>
  <c r="F136" i="2"/>
  <c r="E136" i="2"/>
  <c r="D136" i="2"/>
  <c r="C136" i="2"/>
  <c r="B136" i="2"/>
  <c r="I135" i="2"/>
  <c r="H135" i="2"/>
  <c r="G135" i="2"/>
  <c r="F135" i="2"/>
  <c r="E135" i="2"/>
  <c r="D135" i="2"/>
  <c r="C135" i="2"/>
  <c r="B135" i="2"/>
  <c r="I134" i="2"/>
  <c r="H134" i="2"/>
  <c r="G134" i="2"/>
  <c r="F134" i="2"/>
  <c r="E134" i="2"/>
  <c r="D134" i="2"/>
  <c r="C134" i="2"/>
  <c r="B134" i="2"/>
  <c r="I133" i="2"/>
  <c r="H133" i="2"/>
  <c r="G133" i="2"/>
  <c r="F133" i="2"/>
  <c r="E133" i="2"/>
  <c r="D133" i="2"/>
  <c r="C133" i="2"/>
  <c r="B133" i="2"/>
  <c r="I132" i="2"/>
  <c r="H132" i="2"/>
  <c r="G132" i="2"/>
  <c r="F132" i="2"/>
  <c r="E132" i="2"/>
  <c r="D132" i="2"/>
  <c r="C132" i="2"/>
  <c r="B132" i="2"/>
  <c r="I131" i="2"/>
  <c r="H131" i="2"/>
  <c r="G131" i="2"/>
  <c r="F131" i="2"/>
  <c r="E131" i="2"/>
  <c r="D131" i="2"/>
  <c r="C131" i="2"/>
  <c r="B131" i="2"/>
  <c r="I130" i="2"/>
  <c r="H130" i="2"/>
  <c r="G130" i="2"/>
  <c r="F130" i="2"/>
  <c r="E130" i="2"/>
  <c r="D130" i="2"/>
  <c r="C130" i="2"/>
  <c r="B130" i="2"/>
  <c r="I129" i="2"/>
  <c r="H129" i="2"/>
  <c r="G129" i="2"/>
  <c r="F129" i="2"/>
  <c r="E129" i="2"/>
  <c r="D129" i="2"/>
  <c r="C129" i="2"/>
  <c r="B129" i="2"/>
  <c r="I128" i="2"/>
  <c r="H128" i="2"/>
  <c r="G128" i="2"/>
  <c r="F128" i="2"/>
  <c r="E128" i="2"/>
  <c r="D128" i="2"/>
  <c r="C128" i="2"/>
  <c r="B128" i="2"/>
  <c r="I127" i="2"/>
  <c r="H127" i="2"/>
  <c r="G127" i="2"/>
  <c r="F127" i="2"/>
  <c r="E127" i="2"/>
  <c r="D127" i="2"/>
  <c r="C127" i="2"/>
  <c r="B127" i="2"/>
  <c r="I126" i="2"/>
  <c r="H126" i="2"/>
  <c r="G126" i="2"/>
  <c r="F126" i="2"/>
  <c r="E126" i="2"/>
  <c r="D126" i="2"/>
  <c r="C126" i="2"/>
  <c r="B126" i="2"/>
  <c r="I125" i="2"/>
  <c r="H125" i="2"/>
  <c r="G125" i="2"/>
  <c r="F125" i="2"/>
  <c r="E125" i="2"/>
  <c r="D125" i="2"/>
  <c r="C125" i="2"/>
  <c r="B125" i="2"/>
  <c r="I124" i="2"/>
  <c r="H124" i="2"/>
  <c r="G124" i="2"/>
  <c r="F124" i="2"/>
  <c r="E124" i="2"/>
  <c r="D124" i="2"/>
  <c r="C124" i="2"/>
  <c r="B124" i="2"/>
  <c r="I123" i="2"/>
  <c r="H123" i="2"/>
  <c r="G123" i="2"/>
  <c r="F123" i="2"/>
  <c r="E123" i="2"/>
  <c r="D123" i="2"/>
  <c r="C123" i="2"/>
  <c r="B123" i="2"/>
  <c r="I122" i="2"/>
  <c r="H122" i="2"/>
  <c r="G122" i="2"/>
  <c r="F122" i="2"/>
  <c r="E122" i="2"/>
  <c r="D122" i="2"/>
  <c r="C122" i="2"/>
  <c r="B122" i="2"/>
  <c r="I121" i="2"/>
  <c r="H121" i="2"/>
  <c r="G121" i="2"/>
  <c r="F121" i="2"/>
  <c r="E121" i="2"/>
  <c r="D121" i="2"/>
  <c r="C121" i="2"/>
  <c r="B121" i="2"/>
  <c r="I120" i="2"/>
  <c r="H120" i="2"/>
  <c r="G120" i="2"/>
  <c r="F120" i="2"/>
  <c r="E120" i="2"/>
  <c r="D120" i="2"/>
  <c r="C120" i="2"/>
  <c r="B120" i="2"/>
  <c r="I119" i="2"/>
  <c r="H119" i="2"/>
  <c r="G119" i="2"/>
  <c r="F119" i="2"/>
  <c r="E119" i="2"/>
  <c r="D119" i="2"/>
  <c r="C119" i="2"/>
  <c r="B119" i="2"/>
  <c r="I118" i="2"/>
  <c r="H118" i="2"/>
  <c r="G118" i="2"/>
  <c r="F118" i="2"/>
  <c r="E118" i="2"/>
  <c r="D118" i="2"/>
  <c r="C118" i="2"/>
  <c r="B118" i="2"/>
  <c r="I117" i="2"/>
  <c r="H117" i="2"/>
  <c r="G117" i="2"/>
  <c r="F117" i="2"/>
  <c r="E117" i="2"/>
  <c r="D117" i="2"/>
  <c r="C117" i="2"/>
  <c r="B117" i="2"/>
  <c r="I116" i="2"/>
  <c r="H116" i="2"/>
  <c r="G116" i="2"/>
  <c r="F116" i="2"/>
  <c r="E116" i="2"/>
  <c r="D116" i="2"/>
  <c r="C116" i="2"/>
  <c r="B116" i="2"/>
  <c r="I115" i="2"/>
  <c r="H115" i="2"/>
  <c r="G115" i="2"/>
  <c r="F115" i="2"/>
  <c r="E115" i="2"/>
  <c r="D115" i="2"/>
  <c r="C115" i="2"/>
  <c r="B115" i="2"/>
  <c r="I114" i="2"/>
  <c r="H114" i="2"/>
  <c r="G114" i="2"/>
  <c r="F114" i="2"/>
  <c r="E114" i="2"/>
  <c r="D114" i="2"/>
  <c r="C114" i="2"/>
  <c r="B114" i="2"/>
  <c r="I113" i="2"/>
  <c r="H113" i="2"/>
  <c r="G113" i="2"/>
  <c r="F113" i="2"/>
  <c r="E113" i="2"/>
  <c r="D113" i="2"/>
  <c r="C113" i="2"/>
  <c r="B113" i="2"/>
  <c r="I112" i="2"/>
  <c r="H112" i="2"/>
  <c r="G112" i="2"/>
  <c r="F112" i="2"/>
  <c r="E112" i="2"/>
  <c r="D112" i="2"/>
  <c r="C112" i="2"/>
  <c r="B112" i="2"/>
  <c r="I111" i="2"/>
  <c r="H111" i="2"/>
  <c r="G111" i="2"/>
  <c r="F111" i="2"/>
  <c r="E111" i="2"/>
  <c r="D111" i="2"/>
  <c r="C111" i="2"/>
  <c r="B111" i="2"/>
  <c r="I110" i="2"/>
  <c r="H110" i="2"/>
  <c r="G110" i="2"/>
  <c r="F110" i="2"/>
  <c r="E110" i="2"/>
  <c r="D110" i="2"/>
  <c r="C110" i="2"/>
  <c r="B110" i="2"/>
  <c r="I109" i="2"/>
  <c r="H109" i="2"/>
  <c r="G109" i="2"/>
  <c r="F109" i="2"/>
  <c r="E109" i="2"/>
  <c r="D109" i="2"/>
  <c r="C109" i="2"/>
  <c r="B109" i="2"/>
  <c r="I108" i="2"/>
  <c r="H108" i="2"/>
  <c r="G108" i="2"/>
  <c r="F108" i="2"/>
  <c r="E108" i="2"/>
  <c r="D108" i="2"/>
  <c r="C108" i="2"/>
  <c r="B108" i="2"/>
  <c r="I107" i="2"/>
  <c r="H107" i="2"/>
  <c r="G107" i="2"/>
  <c r="F107" i="2"/>
  <c r="E107" i="2"/>
  <c r="D107" i="2"/>
  <c r="C107" i="2"/>
  <c r="B107" i="2"/>
  <c r="I106" i="2"/>
  <c r="H106" i="2"/>
  <c r="G106" i="2"/>
  <c r="F106" i="2"/>
  <c r="E106" i="2"/>
  <c r="D106" i="2"/>
  <c r="C106" i="2"/>
  <c r="B106" i="2"/>
  <c r="I105" i="2"/>
  <c r="H105" i="2"/>
  <c r="G105" i="2"/>
  <c r="F105" i="2"/>
  <c r="E105" i="2"/>
  <c r="D105" i="2"/>
  <c r="C105" i="2"/>
  <c r="B105" i="2"/>
  <c r="I104" i="2"/>
  <c r="H104" i="2"/>
  <c r="G104" i="2"/>
  <c r="F104" i="2"/>
  <c r="E104" i="2"/>
  <c r="D104" i="2"/>
  <c r="C104" i="2"/>
  <c r="B104" i="2"/>
  <c r="I103" i="2"/>
  <c r="H103" i="2"/>
  <c r="G103" i="2"/>
  <c r="F103" i="2"/>
  <c r="E103" i="2"/>
  <c r="D103" i="2"/>
  <c r="C103" i="2"/>
  <c r="B103" i="2"/>
  <c r="I102" i="2"/>
  <c r="H102" i="2"/>
  <c r="G102" i="2"/>
  <c r="F102" i="2"/>
  <c r="E102" i="2"/>
  <c r="D102" i="2"/>
  <c r="C102" i="2"/>
  <c r="B102" i="2"/>
  <c r="I101" i="2"/>
  <c r="H101" i="2"/>
  <c r="G101" i="2"/>
  <c r="F101" i="2"/>
  <c r="E101" i="2"/>
  <c r="D101" i="2"/>
  <c r="C101" i="2"/>
  <c r="B101" i="2"/>
  <c r="I100" i="2"/>
  <c r="H100" i="2"/>
  <c r="G100" i="2"/>
  <c r="F100" i="2"/>
  <c r="E100" i="2"/>
  <c r="D100" i="2"/>
  <c r="C100" i="2"/>
  <c r="B100" i="2"/>
  <c r="A99" i="2"/>
  <c r="I99" i="2"/>
  <c r="H99" i="2"/>
  <c r="G99" i="2"/>
  <c r="F99" i="2"/>
  <c r="E99" i="2"/>
  <c r="D99" i="2"/>
  <c r="C99" i="2"/>
  <c r="B99" i="2"/>
  <c r="A98" i="2"/>
  <c r="I98" i="2"/>
  <c r="H98" i="2"/>
  <c r="G98" i="2"/>
  <c r="F98" i="2"/>
  <c r="E98" i="2"/>
  <c r="D98" i="2"/>
  <c r="C98" i="2"/>
  <c r="B98" i="2"/>
  <c r="A97" i="2"/>
  <c r="I97" i="2"/>
  <c r="H97" i="2"/>
  <c r="G97" i="2"/>
  <c r="F97" i="2"/>
  <c r="E97" i="2"/>
  <c r="D97" i="2"/>
  <c r="C97" i="2"/>
  <c r="B97" i="2"/>
  <c r="A96" i="2"/>
  <c r="I96" i="2"/>
  <c r="H96" i="2"/>
  <c r="G96" i="2"/>
  <c r="F96" i="2"/>
  <c r="E96" i="2"/>
  <c r="D96" i="2"/>
  <c r="C96" i="2"/>
  <c r="B96" i="2"/>
  <c r="A95" i="2"/>
  <c r="I95" i="2"/>
  <c r="H95" i="2"/>
  <c r="G95" i="2"/>
  <c r="F95" i="2"/>
  <c r="E95" i="2"/>
  <c r="D95" i="2"/>
  <c r="C95" i="2"/>
  <c r="B95" i="2"/>
  <c r="A94" i="2"/>
  <c r="I94" i="2"/>
  <c r="H94" i="2"/>
  <c r="G94" i="2"/>
  <c r="F94" i="2"/>
  <c r="E94" i="2"/>
  <c r="D94" i="2"/>
  <c r="C94" i="2"/>
  <c r="B94" i="2"/>
  <c r="A93" i="2"/>
  <c r="I93" i="2"/>
  <c r="H93" i="2"/>
  <c r="G93" i="2"/>
  <c r="F93" i="2"/>
  <c r="E93" i="2"/>
  <c r="D93" i="2"/>
  <c r="C93" i="2"/>
  <c r="B93" i="2"/>
  <c r="A92" i="2"/>
  <c r="I92" i="2"/>
  <c r="H92" i="2"/>
  <c r="G92" i="2"/>
  <c r="F92" i="2"/>
  <c r="E92" i="2"/>
  <c r="D92" i="2"/>
  <c r="C92" i="2"/>
  <c r="B92" i="2"/>
  <c r="A91" i="2"/>
  <c r="I91" i="2"/>
  <c r="H91" i="2"/>
  <c r="G91" i="2"/>
  <c r="F91" i="2"/>
  <c r="E91" i="2"/>
  <c r="D91" i="2"/>
  <c r="C91" i="2"/>
  <c r="B91" i="2"/>
  <c r="A90" i="2"/>
  <c r="I90" i="2"/>
  <c r="H90" i="2"/>
  <c r="G90" i="2"/>
  <c r="F90" i="2"/>
  <c r="E90" i="2"/>
  <c r="D90" i="2"/>
  <c r="C90" i="2"/>
  <c r="B90" i="2"/>
  <c r="A89" i="2"/>
  <c r="I89" i="2"/>
  <c r="H89" i="2"/>
  <c r="G89" i="2"/>
  <c r="F89" i="2"/>
  <c r="E89" i="2"/>
  <c r="D89" i="2"/>
  <c r="C89" i="2"/>
  <c r="B89" i="2"/>
  <c r="A88" i="2"/>
  <c r="I88" i="2"/>
  <c r="H88" i="2"/>
  <c r="G88" i="2"/>
  <c r="F88" i="2"/>
  <c r="E88" i="2"/>
  <c r="D88" i="2"/>
  <c r="C88" i="2"/>
  <c r="B88" i="2"/>
  <c r="A87" i="2"/>
  <c r="I87" i="2"/>
  <c r="H87" i="2"/>
  <c r="G87" i="2"/>
  <c r="F87" i="2"/>
  <c r="E87" i="2"/>
  <c r="D87" i="2"/>
  <c r="C87" i="2"/>
  <c r="B87" i="2"/>
  <c r="A86" i="2"/>
  <c r="I86" i="2"/>
  <c r="H86" i="2"/>
  <c r="G86" i="2"/>
  <c r="F86" i="2"/>
  <c r="E86" i="2"/>
  <c r="D86" i="2"/>
  <c r="C86" i="2"/>
  <c r="B86" i="2"/>
  <c r="A85" i="2"/>
  <c r="I85" i="2"/>
  <c r="H85" i="2"/>
  <c r="G85" i="2"/>
  <c r="F85" i="2"/>
  <c r="E85" i="2"/>
  <c r="D85" i="2"/>
  <c r="C85" i="2"/>
  <c r="B85" i="2"/>
  <c r="A84" i="2"/>
  <c r="I84" i="2"/>
  <c r="H84" i="2"/>
  <c r="G84" i="2"/>
  <c r="F84" i="2"/>
  <c r="E84" i="2"/>
  <c r="D84" i="2"/>
  <c r="C84" i="2"/>
  <c r="B84" i="2"/>
  <c r="A83" i="2"/>
  <c r="I83" i="2"/>
  <c r="H83" i="2"/>
  <c r="G83" i="2"/>
  <c r="F83" i="2"/>
  <c r="E83" i="2"/>
  <c r="D83" i="2"/>
  <c r="C83" i="2"/>
  <c r="B83" i="2"/>
  <c r="A82" i="2"/>
  <c r="I82" i="2"/>
  <c r="H82" i="2"/>
  <c r="G82" i="2"/>
  <c r="F82" i="2"/>
  <c r="E82" i="2"/>
  <c r="D82" i="2"/>
  <c r="C82" i="2"/>
  <c r="B82" i="2"/>
  <c r="A81" i="2"/>
  <c r="I81" i="2"/>
  <c r="H81" i="2"/>
  <c r="G81" i="2"/>
  <c r="F81" i="2"/>
  <c r="E81" i="2"/>
  <c r="D81" i="2"/>
  <c r="C81" i="2"/>
  <c r="B81" i="2"/>
  <c r="A80" i="2"/>
  <c r="I80" i="2"/>
  <c r="H80" i="2"/>
  <c r="G80" i="2"/>
  <c r="F80" i="2"/>
  <c r="E80" i="2"/>
  <c r="D80" i="2"/>
  <c r="C80" i="2"/>
  <c r="B80" i="2"/>
  <c r="A79" i="2"/>
  <c r="I79" i="2"/>
  <c r="H79" i="2"/>
  <c r="G79" i="2"/>
  <c r="F79" i="2"/>
  <c r="E79" i="2"/>
  <c r="D79" i="2"/>
  <c r="C79" i="2"/>
  <c r="B79" i="2"/>
  <c r="A78" i="2"/>
  <c r="I78" i="2"/>
  <c r="H78" i="2"/>
  <c r="G78" i="2"/>
  <c r="F78" i="2"/>
  <c r="E78" i="2"/>
  <c r="D78" i="2"/>
  <c r="C78" i="2"/>
  <c r="B78" i="2"/>
  <c r="A77" i="2"/>
  <c r="I77" i="2"/>
  <c r="H77" i="2"/>
  <c r="G77" i="2"/>
  <c r="F77" i="2"/>
  <c r="E77" i="2"/>
  <c r="D77" i="2"/>
  <c r="C77" i="2"/>
  <c r="B77" i="2"/>
  <c r="A76" i="2"/>
  <c r="I76" i="2"/>
  <c r="H76" i="2"/>
  <c r="G76" i="2"/>
  <c r="F76" i="2"/>
  <c r="E76" i="2"/>
  <c r="D76" i="2"/>
  <c r="C76" i="2"/>
  <c r="B76" i="2"/>
  <c r="A75" i="2"/>
  <c r="I75" i="2"/>
  <c r="H75" i="2"/>
  <c r="G75" i="2"/>
  <c r="F75" i="2"/>
  <c r="E75" i="2"/>
  <c r="D75" i="2"/>
  <c r="C75" i="2"/>
  <c r="B75" i="2"/>
  <c r="A74" i="2"/>
  <c r="I74" i="2"/>
  <c r="H74" i="2"/>
  <c r="G74" i="2"/>
  <c r="F74" i="2"/>
  <c r="E74" i="2"/>
  <c r="D74" i="2"/>
  <c r="C74" i="2"/>
  <c r="B74" i="2"/>
  <c r="A73" i="2"/>
  <c r="I73" i="2"/>
  <c r="H73" i="2"/>
  <c r="G73" i="2"/>
  <c r="F73" i="2"/>
  <c r="E73" i="2"/>
  <c r="D73" i="2"/>
  <c r="C73" i="2"/>
  <c r="B73" i="2"/>
  <c r="A72" i="2"/>
  <c r="I72" i="2"/>
  <c r="H72" i="2"/>
  <c r="G72" i="2"/>
  <c r="F72" i="2"/>
  <c r="E72" i="2"/>
  <c r="D72" i="2"/>
  <c r="C72" i="2"/>
  <c r="B72" i="2"/>
  <c r="A71" i="2"/>
  <c r="I71" i="2"/>
  <c r="H71" i="2"/>
  <c r="G71" i="2"/>
  <c r="F71" i="2"/>
  <c r="E71" i="2"/>
  <c r="D71" i="2"/>
  <c r="C71" i="2"/>
  <c r="B71" i="2"/>
  <c r="A70" i="2"/>
  <c r="I70" i="2"/>
  <c r="H70" i="2"/>
  <c r="G70" i="2"/>
  <c r="F70" i="2"/>
  <c r="E70" i="2"/>
  <c r="D70" i="2"/>
  <c r="C70" i="2"/>
  <c r="B70" i="2"/>
  <c r="A69" i="2"/>
  <c r="I69" i="2"/>
  <c r="H69" i="2"/>
  <c r="G69" i="2"/>
  <c r="F69" i="2"/>
  <c r="E69" i="2"/>
  <c r="D69" i="2"/>
  <c r="C69" i="2"/>
  <c r="B69" i="2"/>
  <c r="A68" i="2"/>
  <c r="I68" i="2"/>
  <c r="H68" i="2"/>
  <c r="G68" i="2"/>
  <c r="F68" i="2"/>
  <c r="E68" i="2"/>
  <c r="D68" i="2"/>
  <c r="C68" i="2"/>
  <c r="B68" i="2"/>
  <c r="A67" i="2"/>
  <c r="I67" i="2"/>
  <c r="H67" i="2"/>
  <c r="G67" i="2"/>
  <c r="F67" i="2"/>
  <c r="E67" i="2"/>
  <c r="D67" i="2"/>
  <c r="C67" i="2"/>
  <c r="B67" i="2"/>
  <c r="A66" i="2"/>
  <c r="I66" i="2"/>
  <c r="H66" i="2"/>
  <c r="G66" i="2"/>
  <c r="F66" i="2"/>
  <c r="E66" i="2"/>
  <c r="D66" i="2"/>
  <c r="C66" i="2"/>
  <c r="B66" i="2"/>
  <c r="A65" i="2"/>
  <c r="I65" i="2"/>
  <c r="H65" i="2"/>
  <c r="G65" i="2"/>
  <c r="F65" i="2"/>
  <c r="E65" i="2"/>
  <c r="D65" i="2"/>
  <c r="C65" i="2"/>
  <c r="B65" i="2"/>
  <c r="A64" i="2"/>
  <c r="I64" i="2"/>
  <c r="H64" i="2"/>
  <c r="G64" i="2"/>
  <c r="F64" i="2"/>
  <c r="E64" i="2"/>
  <c r="D64" i="2"/>
  <c r="C64" i="2"/>
  <c r="B64" i="2"/>
  <c r="A63" i="2"/>
  <c r="I63" i="2"/>
  <c r="H63" i="2"/>
  <c r="G63" i="2"/>
  <c r="F63" i="2"/>
  <c r="E63" i="2"/>
  <c r="D63" i="2"/>
  <c r="C63" i="2"/>
  <c r="B63" i="2"/>
  <c r="A62" i="2"/>
  <c r="I62" i="2"/>
  <c r="H62" i="2"/>
  <c r="G62" i="2"/>
  <c r="F62" i="2"/>
  <c r="E62" i="2"/>
  <c r="D62" i="2"/>
  <c r="C62" i="2"/>
  <c r="B62" i="2"/>
  <c r="A61" i="2"/>
  <c r="I61" i="2"/>
  <c r="H61" i="2"/>
  <c r="G61" i="2"/>
  <c r="F61" i="2"/>
  <c r="E61" i="2"/>
  <c r="D61" i="2"/>
  <c r="C61" i="2"/>
  <c r="B61" i="2"/>
  <c r="A60" i="2"/>
  <c r="I60" i="2"/>
  <c r="H60" i="2"/>
  <c r="G60" i="2"/>
  <c r="F60" i="2"/>
  <c r="E60" i="2"/>
  <c r="D60" i="2"/>
  <c r="C60" i="2"/>
  <c r="B60" i="2"/>
  <c r="A59" i="2"/>
  <c r="I59" i="2"/>
  <c r="H59" i="2"/>
  <c r="G59" i="2"/>
  <c r="F59" i="2"/>
  <c r="E59" i="2"/>
  <c r="D59" i="2"/>
  <c r="C59" i="2"/>
  <c r="B59" i="2"/>
  <c r="A58" i="2"/>
  <c r="I58" i="2"/>
  <c r="H58" i="2"/>
  <c r="G58" i="2"/>
  <c r="F58" i="2"/>
  <c r="E58" i="2"/>
  <c r="D58" i="2"/>
  <c r="C58" i="2"/>
  <c r="B58" i="2"/>
  <c r="A57" i="2"/>
  <c r="I57" i="2"/>
  <c r="H57" i="2"/>
  <c r="G57" i="2"/>
  <c r="F57" i="2"/>
  <c r="E57" i="2"/>
  <c r="D57" i="2"/>
  <c r="C57" i="2"/>
  <c r="B57" i="2"/>
  <c r="A56" i="2"/>
  <c r="I56" i="2"/>
  <c r="H56" i="2"/>
  <c r="G56" i="2"/>
  <c r="F56" i="2"/>
  <c r="E56" i="2"/>
  <c r="D56" i="2"/>
  <c r="C56" i="2"/>
  <c r="B56" i="2"/>
  <c r="A55" i="2"/>
  <c r="I55" i="2"/>
  <c r="H55" i="2"/>
  <c r="G55" i="2"/>
  <c r="F55" i="2"/>
  <c r="E55" i="2"/>
  <c r="D55" i="2"/>
  <c r="C55" i="2"/>
  <c r="B55" i="2"/>
  <c r="A54" i="2"/>
  <c r="I54" i="2"/>
  <c r="H54" i="2"/>
  <c r="G54" i="2"/>
  <c r="F54" i="2"/>
  <c r="E54" i="2"/>
  <c r="D54" i="2"/>
  <c r="C54" i="2"/>
  <c r="B54" i="2"/>
  <c r="A53" i="2"/>
  <c r="I53" i="2"/>
  <c r="H53" i="2"/>
  <c r="G53" i="2"/>
  <c r="F53" i="2"/>
  <c r="E53" i="2"/>
  <c r="D53" i="2"/>
  <c r="C53" i="2"/>
  <c r="B53" i="2"/>
  <c r="A52" i="2"/>
  <c r="I52" i="2"/>
  <c r="H52" i="2"/>
  <c r="G52" i="2"/>
  <c r="F52" i="2"/>
  <c r="E52" i="2"/>
  <c r="D52" i="2"/>
  <c r="C52" i="2"/>
  <c r="B52" i="2"/>
  <c r="A51" i="2"/>
  <c r="I51" i="2"/>
  <c r="H51" i="2"/>
  <c r="G51" i="2"/>
  <c r="F51" i="2"/>
  <c r="E51" i="2"/>
  <c r="D51" i="2"/>
  <c r="C51" i="2"/>
  <c r="B51" i="2"/>
  <c r="A50" i="2"/>
  <c r="I50" i="2"/>
  <c r="H50" i="2"/>
  <c r="G50" i="2"/>
  <c r="F50" i="2"/>
  <c r="E50" i="2"/>
  <c r="D50" i="2"/>
  <c r="C50" i="2"/>
  <c r="B50" i="2"/>
  <c r="A49" i="2"/>
  <c r="I49" i="2"/>
  <c r="H49" i="2"/>
  <c r="G49" i="2"/>
  <c r="F49" i="2"/>
  <c r="E49" i="2"/>
  <c r="D49" i="2"/>
  <c r="C49" i="2"/>
  <c r="B49" i="2"/>
  <c r="A48" i="2"/>
  <c r="I48" i="2"/>
  <c r="H48" i="2"/>
  <c r="G48" i="2"/>
  <c r="F48" i="2"/>
  <c r="E48" i="2"/>
  <c r="D48" i="2"/>
  <c r="C48" i="2"/>
  <c r="B48" i="2"/>
  <c r="A47" i="2"/>
  <c r="I47" i="2"/>
  <c r="H47" i="2"/>
  <c r="G47" i="2"/>
  <c r="F47" i="2"/>
  <c r="E47" i="2"/>
  <c r="D47" i="2"/>
  <c r="C47" i="2"/>
  <c r="B47" i="2"/>
  <c r="A46" i="2"/>
  <c r="I46" i="2"/>
  <c r="H46" i="2"/>
  <c r="G46" i="2"/>
  <c r="F46" i="2"/>
  <c r="E46" i="2"/>
  <c r="D46" i="2"/>
  <c r="C46" i="2"/>
  <c r="B46" i="2"/>
  <c r="A45" i="2"/>
  <c r="I45" i="2"/>
  <c r="H45" i="2"/>
  <c r="G45" i="2"/>
  <c r="F45" i="2"/>
  <c r="E45" i="2"/>
  <c r="D45" i="2"/>
  <c r="C45" i="2"/>
  <c r="B45" i="2"/>
  <c r="A44" i="2"/>
  <c r="I44" i="2"/>
  <c r="H44" i="2"/>
  <c r="G44" i="2"/>
  <c r="F44" i="2"/>
  <c r="E44" i="2"/>
  <c r="D44" i="2"/>
  <c r="C44" i="2"/>
  <c r="B44" i="2"/>
  <c r="A43" i="2"/>
  <c r="I43" i="2"/>
  <c r="H43" i="2"/>
  <c r="G43" i="2"/>
  <c r="F43" i="2"/>
  <c r="E43" i="2"/>
  <c r="D43" i="2"/>
  <c r="C43" i="2"/>
  <c r="B43" i="2"/>
  <c r="A42" i="2"/>
  <c r="I42" i="2"/>
  <c r="H42" i="2"/>
  <c r="G42" i="2"/>
  <c r="F42" i="2"/>
  <c r="E42" i="2"/>
  <c r="D42" i="2"/>
  <c r="C42" i="2"/>
  <c r="B42" i="2"/>
  <c r="A41" i="2"/>
  <c r="I41" i="2"/>
  <c r="H41" i="2"/>
  <c r="G41" i="2"/>
  <c r="F41" i="2"/>
  <c r="E41" i="2"/>
  <c r="D41" i="2"/>
  <c r="C41" i="2"/>
  <c r="B41" i="2"/>
  <c r="A40" i="2"/>
  <c r="I40" i="2"/>
  <c r="H40" i="2"/>
  <c r="G40" i="2"/>
  <c r="F40" i="2"/>
  <c r="E40" i="2"/>
  <c r="D40" i="2"/>
  <c r="C40" i="2"/>
  <c r="B40" i="2"/>
  <c r="A39" i="2"/>
  <c r="I39" i="2"/>
  <c r="H39" i="2"/>
  <c r="G39" i="2"/>
  <c r="F39" i="2"/>
  <c r="E39" i="2"/>
  <c r="D39" i="2"/>
  <c r="C39" i="2"/>
  <c r="B39" i="2"/>
  <c r="A38" i="2"/>
  <c r="I38" i="2"/>
  <c r="H38" i="2"/>
  <c r="G38" i="2"/>
  <c r="F38" i="2"/>
  <c r="E38" i="2"/>
  <c r="D38" i="2"/>
  <c r="C38" i="2"/>
  <c r="B38" i="2"/>
  <c r="A37" i="2"/>
  <c r="I37" i="2"/>
  <c r="H37" i="2"/>
  <c r="G37" i="2"/>
  <c r="F37" i="2"/>
  <c r="E37" i="2"/>
  <c r="D37" i="2"/>
  <c r="C37" i="2"/>
  <c r="B37" i="2"/>
  <c r="A36" i="2"/>
  <c r="I36" i="2"/>
  <c r="H36" i="2"/>
  <c r="G36" i="2"/>
  <c r="F36" i="2"/>
  <c r="E36" i="2"/>
  <c r="D36" i="2"/>
  <c r="C36" i="2"/>
  <c r="B36" i="2"/>
  <c r="A35" i="2"/>
  <c r="I35" i="2"/>
  <c r="H35" i="2"/>
  <c r="G35" i="2"/>
  <c r="F35" i="2"/>
  <c r="E35" i="2"/>
  <c r="D35" i="2"/>
  <c r="C35" i="2"/>
  <c r="B35" i="2"/>
  <c r="A34" i="2"/>
  <c r="I34" i="2"/>
  <c r="H34" i="2"/>
  <c r="G34" i="2"/>
  <c r="F34" i="2"/>
  <c r="E34" i="2"/>
  <c r="D34" i="2"/>
  <c r="C34" i="2"/>
  <c r="B34" i="2"/>
  <c r="A33" i="2"/>
  <c r="I33" i="2"/>
  <c r="H33" i="2"/>
  <c r="G33" i="2"/>
  <c r="F33" i="2"/>
  <c r="E33" i="2"/>
  <c r="D33" i="2"/>
  <c r="C33" i="2"/>
  <c r="B33" i="2"/>
  <c r="A32" i="2"/>
  <c r="I32" i="2"/>
  <c r="H32" i="2"/>
  <c r="G32" i="2"/>
  <c r="F32" i="2"/>
  <c r="E32" i="2"/>
  <c r="D32" i="2"/>
  <c r="C32" i="2"/>
  <c r="B32" i="2"/>
  <c r="A31" i="2"/>
  <c r="I31" i="2"/>
  <c r="H31" i="2"/>
  <c r="G31" i="2"/>
  <c r="F31" i="2"/>
  <c r="E31" i="2"/>
  <c r="D31" i="2"/>
  <c r="C31" i="2"/>
  <c r="B31" i="2"/>
  <c r="A30" i="2"/>
  <c r="I30" i="2"/>
  <c r="H30" i="2"/>
  <c r="G30" i="2"/>
  <c r="F30" i="2"/>
  <c r="E30" i="2"/>
  <c r="D30" i="2"/>
  <c r="C30" i="2"/>
  <c r="B30" i="2"/>
  <c r="A29" i="2"/>
  <c r="I29" i="2"/>
  <c r="H29" i="2"/>
  <c r="G29" i="2"/>
  <c r="F29" i="2"/>
  <c r="E29" i="2"/>
  <c r="D29" i="2"/>
  <c r="C29" i="2"/>
  <c r="B29" i="2"/>
  <c r="A28" i="2"/>
  <c r="I28" i="2"/>
  <c r="H28" i="2"/>
  <c r="G28" i="2"/>
  <c r="F28" i="2"/>
  <c r="E28" i="2"/>
  <c r="D28" i="2"/>
  <c r="C28" i="2"/>
  <c r="B28" i="2"/>
  <c r="A27" i="2"/>
  <c r="I27" i="2"/>
  <c r="H27" i="2"/>
  <c r="G27" i="2"/>
  <c r="F27" i="2"/>
  <c r="E27" i="2"/>
  <c r="D27" i="2"/>
  <c r="C27" i="2"/>
  <c r="B27" i="2"/>
  <c r="A26" i="2"/>
  <c r="I26" i="2"/>
  <c r="H26" i="2"/>
  <c r="G26" i="2"/>
  <c r="F26" i="2"/>
  <c r="E26" i="2"/>
  <c r="D26" i="2"/>
  <c r="C26" i="2"/>
  <c r="B26" i="2"/>
  <c r="A25" i="2"/>
  <c r="I25" i="2"/>
  <c r="H25" i="2"/>
  <c r="G25" i="2"/>
  <c r="F25" i="2"/>
  <c r="E25" i="2"/>
  <c r="D25" i="2"/>
  <c r="C25" i="2"/>
  <c r="B25" i="2"/>
  <c r="A24" i="2"/>
  <c r="I24" i="2"/>
  <c r="H24" i="2"/>
  <c r="G24" i="2"/>
  <c r="F24" i="2"/>
  <c r="E24" i="2"/>
  <c r="D24" i="2"/>
  <c r="C24" i="2"/>
  <c r="B24" i="2"/>
  <c r="A23" i="2"/>
  <c r="I23" i="2"/>
  <c r="H23" i="2"/>
  <c r="G23" i="2"/>
  <c r="F23" i="2"/>
  <c r="E23" i="2"/>
  <c r="D23" i="2"/>
  <c r="C23" i="2"/>
  <c r="B23" i="2"/>
  <c r="A22" i="2"/>
  <c r="I22" i="2"/>
  <c r="H22" i="2"/>
  <c r="G22" i="2"/>
  <c r="F22" i="2"/>
  <c r="E22" i="2"/>
  <c r="D22" i="2"/>
  <c r="C22" i="2"/>
  <c r="B22" i="2"/>
  <c r="A21" i="2"/>
  <c r="I21" i="2"/>
  <c r="H21" i="2"/>
  <c r="G21" i="2"/>
  <c r="F21" i="2"/>
  <c r="E21" i="2"/>
  <c r="D21" i="2"/>
  <c r="C21" i="2"/>
  <c r="B21" i="2"/>
  <c r="A20" i="2"/>
  <c r="I20" i="2"/>
  <c r="H20" i="2"/>
  <c r="G20" i="2"/>
  <c r="F20" i="2"/>
  <c r="E20" i="2"/>
  <c r="D20" i="2"/>
  <c r="C20" i="2"/>
  <c r="B20" i="2"/>
  <c r="A19" i="2"/>
  <c r="I19" i="2"/>
  <c r="H19" i="2"/>
  <c r="G19" i="2"/>
  <c r="F19" i="2"/>
  <c r="E19" i="2"/>
  <c r="D19" i="2"/>
  <c r="C19" i="2"/>
  <c r="B19" i="2"/>
  <c r="A18" i="2"/>
  <c r="I18" i="2"/>
  <c r="H18" i="2"/>
  <c r="G18" i="2"/>
  <c r="F18" i="2"/>
  <c r="E18" i="2"/>
  <c r="D18" i="2"/>
  <c r="C18" i="2"/>
  <c r="B18" i="2"/>
  <c r="A17" i="2"/>
  <c r="I17" i="2"/>
  <c r="H17" i="2"/>
  <c r="G17" i="2"/>
  <c r="F17" i="2"/>
  <c r="E17" i="2"/>
  <c r="D17" i="2"/>
  <c r="C17" i="2"/>
  <c r="B17" i="2"/>
  <c r="A16" i="2"/>
  <c r="I16" i="2"/>
  <c r="H16" i="2"/>
  <c r="G16" i="2"/>
  <c r="F16" i="2"/>
  <c r="E16" i="2"/>
  <c r="D16" i="2"/>
  <c r="C16" i="2"/>
  <c r="B16" i="2"/>
  <c r="A15" i="2"/>
  <c r="I15" i="2"/>
  <c r="H15" i="2"/>
  <c r="G15" i="2"/>
  <c r="F15" i="2"/>
  <c r="E15" i="2"/>
  <c r="D15" i="2"/>
  <c r="C15" i="2"/>
  <c r="B15" i="2"/>
  <c r="A14" i="2"/>
  <c r="I14" i="2"/>
  <c r="H14" i="2"/>
  <c r="G14" i="2"/>
  <c r="F14" i="2"/>
  <c r="E14" i="2"/>
  <c r="D14" i="2"/>
  <c r="C14" i="2"/>
  <c r="B14" i="2"/>
  <c r="A13" i="2"/>
  <c r="I13" i="2"/>
  <c r="H13" i="2"/>
  <c r="G13" i="2"/>
  <c r="F13" i="2"/>
  <c r="E13" i="2"/>
  <c r="D13" i="2"/>
  <c r="C13" i="2"/>
  <c r="B13" i="2"/>
  <c r="A12" i="2"/>
  <c r="I12" i="2"/>
  <c r="H12" i="2"/>
  <c r="G12" i="2"/>
  <c r="F12" i="2"/>
  <c r="E12" i="2"/>
  <c r="D12" i="2"/>
  <c r="C12" i="2"/>
  <c r="B12" i="2"/>
  <c r="A11" i="2"/>
  <c r="P18" i="1"/>
  <c r="Q18" i="1"/>
  <c r="S18" i="1"/>
  <c r="P19" i="1"/>
  <c r="Q19" i="1"/>
  <c r="S19" i="1"/>
  <c r="P20" i="1"/>
  <c r="Q20" i="1"/>
  <c r="S20" i="1"/>
  <c r="P21" i="1"/>
  <c r="Q21" i="1"/>
  <c r="S21" i="1"/>
  <c r="P22" i="1"/>
  <c r="Q22" i="1"/>
  <c r="S22" i="1"/>
  <c r="P23" i="1"/>
  <c r="Q23" i="1"/>
  <c r="S23" i="1"/>
  <c r="P24" i="1"/>
  <c r="Q24" i="1"/>
  <c r="S24" i="1"/>
  <c r="P25" i="1"/>
  <c r="Q25" i="1"/>
  <c r="S25" i="1"/>
  <c r="P26" i="1"/>
  <c r="Q26" i="1"/>
  <c r="S26" i="1"/>
  <c r="P27" i="1"/>
  <c r="Q27" i="1"/>
  <c r="S27" i="1"/>
  <c r="P28" i="1"/>
  <c r="Q28" i="1"/>
  <c r="S28" i="1"/>
  <c r="P29" i="1"/>
  <c r="Q29" i="1"/>
  <c r="S29" i="1"/>
  <c r="P30" i="1"/>
  <c r="Q30" i="1"/>
  <c r="S30" i="1"/>
  <c r="P31" i="1"/>
  <c r="Q31" i="1"/>
  <c r="S31" i="1"/>
  <c r="P32" i="1"/>
  <c r="Q32" i="1"/>
  <c r="S32" i="1"/>
  <c r="P33" i="1"/>
  <c r="Q33" i="1"/>
  <c r="S33" i="1"/>
  <c r="P34" i="1"/>
  <c r="Q34" i="1"/>
  <c r="S34" i="1"/>
  <c r="P35" i="1"/>
  <c r="Q35" i="1"/>
  <c r="S35" i="1"/>
  <c r="P36" i="1"/>
  <c r="Q36" i="1"/>
  <c r="S36" i="1"/>
  <c r="P37" i="1"/>
  <c r="Q37" i="1"/>
  <c r="S37" i="1"/>
  <c r="P38" i="1"/>
  <c r="Q38" i="1"/>
  <c r="S38" i="1"/>
  <c r="P39" i="1"/>
  <c r="Q39" i="1"/>
  <c r="S39" i="1"/>
  <c r="P40" i="1"/>
  <c r="Q40" i="1"/>
  <c r="S40" i="1"/>
  <c r="M41" i="1"/>
  <c r="I41" i="1"/>
  <c r="J41" i="1"/>
  <c r="P41" i="1"/>
  <c r="Q41" i="1"/>
  <c r="S41" i="1"/>
  <c r="M42" i="1"/>
  <c r="I42" i="1"/>
  <c r="J42" i="1"/>
  <c r="P42" i="1"/>
  <c r="Q42" i="1"/>
  <c r="S42" i="1"/>
  <c r="M43" i="1"/>
  <c r="I43" i="1"/>
  <c r="J43" i="1"/>
  <c r="P43" i="1"/>
  <c r="Q43" i="1"/>
  <c r="S43" i="1"/>
  <c r="M44" i="1"/>
  <c r="I44" i="1"/>
  <c r="J44" i="1"/>
  <c r="P44" i="1"/>
  <c r="Q44" i="1"/>
  <c r="S44" i="1"/>
  <c r="M45" i="1"/>
  <c r="I45" i="1"/>
  <c r="J45" i="1"/>
  <c r="P45" i="1"/>
  <c r="Q45" i="1"/>
  <c r="S45" i="1"/>
  <c r="M46" i="1"/>
  <c r="I46" i="1"/>
  <c r="J46" i="1"/>
  <c r="P46" i="1"/>
  <c r="Q46" i="1"/>
  <c r="S46" i="1"/>
  <c r="M47" i="1"/>
  <c r="I47" i="1"/>
  <c r="J47" i="1"/>
  <c r="P47" i="1"/>
  <c r="Q47" i="1"/>
  <c r="S47" i="1"/>
  <c r="M48" i="1"/>
  <c r="I48" i="1"/>
  <c r="J48" i="1"/>
  <c r="P48" i="1"/>
  <c r="Q48" i="1"/>
  <c r="S48" i="1"/>
  <c r="M49" i="1"/>
  <c r="I49" i="1"/>
  <c r="J49" i="1"/>
  <c r="P49" i="1"/>
  <c r="Q49" i="1"/>
  <c r="S49" i="1"/>
  <c r="M50" i="1"/>
  <c r="I50" i="1"/>
  <c r="J50" i="1"/>
  <c r="P50" i="1"/>
  <c r="Q50" i="1"/>
  <c r="S50" i="1"/>
  <c r="M51" i="1"/>
  <c r="I51" i="1"/>
  <c r="J51" i="1"/>
  <c r="P51" i="1"/>
  <c r="Q51" i="1"/>
  <c r="S51" i="1"/>
  <c r="M52" i="1"/>
  <c r="I52" i="1"/>
  <c r="J52" i="1"/>
  <c r="P52" i="1"/>
  <c r="Q52" i="1"/>
  <c r="S52" i="1"/>
  <c r="M53" i="1"/>
  <c r="I53" i="1"/>
  <c r="J53" i="1"/>
  <c r="P53" i="1"/>
  <c r="Q53" i="1"/>
  <c r="S53" i="1"/>
  <c r="M54" i="1"/>
  <c r="I54" i="1"/>
  <c r="J54" i="1"/>
  <c r="P54" i="1"/>
  <c r="Q54" i="1"/>
  <c r="S54" i="1"/>
  <c r="M55" i="1"/>
  <c r="I55" i="1"/>
  <c r="J55" i="1"/>
  <c r="P55" i="1"/>
  <c r="Q55" i="1"/>
  <c r="S55" i="1"/>
  <c r="M56" i="1"/>
  <c r="I56" i="1"/>
  <c r="J56" i="1"/>
  <c r="P56" i="1"/>
  <c r="Q56" i="1"/>
  <c r="S56" i="1"/>
  <c r="M57" i="1"/>
  <c r="I57" i="1"/>
  <c r="J57" i="1"/>
  <c r="P57" i="1"/>
  <c r="Q57" i="1"/>
  <c r="S57" i="1"/>
  <c r="M58" i="1"/>
  <c r="I58" i="1"/>
  <c r="J58" i="1"/>
  <c r="P58" i="1"/>
  <c r="Q58" i="1"/>
  <c r="S58" i="1"/>
  <c r="M59" i="1"/>
  <c r="I59" i="1"/>
  <c r="J59" i="1"/>
  <c r="P59" i="1"/>
  <c r="Q59" i="1"/>
  <c r="S59" i="1"/>
  <c r="M60" i="1"/>
  <c r="I60" i="1"/>
  <c r="J60" i="1"/>
  <c r="P60" i="1"/>
  <c r="Q60" i="1"/>
  <c r="S60" i="1"/>
  <c r="M61" i="1"/>
  <c r="I61" i="1"/>
  <c r="J61" i="1"/>
  <c r="P61" i="1"/>
  <c r="Q61" i="1"/>
  <c r="S61" i="1"/>
  <c r="M62" i="1"/>
  <c r="I62" i="1"/>
  <c r="J62" i="1"/>
  <c r="P62" i="1"/>
  <c r="Q62" i="1"/>
  <c r="S62" i="1"/>
  <c r="M63" i="1"/>
  <c r="I63" i="1"/>
  <c r="J63" i="1"/>
  <c r="P63" i="1"/>
  <c r="Q63" i="1"/>
  <c r="S63" i="1"/>
  <c r="M64" i="1"/>
  <c r="I64" i="1"/>
  <c r="J64" i="1"/>
  <c r="P64" i="1"/>
  <c r="Q64" i="1"/>
  <c r="S64" i="1"/>
  <c r="M65" i="1"/>
  <c r="I65" i="1"/>
  <c r="J65" i="1"/>
  <c r="P65" i="1"/>
  <c r="Q65" i="1"/>
  <c r="S65" i="1"/>
  <c r="M66" i="1"/>
  <c r="I66" i="1"/>
  <c r="J66" i="1"/>
  <c r="P66" i="1"/>
  <c r="Q66" i="1"/>
  <c r="S66" i="1"/>
  <c r="M67" i="1"/>
  <c r="I67" i="1"/>
  <c r="J67" i="1"/>
  <c r="P67" i="1"/>
  <c r="Q67" i="1"/>
  <c r="S67" i="1"/>
  <c r="M68" i="1"/>
  <c r="I68" i="1"/>
  <c r="J68" i="1"/>
  <c r="P68" i="1"/>
  <c r="Q68" i="1"/>
  <c r="S68" i="1"/>
  <c r="M69" i="1"/>
  <c r="I69" i="1"/>
  <c r="J69" i="1"/>
  <c r="P69" i="1"/>
  <c r="Q69" i="1"/>
  <c r="S69" i="1"/>
  <c r="M70" i="1"/>
  <c r="I70" i="1"/>
  <c r="J70" i="1"/>
  <c r="P70" i="1"/>
  <c r="Q70" i="1"/>
  <c r="S70" i="1"/>
  <c r="M71" i="1"/>
  <c r="I71" i="1"/>
  <c r="J71" i="1"/>
  <c r="P71" i="1"/>
  <c r="Q71" i="1"/>
  <c r="S71" i="1"/>
  <c r="M72" i="1"/>
  <c r="I72" i="1"/>
  <c r="J72" i="1"/>
  <c r="P72" i="1"/>
  <c r="Q72" i="1"/>
  <c r="S72" i="1"/>
  <c r="M73" i="1"/>
  <c r="I73" i="1"/>
  <c r="J73" i="1"/>
  <c r="P73" i="1"/>
  <c r="Q73" i="1"/>
  <c r="S73" i="1"/>
  <c r="M74" i="1"/>
  <c r="I74" i="1"/>
  <c r="J74" i="1"/>
  <c r="P74" i="1"/>
  <c r="Q74" i="1"/>
  <c r="S74" i="1"/>
  <c r="M75" i="1"/>
  <c r="I75" i="1"/>
  <c r="J75" i="1"/>
  <c r="P75" i="1"/>
  <c r="Q75" i="1"/>
  <c r="S75" i="1"/>
  <c r="M76" i="1"/>
  <c r="I76" i="1"/>
  <c r="J76" i="1"/>
  <c r="P76" i="1"/>
  <c r="Q76" i="1"/>
  <c r="S76" i="1"/>
  <c r="M77" i="1"/>
  <c r="I77" i="1"/>
  <c r="J77" i="1"/>
  <c r="P77" i="1"/>
  <c r="Q77" i="1"/>
  <c r="S77" i="1"/>
  <c r="M78" i="1"/>
  <c r="I78" i="1"/>
  <c r="J78" i="1"/>
  <c r="P78" i="1"/>
  <c r="Q78" i="1"/>
  <c r="S78" i="1"/>
  <c r="M79" i="1"/>
  <c r="I79" i="1"/>
  <c r="J79" i="1"/>
  <c r="P79" i="1"/>
  <c r="Q79" i="1"/>
  <c r="S79" i="1"/>
  <c r="M80" i="1"/>
  <c r="I80" i="1"/>
  <c r="J80" i="1"/>
  <c r="P80" i="1"/>
  <c r="Q80" i="1"/>
  <c r="S80" i="1"/>
  <c r="M81" i="1"/>
  <c r="I81" i="1"/>
  <c r="J81" i="1"/>
  <c r="P81" i="1"/>
  <c r="Q81" i="1"/>
  <c r="S81" i="1"/>
  <c r="M82" i="1"/>
  <c r="I82" i="1"/>
  <c r="J82" i="1"/>
  <c r="P82" i="1"/>
  <c r="Q82" i="1"/>
  <c r="S82" i="1"/>
  <c r="M83" i="1"/>
  <c r="I83" i="1"/>
  <c r="J83" i="1"/>
  <c r="P83" i="1"/>
  <c r="Q83" i="1"/>
  <c r="S83" i="1"/>
  <c r="M84" i="1"/>
  <c r="I84" i="1"/>
  <c r="J84" i="1"/>
  <c r="P84" i="1"/>
  <c r="Q84" i="1"/>
  <c r="S84" i="1"/>
  <c r="M85" i="1"/>
  <c r="I85" i="1"/>
  <c r="J85" i="1"/>
  <c r="P85" i="1"/>
  <c r="Q85" i="1"/>
  <c r="S85" i="1"/>
  <c r="M86" i="1"/>
  <c r="I86" i="1"/>
  <c r="J86" i="1"/>
  <c r="P86" i="1"/>
  <c r="Q86" i="1"/>
  <c r="S86" i="1"/>
  <c r="M87" i="1"/>
  <c r="I87" i="1"/>
  <c r="J87" i="1"/>
  <c r="P87" i="1"/>
  <c r="Q87" i="1"/>
  <c r="S87" i="1"/>
  <c r="M88" i="1"/>
  <c r="I88" i="1"/>
  <c r="J88" i="1"/>
  <c r="P88" i="1"/>
  <c r="Q88" i="1"/>
  <c r="S88" i="1"/>
  <c r="M89" i="1"/>
  <c r="I89" i="1"/>
  <c r="J89" i="1"/>
  <c r="P89" i="1"/>
  <c r="Q89" i="1"/>
  <c r="S89" i="1"/>
  <c r="M90" i="1"/>
  <c r="I90" i="1"/>
  <c r="J90" i="1"/>
  <c r="P90" i="1"/>
  <c r="Q90" i="1"/>
  <c r="S90" i="1"/>
  <c r="M91" i="1"/>
  <c r="I91" i="1"/>
  <c r="J91" i="1"/>
  <c r="P91" i="1"/>
  <c r="Q91" i="1"/>
  <c r="S91" i="1"/>
  <c r="M92" i="1"/>
  <c r="I92" i="1"/>
  <c r="J92" i="1"/>
  <c r="P92" i="1"/>
  <c r="Q92" i="1"/>
  <c r="S92" i="1"/>
  <c r="M93" i="1"/>
  <c r="I93" i="1"/>
  <c r="J93" i="1"/>
  <c r="P93" i="1"/>
  <c r="Q93" i="1"/>
  <c r="S93" i="1"/>
  <c r="M94" i="1"/>
  <c r="I94" i="1"/>
  <c r="J94" i="1"/>
  <c r="P94" i="1"/>
  <c r="Q94" i="1"/>
  <c r="S94" i="1"/>
  <c r="M95" i="1"/>
  <c r="I95" i="1"/>
  <c r="J95" i="1"/>
  <c r="P95" i="1"/>
  <c r="Q95" i="1"/>
  <c r="S95" i="1"/>
  <c r="M96" i="1"/>
  <c r="I96" i="1"/>
  <c r="J96" i="1"/>
  <c r="P96" i="1"/>
  <c r="Q96" i="1"/>
  <c r="S96" i="1"/>
  <c r="M97" i="1"/>
  <c r="I97" i="1"/>
  <c r="J97" i="1"/>
  <c r="P97" i="1"/>
  <c r="Q97" i="1"/>
  <c r="S97" i="1"/>
  <c r="M98" i="1"/>
  <c r="I98" i="1"/>
  <c r="J98" i="1"/>
  <c r="P98" i="1"/>
  <c r="Q98" i="1"/>
  <c r="S98" i="1"/>
  <c r="M99" i="1"/>
  <c r="I99" i="1"/>
  <c r="J99" i="1"/>
  <c r="P99" i="1"/>
  <c r="Q99" i="1"/>
  <c r="S99" i="1"/>
  <c r="M100" i="1"/>
  <c r="I100" i="1"/>
  <c r="J100" i="1"/>
  <c r="P100" i="1"/>
  <c r="Q100" i="1"/>
  <c r="S100" i="1"/>
  <c r="M101" i="1"/>
  <c r="I101" i="1"/>
  <c r="J101" i="1"/>
  <c r="P101" i="1"/>
  <c r="Q101" i="1"/>
  <c r="S101" i="1"/>
  <c r="M102" i="1"/>
  <c r="I102" i="1"/>
  <c r="J102" i="1"/>
  <c r="P102" i="1"/>
  <c r="Q102" i="1"/>
  <c r="S102" i="1"/>
  <c r="M103" i="1"/>
  <c r="I103" i="1"/>
  <c r="J103" i="1"/>
  <c r="P103" i="1"/>
  <c r="Q103" i="1"/>
  <c r="S103" i="1"/>
  <c r="M104" i="1"/>
  <c r="I104" i="1"/>
  <c r="J104" i="1"/>
  <c r="P104" i="1"/>
  <c r="Q104" i="1"/>
  <c r="S104" i="1"/>
  <c r="M105" i="1"/>
  <c r="I105" i="1"/>
  <c r="J105" i="1"/>
  <c r="P105" i="1"/>
  <c r="Q105" i="1"/>
  <c r="S105" i="1"/>
  <c r="M106" i="1"/>
  <c r="I106" i="1"/>
  <c r="J106" i="1"/>
  <c r="P106" i="1"/>
  <c r="Q106" i="1"/>
  <c r="S106" i="1"/>
  <c r="M107" i="1"/>
  <c r="I107" i="1"/>
  <c r="J107" i="1"/>
  <c r="P107" i="1"/>
  <c r="Q107" i="1"/>
  <c r="S107" i="1"/>
  <c r="M108" i="1"/>
  <c r="I108" i="1"/>
  <c r="J108" i="1"/>
  <c r="P108" i="1"/>
  <c r="Q108" i="1"/>
  <c r="S108" i="1"/>
  <c r="M109" i="1"/>
  <c r="I109" i="1"/>
  <c r="J109" i="1"/>
  <c r="P109" i="1"/>
  <c r="Q109" i="1"/>
  <c r="S109" i="1"/>
  <c r="M110" i="1"/>
  <c r="I110" i="1"/>
  <c r="J110" i="1"/>
  <c r="P110" i="1"/>
  <c r="Q110" i="1"/>
  <c r="S110" i="1"/>
  <c r="M111" i="1"/>
  <c r="I111" i="1"/>
  <c r="J111" i="1"/>
  <c r="P111" i="1"/>
  <c r="Q111" i="1"/>
  <c r="S111" i="1"/>
  <c r="M112" i="1"/>
  <c r="I112" i="1"/>
  <c r="J112" i="1"/>
  <c r="P112" i="1"/>
  <c r="Q112" i="1"/>
  <c r="S112" i="1"/>
  <c r="M113" i="1"/>
  <c r="I113" i="1"/>
  <c r="J113" i="1"/>
  <c r="P113" i="1"/>
  <c r="Q113" i="1"/>
  <c r="S113" i="1"/>
  <c r="M114" i="1"/>
  <c r="I114" i="1"/>
  <c r="J114" i="1"/>
  <c r="P114" i="1"/>
  <c r="Q114" i="1"/>
  <c r="S114" i="1"/>
  <c r="M115" i="1"/>
  <c r="I115" i="1"/>
  <c r="J115" i="1"/>
  <c r="P115" i="1"/>
  <c r="Q115" i="1"/>
  <c r="S115" i="1"/>
  <c r="M116" i="1"/>
  <c r="I116" i="1"/>
  <c r="J116" i="1"/>
  <c r="P116" i="1"/>
  <c r="Q116" i="1"/>
  <c r="S116" i="1"/>
  <c r="M117" i="1"/>
  <c r="I117" i="1"/>
  <c r="J117" i="1"/>
  <c r="P117" i="1"/>
  <c r="Q117" i="1"/>
  <c r="S117" i="1"/>
  <c r="M118" i="1"/>
  <c r="I118" i="1"/>
  <c r="J118" i="1"/>
  <c r="P118" i="1"/>
  <c r="Q118" i="1"/>
  <c r="S118" i="1"/>
  <c r="M119" i="1"/>
  <c r="I119" i="1"/>
  <c r="J119" i="1"/>
  <c r="P119" i="1"/>
  <c r="Q119" i="1"/>
  <c r="S119" i="1"/>
  <c r="M120" i="1"/>
  <c r="I120" i="1"/>
  <c r="J120" i="1"/>
  <c r="P120" i="1"/>
  <c r="Q120" i="1"/>
  <c r="S120" i="1"/>
  <c r="M121" i="1"/>
  <c r="I121" i="1"/>
  <c r="J121" i="1"/>
  <c r="P121" i="1"/>
  <c r="Q121" i="1"/>
  <c r="S121" i="1"/>
  <c r="M122" i="1"/>
  <c r="I122" i="1"/>
  <c r="J122" i="1"/>
  <c r="P122" i="1"/>
  <c r="Q122" i="1"/>
  <c r="S122" i="1"/>
  <c r="M123" i="1"/>
  <c r="I123" i="1"/>
  <c r="J123" i="1"/>
  <c r="P123" i="1"/>
  <c r="Q123" i="1"/>
  <c r="S123" i="1"/>
  <c r="M124" i="1"/>
  <c r="I124" i="1"/>
  <c r="J124" i="1"/>
  <c r="P124" i="1"/>
  <c r="Q124" i="1"/>
  <c r="S124" i="1"/>
  <c r="M125" i="1"/>
  <c r="I125" i="1"/>
  <c r="J125" i="1"/>
  <c r="P125" i="1"/>
  <c r="Q125" i="1"/>
  <c r="S125" i="1"/>
  <c r="M126" i="1"/>
  <c r="I126" i="1"/>
  <c r="J126" i="1"/>
  <c r="P126" i="1"/>
  <c r="Q126" i="1"/>
  <c r="S126" i="1"/>
  <c r="M127" i="1"/>
  <c r="I127" i="1"/>
  <c r="J127" i="1"/>
  <c r="P127" i="1"/>
  <c r="Q127" i="1"/>
  <c r="S127" i="1"/>
  <c r="M128" i="1"/>
  <c r="I128" i="1"/>
  <c r="J128" i="1"/>
  <c r="P128" i="1"/>
  <c r="Q128" i="1"/>
  <c r="S128" i="1"/>
  <c r="M129" i="1"/>
  <c r="I129" i="1"/>
  <c r="J129" i="1"/>
  <c r="P129" i="1"/>
  <c r="Q129" i="1"/>
  <c r="S129" i="1"/>
  <c r="M130" i="1"/>
  <c r="I130" i="1"/>
  <c r="J130" i="1"/>
  <c r="P130" i="1"/>
  <c r="Q130" i="1"/>
  <c r="S130" i="1"/>
  <c r="M131" i="1"/>
  <c r="I131" i="1"/>
  <c r="J131" i="1"/>
  <c r="P131" i="1"/>
  <c r="Q131" i="1"/>
  <c r="S131" i="1"/>
  <c r="M132" i="1"/>
  <c r="I132" i="1"/>
  <c r="J132" i="1"/>
  <c r="P132" i="1"/>
  <c r="Q132" i="1"/>
  <c r="S132" i="1"/>
  <c r="M133" i="1"/>
  <c r="I133" i="1"/>
  <c r="J133" i="1"/>
  <c r="P133" i="1"/>
  <c r="Q133" i="1"/>
  <c r="S133" i="1"/>
  <c r="M134" i="1"/>
  <c r="I134" i="1"/>
  <c r="J134" i="1"/>
  <c r="P134" i="1"/>
  <c r="Q134" i="1"/>
  <c r="S134" i="1"/>
  <c r="M135" i="1"/>
  <c r="I135" i="1"/>
  <c r="J135" i="1"/>
  <c r="P135" i="1"/>
  <c r="Q135" i="1"/>
  <c r="S135" i="1"/>
  <c r="M136" i="1"/>
  <c r="I136" i="1"/>
  <c r="J136" i="1"/>
  <c r="P136" i="1"/>
  <c r="Q136" i="1"/>
  <c r="S136" i="1"/>
  <c r="M137" i="1"/>
  <c r="I137" i="1"/>
  <c r="J137" i="1"/>
  <c r="P137" i="1"/>
  <c r="Q137" i="1"/>
  <c r="S137" i="1"/>
  <c r="M138" i="1"/>
  <c r="I138" i="1"/>
  <c r="J138" i="1"/>
  <c r="P138" i="1"/>
  <c r="Q138" i="1"/>
  <c r="S138" i="1"/>
  <c r="M139" i="1"/>
  <c r="I139" i="1"/>
  <c r="J139" i="1"/>
  <c r="P139" i="1"/>
  <c r="Q139" i="1"/>
  <c r="S139" i="1"/>
  <c r="M140" i="1"/>
  <c r="I140" i="1"/>
  <c r="J140" i="1"/>
  <c r="P140" i="1"/>
  <c r="Q140" i="1"/>
  <c r="S140" i="1"/>
  <c r="M141" i="1"/>
  <c r="I141" i="1"/>
  <c r="J141" i="1"/>
  <c r="P141" i="1"/>
  <c r="Q141" i="1"/>
  <c r="S141" i="1"/>
  <c r="M142" i="1"/>
  <c r="I142" i="1"/>
  <c r="J142" i="1"/>
  <c r="P142" i="1"/>
  <c r="Q142" i="1"/>
  <c r="S142" i="1"/>
  <c r="M143" i="1"/>
  <c r="I143" i="1"/>
  <c r="J143" i="1"/>
  <c r="P143" i="1"/>
  <c r="Q143" i="1"/>
  <c r="S143" i="1"/>
  <c r="M144" i="1"/>
  <c r="I144" i="1"/>
  <c r="J144" i="1"/>
  <c r="P144" i="1"/>
  <c r="Q144" i="1"/>
  <c r="S144" i="1"/>
  <c r="M145" i="1"/>
  <c r="I145" i="1"/>
  <c r="J145" i="1"/>
  <c r="P145" i="1"/>
  <c r="Q145" i="1"/>
  <c r="S145" i="1"/>
  <c r="M146" i="1"/>
  <c r="I146" i="1"/>
  <c r="J146" i="1"/>
  <c r="P146" i="1"/>
  <c r="Q146" i="1"/>
  <c r="S146" i="1"/>
  <c r="M147" i="1"/>
  <c r="I147" i="1"/>
  <c r="J147" i="1"/>
  <c r="P147" i="1"/>
  <c r="Q147" i="1"/>
  <c r="S147" i="1"/>
  <c r="M148" i="1"/>
  <c r="I148" i="1"/>
  <c r="J148" i="1"/>
  <c r="P148" i="1"/>
  <c r="Q148" i="1"/>
  <c r="S148" i="1"/>
  <c r="M149" i="1"/>
  <c r="I149" i="1"/>
  <c r="J149" i="1"/>
  <c r="P149" i="1"/>
  <c r="Q149" i="1"/>
  <c r="S149" i="1"/>
  <c r="M150" i="1"/>
  <c r="I150" i="1"/>
  <c r="J150" i="1"/>
  <c r="P150" i="1"/>
  <c r="Q150" i="1"/>
  <c r="S150" i="1"/>
  <c r="M151" i="1"/>
  <c r="I151" i="1"/>
  <c r="J151" i="1"/>
  <c r="P151" i="1"/>
  <c r="Q151" i="1"/>
  <c r="S151" i="1"/>
  <c r="M152" i="1"/>
  <c r="I152" i="1"/>
  <c r="J152" i="1"/>
  <c r="P152" i="1"/>
  <c r="Q152" i="1"/>
  <c r="S152" i="1"/>
  <c r="M153" i="1"/>
  <c r="I153" i="1"/>
  <c r="J153" i="1"/>
  <c r="P153" i="1"/>
  <c r="Q153" i="1"/>
  <c r="S153" i="1"/>
  <c r="M154" i="1"/>
  <c r="I154" i="1"/>
  <c r="J154" i="1"/>
  <c r="P154" i="1"/>
  <c r="Q154" i="1"/>
  <c r="S154" i="1"/>
  <c r="M155" i="1"/>
  <c r="I155" i="1"/>
  <c r="J155" i="1"/>
  <c r="P155" i="1"/>
  <c r="Q155" i="1"/>
  <c r="S155" i="1"/>
  <c r="M156" i="1"/>
  <c r="I156" i="1"/>
  <c r="J156" i="1"/>
  <c r="P156" i="1"/>
  <c r="Q156" i="1"/>
  <c r="S156" i="1"/>
  <c r="M157" i="1"/>
  <c r="I157" i="1"/>
  <c r="J157" i="1"/>
  <c r="P157" i="1"/>
  <c r="Q157" i="1"/>
  <c r="S157" i="1"/>
  <c r="M158" i="1"/>
  <c r="I158" i="1"/>
  <c r="J158" i="1"/>
  <c r="P158" i="1"/>
  <c r="Q158" i="1"/>
  <c r="S158" i="1"/>
  <c r="M159" i="1"/>
  <c r="I159" i="1"/>
  <c r="J159" i="1"/>
  <c r="P159" i="1"/>
  <c r="Q159" i="1"/>
  <c r="S159" i="1"/>
  <c r="M160" i="1"/>
  <c r="I160" i="1"/>
  <c r="J160" i="1"/>
  <c r="P160" i="1"/>
  <c r="Q160" i="1"/>
  <c r="S160" i="1"/>
  <c r="M161" i="1"/>
  <c r="I161" i="1"/>
  <c r="J161" i="1"/>
  <c r="P161" i="1"/>
  <c r="Q161" i="1"/>
  <c r="S161" i="1"/>
  <c r="M162" i="1"/>
  <c r="I162" i="1"/>
  <c r="J162" i="1"/>
  <c r="P162" i="1"/>
  <c r="Q162" i="1"/>
  <c r="S162" i="1"/>
  <c r="M163" i="1"/>
  <c r="I163" i="1"/>
  <c r="J163" i="1"/>
  <c r="P163" i="1"/>
  <c r="Q163" i="1"/>
  <c r="S163" i="1"/>
  <c r="M164" i="1"/>
  <c r="I164" i="1"/>
  <c r="J164" i="1"/>
  <c r="P164" i="1"/>
  <c r="Q164" i="1"/>
  <c r="S164" i="1"/>
  <c r="M165" i="1"/>
  <c r="I165" i="1"/>
  <c r="J165" i="1"/>
  <c r="P165" i="1"/>
  <c r="Q165" i="1"/>
  <c r="S165" i="1"/>
  <c r="M166" i="1"/>
  <c r="I166" i="1"/>
  <c r="J166" i="1"/>
  <c r="P166" i="1"/>
  <c r="Q166" i="1"/>
  <c r="S166" i="1"/>
  <c r="M167" i="1"/>
  <c r="I167" i="1"/>
  <c r="J167" i="1"/>
  <c r="P167" i="1"/>
  <c r="Q167" i="1"/>
  <c r="S167" i="1"/>
  <c r="M168" i="1"/>
  <c r="I168" i="1"/>
  <c r="J168" i="1"/>
  <c r="P168" i="1"/>
  <c r="Q168" i="1"/>
  <c r="S168" i="1"/>
  <c r="M169" i="1"/>
  <c r="I169" i="1"/>
  <c r="J169" i="1"/>
  <c r="P169" i="1"/>
  <c r="Q169" i="1"/>
  <c r="S169" i="1"/>
  <c r="M170" i="1"/>
  <c r="I170" i="1"/>
  <c r="J170" i="1"/>
  <c r="P170" i="1"/>
  <c r="Q170" i="1"/>
  <c r="S170" i="1"/>
  <c r="M171" i="1"/>
  <c r="I171" i="1"/>
  <c r="J171" i="1"/>
  <c r="P171" i="1"/>
  <c r="Q171" i="1"/>
  <c r="S171" i="1"/>
  <c r="M172" i="1"/>
  <c r="I172" i="1"/>
  <c r="J172" i="1"/>
  <c r="P172" i="1"/>
  <c r="Q172" i="1"/>
  <c r="S172" i="1"/>
  <c r="M173" i="1"/>
  <c r="I173" i="1"/>
  <c r="J173" i="1"/>
  <c r="P173" i="1"/>
  <c r="Q173" i="1"/>
  <c r="S173" i="1"/>
  <c r="M174" i="1"/>
  <c r="I174" i="1"/>
  <c r="J174" i="1"/>
  <c r="P174" i="1"/>
  <c r="Q174" i="1"/>
  <c r="S174" i="1"/>
  <c r="M175" i="1"/>
  <c r="I175" i="1"/>
  <c r="J175" i="1"/>
  <c r="P175" i="1"/>
  <c r="Q175" i="1"/>
  <c r="S175" i="1"/>
  <c r="M176" i="1"/>
  <c r="I176" i="1"/>
  <c r="J176" i="1"/>
  <c r="P176" i="1"/>
  <c r="Q176" i="1"/>
  <c r="S176" i="1"/>
  <c r="M177" i="1"/>
  <c r="I177" i="1"/>
  <c r="J177" i="1"/>
  <c r="P177" i="1"/>
  <c r="Q177" i="1"/>
  <c r="S177" i="1"/>
  <c r="M178" i="1"/>
  <c r="I178" i="1"/>
  <c r="J178" i="1"/>
  <c r="P178" i="1"/>
  <c r="Q178" i="1"/>
  <c r="S178" i="1"/>
  <c r="M179" i="1"/>
  <c r="I179" i="1"/>
  <c r="J179" i="1"/>
  <c r="P179" i="1"/>
  <c r="Q179" i="1"/>
  <c r="S179" i="1"/>
  <c r="M180" i="1"/>
  <c r="I180" i="1"/>
  <c r="J180" i="1"/>
  <c r="P180" i="1"/>
  <c r="Q180" i="1"/>
  <c r="S180" i="1"/>
  <c r="M181" i="1"/>
  <c r="I181" i="1"/>
  <c r="J181" i="1"/>
  <c r="P181" i="1"/>
  <c r="Q181" i="1"/>
  <c r="S181" i="1"/>
  <c r="M182" i="1"/>
  <c r="I182" i="1"/>
  <c r="J182" i="1"/>
  <c r="P182" i="1"/>
  <c r="Q182" i="1"/>
  <c r="S182" i="1"/>
  <c r="M183" i="1"/>
  <c r="I183" i="1"/>
  <c r="J183" i="1"/>
  <c r="P183" i="1"/>
  <c r="Q183" i="1"/>
  <c r="S183" i="1"/>
  <c r="M184" i="1"/>
  <c r="I184" i="1"/>
  <c r="J184" i="1"/>
  <c r="P184" i="1"/>
  <c r="Q184" i="1"/>
  <c r="S184" i="1"/>
  <c r="M185" i="1"/>
  <c r="I185" i="1"/>
  <c r="J185" i="1"/>
  <c r="P185" i="1"/>
  <c r="Q185" i="1"/>
  <c r="S185" i="1"/>
  <c r="M186" i="1"/>
  <c r="I186" i="1"/>
  <c r="J186" i="1"/>
  <c r="P186" i="1"/>
  <c r="Q186" i="1"/>
  <c r="S186" i="1"/>
  <c r="M187" i="1"/>
  <c r="I187" i="1"/>
  <c r="J187" i="1"/>
  <c r="P187" i="1"/>
  <c r="Q187" i="1"/>
  <c r="S187" i="1"/>
  <c r="M188" i="1"/>
  <c r="I188" i="1"/>
  <c r="J188" i="1"/>
  <c r="P188" i="1"/>
  <c r="Q188" i="1"/>
  <c r="S188" i="1"/>
  <c r="M189" i="1"/>
  <c r="I189" i="1"/>
  <c r="J189" i="1"/>
  <c r="P189" i="1"/>
  <c r="Q189" i="1"/>
  <c r="S189" i="1"/>
  <c r="M190" i="1"/>
  <c r="I190" i="1"/>
  <c r="J190" i="1"/>
  <c r="P190" i="1"/>
  <c r="Q190" i="1"/>
  <c r="S190" i="1"/>
  <c r="M191" i="1"/>
  <c r="I191" i="1"/>
  <c r="J191" i="1"/>
  <c r="P191" i="1"/>
  <c r="Q191" i="1"/>
  <c r="S191" i="1"/>
  <c r="M192" i="1"/>
  <c r="I192" i="1"/>
  <c r="J192" i="1"/>
  <c r="P192" i="1"/>
  <c r="Q192" i="1"/>
  <c r="S192" i="1"/>
  <c r="M193" i="1"/>
  <c r="I193" i="1"/>
  <c r="J193" i="1"/>
  <c r="P193" i="1"/>
  <c r="Q193" i="1"/>
  <c r="S193" i="1"/>
  <c r="M194" i="1"/>
  <c r="I194" i="1"/>
  <c r="J194" i="1"/>
  <c r="P194" i="1"/>
  <c r="Q194" i="1"/>
  <c r="S194" i="1"/>
  <c r="M195" i="1"/>
  <c r="I195" i="1"/>
  <c r="J195" i="1"/>
  <c r="P195" i="1"/>
  <c r="Q195" i="1"/>
  <c r="S195" i="1"/>
  <c r="M196" i="1"/>
  <c r="I196" i="1"/>
  <c r="J196" i="1"/>
  <c r="P196" i="1"/>
  <c r="Q196" i="1"/>
  <c r="S196" i="1"/>
  <c r="M197" i="1"/>
  <c r="I197" i="1"/>
  <c r="J197" i="1"/>
  <c r="P197" i="1"/>
  <c r="Q197" i="1"/>
  <c r="S197" i="1"/>
  <c r="M198" i="1"/>
  <c r="I198" i="1"/>
  <c r="J198" i="1"/>
  <c r="P198" i="1"/>
  <c r="Q198" i="1"/>
  <c r="S198" i="1"/>
  <c r="M199" i="1"/>
  <c r="I199" i="1"/>
  <c r="J199" i="1"/>
  <c r="P199" i="1"/>
  <c r="Q199" i="1"/>
  <c r="S199" i="1"/>
  <c r="M200" i="1"/>
  <c r="I200" i="1"/>
  <c r="J200" i="1"/>
  <c r="P200" i="1"/>
  <c r="Q200" i="1"/>
  <c r="S200" i="1"/>
  <c r="M201" i="1"/>
  <c r="I201" i="1"/>
  <c r="J201" i="1"/>
  <c r="P201" i="1"/>
  <c r="Q201" i="1"/>
  <c r="S201" i="1"/>
  <c r="M202" i="1"/>
  <c r="I202" i="1"/>
  <c r="J202" i="1"/>
  <c r="P202" i="1"/>
  <c r="Q202" i="1"/>
  <c r="S202" i="1"/>
  <c r="M203" i="1"/>
  <c r="I203" i="1"/>
  <c r="J203" i="1"/>
  <c r="P203" i="1"/>
  <c r="Q203" i="1"/>
  <c r="S203" i="1"/>
  <c r="M204" i="1"/>
  <c r="I204" i="1"/>
  <c r="J204" i="1"/>
  <c r="P204" i="1"/>
  <c r="Q204" i="1"/>
  <c r="S204" i="1"/>
  <c r="M205" i="1"/>
  <c r="I205" i="1"/>
  <c r="J205" i="1"/>
  <c r="P205" i="1"/>
  <c r="Q205" i="1"/>
  <c r="S205" i="1"/>
  <c r="M206" i="1"/>
  <c r="I206" i="1"/>
  <c r="J206" i="1"/>
  <c r="P206" i="1"/>
  <c r="Q206" i="1"/>
  <c r="S206" i="1"/>
  <c r="M207" i="1"/>
  <c r="I207" i="1"/>
  <c r="J207" i="1"/>
  <c r="P207" i="1"/>
  <c r="Q207" i="1"/>
  <c r="S207" i="1"/>
  <c r="M208" i="1"/>
  <c r="I208" i="1"/>
  <c r="J208" i="1"/>
  <c r="P208" i="1"/>
  <c r="Q208" i="1"/>
  <c r="S208" i="1"/>
  <c r="M209" i="1"/>
  <c r="I209" i="1"/>
  <c r="J209" i="1"/>
  <c r="P209" i="1"/>
  <c r="Q209" i="1"/>
  <c r="S209" i="1"/>
  <c r="M210" i="1"/>
  <c r="I210" i="1"/>
  <c r="J210" i="1"/>
  <c r="P210" i="1"/>
  <c r="Q210" i="1"/>
  <c r="S210" i="1"/>
  <c r="M211" i="1"/>
  <c r="I211" i="1"/>
  <c r="J211" i="1"/>
  <c r="P211" i="1"/>
  <c r="Q211" i="1"/>
  <c r="S211" i="1"/>
  <c r="M212" i="1"/>
  <c r="I212" i="1"/>
  <c r="J212" i="1"/>
  <c r="P212" i="1"/>
  <c r="Q212" i="1"/>
  <c r="S212" i="1"/>
  <c r="M213" i="1"/>
  <c r="I213" i="1"/>
  <c r="J213" i="1"/>
  <c r="P213" i="1"/>
  <c r="Q213" i="1"/>
  <c r="S213" i="1"/>
  <c r="M214" i="1"/>
  <c r="I214" i="1"/>
  <c r="J214" i="1"/>
  <c r="P214" i="1"/>
  <c r="Q214" i="1"/>
  <c r="S214" i="1"/>
  <c r="M215" i="1"/>
  <c r="I215" i="1"/>
  <c r="J215" i="1"/>
  <c r="P215" i="1"/>
  <c r="Q215" i="1"/>
  <c r="S215" i="1"/>
  <c r="M216" i="1"/>
  <c r="I216" i="1"/>
  <c r="J216" i="1"/>
  <c r="P216" i="1"/>
  <c r="Q216" i="1"/>
  <c r="S216" i="1"/>
  <c r="M217" i="1"/>
  <c r="I217" i="1"/>
  <c r="J217" i="1"/>
  <c r="P217" i="1"/>
  <c r="Q217" i="1"/>
  <c r="S217" i="1"/>
  <c r="M218" i="1"/>
  <c r="I218" i="1"/>
  <c r="J218" i="1"/>
  <c r="P218" i="1"/>
  <c r="Q218" i="1"/>
  <c r="S218" i="1"/>
  <c r="M219" i="1"/>
  <c r="I219" i="1"/>
  <c r="J219" i="1"/>
  <c r="P219" i="1"/>
  <c r="Q219" i="1"/>
  <c r="S219" i="1"/>
  <c r="M220" i="1"/>
  <c r="I220" i="1"/>
  <c r="J220" i="1"/>
  <c r="P220" i="1"/>
  <c r="Q220" i="1"/>
  <c r="S220" i="1"/>
  <c r="M221" i="1"/>
  <c r="I221" i="1"/>
  <c r="J221" i="1"/>
  <c r="P221" i="1"/>
  <c r="Q221" i="1"/>
  <c r="S221" i="1"/>
  <c r="M222" i="1"/>
  <c r="I222" i="1"/>
  <c r="J222" i="1"/>
  <c r="P222" i="1"/>
  <c r="Q222" i="1"/>
  <c r="S222" i="1"/>
  <c r="M223" i="1"/>
  <c r="I223" i="1"/>
  <c r="J223" i="1"/>
  <c r="P223" i="1"/>
  <c r="Q223" i="1"/>
  <c r="S223" i="1"/>
  <c r="M224" i="1"/>
  <c r="I224" i="1"/>
  <c r="J224" i="1"/>
  <c r="P224" i="1"/>
  <c r="Q224" i="1"/>
  <c r="S224" i="1"/>
  <c r="M225" i="1"/>
  <c r="I225" i="1"/>
  <c r="J225" i="1"/>
  <c r="P225" i="1"/>
  <c r="Q225" i="1"/>
  <c r="S225" i="1"/>
  <c r="M226" i="1"/>
  <c r="I226" i="1"/>
  <c r="J226" i="1"/>
  <c r="P226" i="1"/>
  <c r="Q226" i="1"/>
  <c r="S226" i="1"/>
  <c r="M227" i="1"/>
  <c r="I227" i="1"/>
  <c r="J227" i="1"/>
  <c r="P227" i="1"/>
  <c r="Q227" i="1"/>
  <c r="S227" i="1"/>
  <c r="M228" i="1"/>
  <c r="I228" i="1"/>
  <c r="J228" i="1"/>
  <c r="P228" i="1"/>
  <c r="Q228" i="1"/>
  <c r="S228" i="1"/>
  <c r="M229" i="1"/>
  <c r="I229" i="1"/>
  <c r="J229" i="1"/>
  <c r="P229" i="1"/>
  <c r="Q229" i="1"/>
  <c r="S229" i="1"/>
  <c r="M230" i="1"/>
  <c r="I230" i="1"/>
  <c r="J230" i="1"/>
  <c r="P230" i="1"/>
  <c r="Q230" i="1"/>
  <c r="S230" i="1"/>
  <c r="M231" i="1"/>
  <c r="I231" i="1"/>
  <c r="J231" i="1"/>
  <c r="P231" i="1"/>
  <c r="Q231" i="1"/>
  <c r="S231" i="1"/>
  <c r="M232" i="1"/>
  <c r="I232" i="1"/>
  <c r="J232" i="1"/>
  <c r="P232" i="1"/>
  <c r="Q232" i="1"/>
  <c r="S232" i="1"/>
  <c r="M233" i="1"/>
  <c r="I233" i="1"/>
  <c r="J233" i="1"/>
  <c r="P233" i="1"/>
  <c r="Q233" i="1"/>
  <c r="S233" i="1"/>
  <c r="M234" i="1"/>
  <c r="I234" i="1"/>
  <c r="J234" i="1"/>
  <c r="P234" i="1"/>
  <c r="Q234" i="1"/>
  <c r="S234" i="1"/>
  <c r="M235" i="1"/>
  <c r="I235" i="1"/>
  <c r="J235" i="1"/>
  <c r="P235" i="1"/>
  <c r="Q235" i="1"/>
  <c r="S235" i="1"/>
  <c r="M236" i="1"/>
  <c r="I236" i="1"/>
  <c r="J236" i="1"/>
  <c r="P236" i="1"/>
  <c r="Q236" i="1"/>
  <c r="S236" i="1"/>
  <c r="M237" i="1"/>
  <c r="I237" i="1"/>
  <c r="J237" i="1"/>
  <c r="P237" i="1"/>
  <c r="Q237" i="1"/>
  <c r="S237" i="1"/>
  <c r="M238" i="1"/>
  <c r="I238" i="1"/>
  <c r="J238" i="1"/>
  <c r="P238" i="1"/>
  <c r="Q238" i="1"/>
  <c r="S238" i="1"/>
  <c r="M239" i="1"/>
  <c r="I239" i="1"/>
  <c r="J239" i="1"/>
  <c r="P239" i="1"/>
  <c r="Q239" i="1"/>
  <c r="S239" i="1"/>
  <c r="M240" i="1"/>
  <c r="I240" i="1"/>
  <c r="J240" i="1"/>
  <c r="P240" i="1"/>
  <c r="Q240" i="1"/>
  <c r="S240" i="1"/>
  <c r="M241" i="1"/>
  <c r="I241" i="1"/>
  <c r="J241" i="1"/>
  <c r="P241" i="1"/>
  <c r="Q241" i="1"/>
  <c r="S241" i="1"/>
  <c r="M242" i="1"/>
  <c r="I242" i="1"/>
  <c r="J242" i="1"/>
  <c r="P242" i="1"/>
  <c r="Q242" i="1"/>
  <c r="S242" i="1"/>
  <c r="M243" i="1"/>
  <c r="I243" i="1"/>
  <c r="J243" i="1"/>
  <c r="P243" i="1"/>
  <c r="Q243" i="1"/>
  <c r="S243" i="1"/>
  <c r="M244" i="1"/>
  <c r="I244" i="1"/>
  <c r="J244" i="1"/>
  <c r="P244" i="1"/>
  <c r="Q244" i="1"/>
  <c r="S244" i="1"/>
  <c r="M245" i="1"/>
  <c r="I245" i="1"/>
  <c r="J245" i="1"/>
  <c r="P245" i="1"/>
  <c r="Q245" i="1"/>
  <c r="S245" i="1"/>
  <c r="M246" i="1"/>
  <c r="I246" i="1"/>
  <c r="J246" i="1"/>
  <c r="P246" i="1"/>
  <c r="Q246" i="1"/>
  <c r="S246" i="1"/>
  <c r="M247" i="1"/>
  <c r="I247" i="1"/>
  <c r="J247" i="1"/>
  <c r="P247" i="1"/>
  <c r="Q247" i="1"/>
  <c r="S247" i="1"/>
  <c r="M248" i="1"/>
  <c r="I248" i="1"/>
  <c r="J248" i="1"/>
  <c r="P248" i="1"/>
  <c r="Q248" i="1"/>
  <c r="S248" i="1"/>
  <c r="M249" i="1"/>
  <c r="I249" i="1"/>
  <c r="J249" i="1"/>
  <c r="P249" i="1"/>
  <c r="Q249" i="1"/>
  <c r="S249" i="1"/>
  <c r="M250" i="1"/>
  <c r="I250" i="1"/>
  <c r="J250" i="1"/>
  <c r="P250" i="1"/>
  <c r="Q250" i="1"/>
  <c r="S250" i="1"/>
  <c r="M251" i="1"/>
  <c r="I251" i="1"/>
  <c r="J251" i="1"/>
  <c r="P251" i="1"/>
  <c r="Q251" i="1"/>
  <c r="S251" i="1"/>
  <c r="M252" i="1"/>
  <c r="I252" i="1"/>
  <c r="J252" i="1"/>
  <c r="P252" i="1"/>
  <c r="Q252" i="1"/>
  <c r="S252" i="1"/>
  <c r="M253" i="1"/>
  <c r="I253" i="1"/>
  <c r="J253" i="1"/>
  <c r="P253" i="1"/>
  <c r="Q253" i="1"/>
  <c r="S253" i="1"/>
  <c r="M254" i="1"/>
  <c r="I254" i="1"/>
  <c r="J254" i="1"/>
  <c r="P254" i="1"/>
  <c r="Q254" i="1"/>
  <c r="S254" i="1"/>
  <c r="M255" i="1"/>
  <c r="I255" i="1"/>
  <c r="J255" i="1"/>
  <c r="P255" i="1"/>
  <c r="Q255" i="1"/>
  <c r="S255" i="1"/>
  <c r="M256" i="1"/>
  <c r="I256" i="1"/>
  <c r="J256" i="1"/>
  <c r="P256" i="1"/>
  <c r="Q256" i="1"/>
  <c r="S256" i="1"/>
  <c r="M257" i="1"/>
  <c r="I257" i="1"/>
  <c r="J257" i="1"/>
  <c r="P257" i="1"/>
  <c r="Q257" i="1"/>
  <c r="S257" i="1"/>
  <c r="M258" i="1"/>
  <c r="I258" i="1"/>
  <c r="J258" i="1"/>
  <c r="P258" i="1"/>
  <c r="Q258" i="1"/>
  <c r="S258" i="1"/>
  <c r="M259" i="1"/>
  <c r="I259" i="1"/>
  <c r="J259" i="1"/>
  <c r="P259" i="1"/>
  <c r="Q259" i="1"/>
  <c r="S259" i="1"/>
  <c r="M260" i="1"/>
  <c r="I260" i="1"/>
  <c r="J260" i="1"/>
  <c r="P260" i="1"/>
  <c r="Q260" i="1"/>
  <c r="S260" i="1"/>
  <c r="M261" i="1"/>
  <c r="I261" i="1"/>
  <c r="J261" i="1"/>
  <c r="P261" i="1"/>
  <c r="Q261" i="1"/>
  <c r="S261" i="1"/>
  <c r="M262" i="1"/>
  <c r="I262" i="1"/>
  <c r="J262" i="1"/>
  <c r="P262" i="1"/>
  <c r="Q262" i="1"/>
  <c r="S262" i="1"/>
  <c r="M263" i="1"/>
  <c r="I263" i="1"/>
  <c r="J263" i="1"/>
  <c r="P263" i="1"/>
  <c r="Q263" i="1"/>
  <c r="S263" i="1"/>
  <c r="M264" i="1"/>
  <c r="I264" i="1"/>
  <c r="J264" i="1"/>
  <c r="P264" i="1"/>
  <c r="Q264" i="1"/>
  <c r="S264" i="1"/>
  <c r="M265" i="1"/>
  <c r="I265" i="1"/>
  <c r="J265" i="1"/>
  <c r="P265" i="1"/>
  <c r="Q265" i="1"/>
  <c r="S265" i="1"/>
  <c r="M266" i="1"/>
  <c r="I266" i="1"/>
  <c r="J266" i="1"/>
  <c r="P266" i="1"/>
  <c r="Q266" i="1"/>
  <c r="S266" i="1"/>
  <c r="M267" i="1"/>
  <c r="I267" i="1"/>
  <c r="J267" i="1"/>
  <c r="P267" i="1"/>
  <c r="Q267" i="1"/>
  <c r="S267" i="1"/>
  <c r="M268" i="1"/>
  <c r="I268" i="1"/>
  <c r="J268" i="1"/>
  <c r="P268" i="1"/>
  <c r="Q268" i="1"/>
  <c r="S268" i="1"/>
  <c r="M269" i="1"/>
  <c r="I269" i="1"/>
  <c r="J269" i="1"/>
  <c r="P269" i="1"/>
  <c r="Q269" i="1"/>
  <c r="S269" i="1"/>
  <c r="M270" i="1"/>
  <c r="I270" i="1"/>
  <c r="J270" i="1"/>
  <c r="P270" i="1"/>
  <c r="Q270" i="1"/>
  <c r="S270" i="1"/>
  <c r="M271" i="1"/>
  <c r="I271" i="1"/>
  <c r="J271" i="1"/>
  <c r="P271" i="1"/>
  <c r="Q271" i="1"/>
  <c r="S271" i="1"/>
  <c r="M272" i="1"/>
  <c r="I272" i="1"/>
  <c r="J272" i="1"/>
  <c r="P272" i="1"/>
  <c r="Q272" i="1"/>
  <c r="S272" i="1"/>
  <c r="M273" i="1"/>
  <c r="I273" i="1"/>
  <c r="J273" i="1"/>
  <c r="P273" i="1"/>
  <c r="Q273" i="1"/>
  <c r="S273" i="1"/>
  <c r="M274" i="1"/>
  <c r="I274" i="1"/>
  <c r="J274" i="1"/>
  <c r="P274" i="1"/>
  <c r="Q274" i="1"/>
  <c r="S274" i="1"/>
  <c r="M275" i="1"/>
  <c r="I275" i="1"/>
  <c r="J275" i="1"/>
  <c r="P275" i="1"/>
  <c r="Q275" i="1"/>
  <c r="S275" i="1"/>
  <c r="M276" i="1"/>
  <c r="I276" i="1"/>
  <c r="J276" i="1"/>
  <c r="P276" i="1"/>
  <c r="Q276" i="1"/>
  <c r="S276" i="1"/>
  <c r="M277" i="1"/>
  <c r="I277" i="1"/>
  <c r="J277" i="1"/>
  <c r="P277" i="1"/>
  <c r="Q277" i="1"/>
  <c r="S277" i="1"/>
  <c r="M278" i="1"/>
  <c r="I278" i="1"/>
  <c r="J278" i="1"/>
  <c r="P278" i="1"/>
  <c r="Q278" i="1"/>
  <c r="S278" i="1"/>
  <c r="M279" i="1"/>
  <c r="I279" i="1"/>
  <c r="J279" i="1"/>
  <c r="P279" i="1"/>
  <c r="Q279" i="1"/>
  <c r="S279" i="1"/>
  <c r="M280" i="1"/>
  <c r="I280" i="1"/>
  <c r="J280" i="1"/>
  <c r="P280" i="1"/>
  <c r="Q280" i="1"/>
  <c r="S280" i="1"/>
  <c r="M281" i="1"/>
  <c r="I281" i="1"/>
  <c r="J281" i="1"/>
  <c r="P281" i="1"/>
  <c r="Q281" i="1"/>
  <c r="S281" i="1"/>
  <c r="M282" i="1"/>
  <c r="I282" i="1"/>
  <c r="J282" i="1"/>
  <c r="P282" i="1"/>
  <c r="Q282" i="1"/>
  <c r="S282" i="1"/>
  <c r="M283" i="1"/>
  <c r="I283" i="1"/>
  <c r="J283" i="1"/>
  <c r="P283" i="1"/>
  <c r="Q283" i="1"/>
  <c r="S283" i="1"/>
  <c r="M284" i="1"/>
  <c r="I284" i="1"/>
  <c r="J284" i="1"/>
  <c r="P284" i="1"/>
  <c r="Q284" i="1"/>
  <c r="S284" i="1"/>
  <c r="M285" i="1"/>
  <c r="I285" i="1"/>
  <c r="J285" i="1"/>
  <c r="P285" i="1"/>
  <c r="Q285" i="1"/>
  <c r="S285" i="1"/>
  <c r="M286" i="1"/>
  <c r="I286" i="1"/>
  <c r="J286" i="1"/>
  <c r="P286" i="1"/>
  <c r="Q286" i="1"/>
  <c r="S286" i="1"/>
  <c r="M287" i="1"/>
  <c r="I287" i="1"/>
  <c r="J287" i="1"/>
  <c r="P287" i="1"/>
  <c r="Q287" i="1"/>
  <c r="S287" i="1"/>
  <c r="M288" i="1"/>
  <c r="I288" i="1"/>
  <c r="J288" i="1"/>
  <c r="P288" i="1"/>
  <c r="Q288" i="1"/>
  <c r="S288" i="1"/>
  <c r="M289" i="1"/>
  <c r="I289" i="1"/>
  <c r="J289" i="1"/>
  <c r="P289" i="1"/>
  <c r="Q289" i="1"/>
  <c r="S289" i="1"/>
  <c r="M290" i="1"/>
  <c r="I290" i="1"/>
  <c r="J290" i="1"/>
  <c r="P290" i="1"/>
  <c r="Q290" i="1"/>
  <c r="S290" i="1"/>
  <c r="M291" i="1"/>
  <c r="I291" i="1"/>
  <c r="J291" i="1"/>
  <c r="P291" i="1"/>
  <c r="Q291" i="1"/>
  <c r="S291" i="1"/>
  <c r="M292" i="1"/>
  <c r="I292" i="1"/>
  <c r="J292" i="1"/>
  <c r="P292" i="1"/>
  <c r="Q292" i="1"/>
  <c r="S292" i="1"/>
  <c r="M293" i="1"/>
  <c r="I293" i="1"/>
  <c r="J293" i="1"/>
  <c r="P293" i="1"/>
  <c r="Q293" i="1"/>
  <c r="S293" i="1"/>
  <c r="M294" i="1"/>
  <c r="I294" i="1"/>
  <c r="J294" i="1"/>
  <c r="P294" i="1"/>
  <c r="Q294" i="1"/>
  <c r="S294" i="1"/>
  <c r="M295" i="1"/>
  <c r="I295" i="1"/>
  <c r="J295" i="1"/>
  <c r="P295" i="1"/>
  <c r="Q295" i="1"/>
  <c r="S295" i="1"/>
  <c r="M296" i="1"/>
  <c r="I296" i="1"/>
  <c r="J296" i="1"/>
  <c r="P296" i="1"/>
  <c r="Q296" i="1"/>
  <c r="S296" i="1"/>
  <c r="M297" i="1"/>
  <c r="I297" i="1"/>
  <c r="J297" i="1"/>
  <c r="P297" i="1"/>
  <c r="Q297" i="1"/>
  <c r="S297" i="1"/>
  <c r="M298" i="1"/>
  <c r="I298" i="1"/>
  <c r="J298" i="1"/>
  <c r="P298" i="1"/>
  <c r="Q298" i="1"/>
  <c r="S298" i="1"/>
  <c r="M299" i="1"/>
  <c r="I299" i="1"/>
  <c r="J299" i="1"/>
  <c r="P299" i="1"/>
  <c r="Q299" i="1"/>
  <c r="S299" i="1"/>
  <c r="M300" i="1"/>
  <c r="I300" i="1"/>
  <c r="J300" i="1"/>
  <c r="P300" i="1"/>
  <c r="Q300" i="1"/>
  <c r="S300" i="1"/>
  <c r="M301" i="1"/>
  <c r="I301" i="1"/>
  <c r="J301" i="1"/>
  <c r="P301" i="1"/>
  <c r="Q301" i="1"/>
  <c r="S301" i="1"/>
  <c r="M302" i="1"/>
  <c r="I302" i="1"/>
  <c r="J302" i="1"/>
  <c r="P302" i="1"/>
  <c r="Q302" i="1"/>
  <c r="S302" i="1"/>
  <c r="M303" i="1"/>
  <c r="I303" i="1"/>
  <c r="J303" i="1"/>
  <c r="P303" i="1"/>
  <c r="Q303" i="1"/>
  <c r="S303" i="1"/>
  <c r="M304" i="1"/>
  <c r="I304" i="1"/>
  <c r="J304" i="1"/>
  <c r="P304" i="1"/>
  <c r="Q304" i="1"/>
  <c r="S304" i="1"/>
  <c r="M305" i="1"/>
  <c r="I305" i="1"/>
  <c r="J305" i="1"/>
  <c r="P305" i="1"/>
  <c r="Q305" i="1"/>
  <c r="S305" i="1"/>
  <c r="M306" i="1"/>
  <c r="I306" i="1"/>
  <c r="J306" i="1"/>
  <c r="P306" i="1"/>
  <c r="Q306" i="1"/>
  <c r="S306" i="1"/>
  <c r="M307" i="1"/>
  <c r="I307" i="1"/>
  <c r="J307" i="1"/>
  <c r="P307" i="1"/>
  <c r="Q307" i="1"/>
  <c r="S307" i="1"/>
  <c r="M308" i="1"/>
  <c r="I308" i="1"/>
  <c r="J308" i="1"/>
  <c r="P308" i="1"/>
  <c r="Q308" i="1"/>
  <c r="S308" i="1"/>
  <c r="M309" i="1"/>
  <c r="I309" i="1"/>
  <c r="J309" i="1"/>
  <c r="P309" i="1"/>
  <c r="Q309" i="1"/>
  <c r="S309" i="1"/>
  <c r="M310" i="1"/>
  <c r="I310" i="1"/>
  <c r="J310" i="1"/>
  <c r="P310" i="1"/>
  <c r="Q310" i="1"/>
  <c r="S310" i="1"/>
  <c r="M311" i="1"/>
  <c r="I311" i="1"/>
  <c r="J311" i="1"/>
  <c r="P311" i="1"/>
  <c r="Q311" i="1"/>
  <c r="S311" i="1"/>
  <c r="M312" i="1"/>
  <c r="I312" i="1"/>
  <c r="J312" i="1"/>
  <c r="P312" i="1"/>
  <c r="Q312" i="1"/>
  <c r="S312" i="1"/>
  <c r="M313" i="1"/>
  <c r="I313" i="1"/>
  <c r="J313" i="1"/>
  <c r="P313" i="1"/>
  <c r="Q313" i="1"/>
  <c r="S313" i="1"/>
  <c r="M314" i="1"/>
  <c r="I314" i="1"/>
  <c r="J314" i="1"/>
  <c r="P314" i="1"/>
  <c r="Q314" i="1"/>
  <c r="S314" i="1"/>
  <c r="M315" i="1"/>
  <c r="I315" i="1"/>
  <c r="J315" i="1"/>
  <c r="P315" i="1"/>
  <c r="Q315" i="1"/>
  <c r="S315" i="1"/>
  <c r="M316" i="1"/>
  <c r="I316" i="1"/>
  <c r="J316" i="1"/>
  <c r="P316" i="1"/>
  <c r="Q316" i="1"/>
  <c r="S316" i="1"/>
  <c r="M317" i="1"/>
  <c r="I317" i="1"/>
  <c r="J317" i="1"/>
  <c r="P317" i="1"/>
  <c r="Q317" i="1"/>
  <c r="S317" i="1"/>
  <c r="M318" i="1"/>
  <c r="I318" i="1"/>
  <c r="J318" i="1"/>
  <c r="P318" i="1"/>
  <c r="Q318" i="1"/>
  <c r="S318" i="1"/>
  <c r="M319" i="1"/>
  <c r="I319" i="1"/>
  <c r="J319" i="1"/>
  <c r="P319" i="1"/>
  <c r="Q319" i="1"/>
  <c r="S319" i="1"/>
  <c r="M320" i="1"/>
  <c r="I320" i="1"/>
  <c r="J320" i="1"/>
  <c r="P320" i="1"/>
  <c r="Q320" i="1"/>
  <c r="S320" i="1"/>
  <c r="M321" i="1"/>
  <c r="I321" i="1"/>
  <c r="J321" i="1"/>
  <c r="P321" i="1"/>
  <c r="Q321" i="1"/>
  <c r="S321" i="1"/>
  <c r="M322" i="1"/>
  <c r="I322" i="1"/>
  <c r="J322" i="1"/>
  <c r="P322" i="1"/>
  <c r="Q322" i="1"/>
  <c r="S322" i="1"/>
  <c r="M323" i="1"/>
  <c r="I323" i="1"/>
  <c r="J323" i="1"/>
  <c r="P323" i="1"/>
  <c r="Q323" i="1"/>
  <c r="S323" i="1"/>
  <c r="M324" i="1"/>
  <c r="I324" i="1"/>
  <c r="J324" i="1"/>
  <c r="P324" i="1"/>
  <c r="Q324" i="1"/>
  <c r="S324" i="1"/>
  <c r="M325" i="1"/>
  <c r="I325" i="1"/>
  <c r="J325" i="1"/>
  <c r="P325" i="1"/>
  <c r="Q325" i="1"/>
  <c r="S325" i="1"/>
  <c r="M326" i="1"/>
  <c r="I326" i="1"/>
  <c r="J326" i="1"/>
  <c r="P326" i="1"/>
  <c r="Q326" i="1"/>
  <c r="S326" i="1"/>
  <c r="M327" i="1"/>
  <c r="I327" i="1"/>
  <c r="J327" i="1"/>
  <c r="P327" i="1"/>
  <c r="Q327" i="1"/>
  <c r="S327" i="1"/>
  <c r="M328" i="1"/>
  <c r="I328" i="1"/>
  <c r="J328" i="1"/>
  <c r="P328" i="1"/>
  <c r="Q328" i="1"/>
  <c r="S328" i="1"/>
  <c r="M329" i="1"/>
  <c r="I329" i="1"/>
  <c r="J329" i="1"/>
  <c r="P329" i="1"/>
  <c r="Q329" i="1"/>
  <c r="S329" i="1"/>
  <c r="M330" i="1"/>
  <c r="I330" i="1"/>
  <c r="J330" i="1"/>
  <c r="P330" i="1"/>
  <c r="Q330" i="1"/>
  <c r="S330" i="1"/>
  <c r="M331" i="1"/>
  <c r="I331" i="1"/>
  <c r="J331" i="1"/>
  <c r="P331" i="1"/>
  <c r="Q331" i="1"/>
  <c r="S331" i="1"/>
  <c r="M332" i="1"/>
  <c r="I332" i="1"/>
  <c r="J332" i="1"/>
  <c r="P332" i="1"/>
  <c r="Q332" i="1"/>
  <c r="S332" i="1"/>
  <c r="M333" i="1"/>
  <c r="I333" i="1"/>
  <c r="J333" i="1"/>
  <c r="P333" i="1"/>
  <c r="Q333" i="1"/>
  <c r="S333" i="1"/>
  <c r="M334" i="1"/>
  <c r="I334" i="1"/>
  <c r="J334" i="1"/>
  <c r="P334" i="1"/>
  <c r="Q334" i="1"/>
  <c r="S334" i="1"/>
  <c r="M335" i="1"/>
  <c r="I335" i="1"/>
  <c r="J335" i="1"/>
  <c r="P335" i="1"/>
  <c r="Q335" i="1"/>
  <c r="S335" i="1"/>
  <c r="M336" i="1"/>
  <c r="I336" i="1"/>
  <c r="J336" i="1"/>
  <c r="P336" i="1"/>
  <c r="Q336" i="1"/>
  <c r="S336" i="1"/>
  <c r="M337" i="1"/>
  <c r="I337" i="1"/>
  <c r="J337" i="1"/>
  <c r="P337" i="1"/>
  <c r="Q337" i="1"/>
  <c r="S337" i="1"/>
  <c r="M338" i="1"/>
  <c r="I338" i="1"/>
  <c r="J338" i="1"/>
  <c r="P338" i="1"/>
  <c r="Q338" i="1"/>
  <c r="S338" i="1"/>
  <c r="M339" i="1"/>
  <c r="I339" i="1"/>
  <c r="J339" i="1"/>
  <c r="P339" i="1"/>
  <c r="Q339" i="1"/>
  <c r="S339" i="1"/>
  <c r="M340" i="1"/>
  <c r="I340" i="1"/>
  <c r="J340" i="1"/>
  <c r="P340" i="1"/>
  <c r="Q340" i="1"/>
  <c r="S340" i="1"/>
  <c r="M341" i="1"/>
  <c r="I341" i="1"/>
  <c r="J341" i="1"/>
  <c r="P341" i="1"/>
  <c r="Q341" i="1"/>
  <c r="S341" i="1"/>
  <c r="M342" i="1"/>
  <c r="I342" i="1"/>
  <c r="J342" i="1"/>
  <c r="P342" i="1"/>
  <c r="Q342" i="1"/>
  <c r="S342" i="1"/>
  <c r="M343" i="1"/>
  <c r="I343" i="1"/>
  <c r="J343" i="1"/>
  <c r="P343" i="1"/>
  <c r="Q343" i="1"/>
  <c r="S343" i="1"/>
  <c r="M344" i="1"/>
  <c r="I344" i="1"/>
  <c r="J344" i="1"/>
  <c r="P344" i="1"/>
  <c r="Q344" i="1"/>
  <c r="S344" i="1"/>
  <c r="M345" i="1"/>
  <c r="I345" i="1"/>
  <c r="J345" i="1"/>
  <c r="P345" i="1"/>
  <c r="Q345" i="1"/>
  <c r="S345" i="1"/>
  <c r="M346" i="1"/>
  <c r="I346" i="1"/>
  <c r="J346" i="1"/>
  <c r="P346" i="1"/>
  <c r="Q346" i="1"/>
  <c r="S346" i="1"/>
  <c r="M347" i="1"/>
  <c r="I347" i="1"/>
  <c r="J347" i="1"/>
  <c r="P347" i="1"/>
  <c r="Q347" i="1"/>
  <c r="S347" i="1"/>
  <c r="M348" i="1"/>
  <c r="I348" i="1"/>
  <c r="J348" i="1"/>
  <c r="P348" i="1"/>
  <c r="Q348" i="1"/>
  <c r="S348" i="1"/>
  <c r="M349" i="1"/>
  <c r="I349" i="1"/>
  <c r="J349" i="1"/>
  <c r="P349" i="1"/>
  <c r="Q349" i="1"/>
  <c r="S349" i="1"/>
  <c r="M350" i="1"/>
  <c r="I350" i="1"/>
  <c r="J350" i="1"/>
  <c r="P350" i="1"/>
  <c r="Q350" i="1"/>
  <c r="S350" i="1"/>
  <c r="M351" i="1"/>
  <c r="I351" i="1"/>
  <c r="J351" i="1"/>
  <c r="P351" i="1"/>
  <c r="Q351" i="1"/>
  <c r="S351" i="1"/>
  <c r="M352" i="1"/>
  <c r="I352" i="1"/>
  <c r="J352" i="1"/>
  <c r="P352" i="1"/>
  <c r="Q352" i="1"/>
  <c r="S352" i="1"/>
  <c r="M353" i="1"/>
  <c r="I353" i="1"/>
  <c r="J353" i="1"/>
  <c r="P353" i="1"/>
  <c r="Q353" i="1"/>
  <c r="S353" i="1"/>
  <c r="M354" i="1"/>
  <c r="I354" i="1"/>
  <c r="J354" i="1"/>
  <c r="P354" i="1"/>
  <c r="Q354" i="1"/>
  <c r="S354" i="1"/>
  <c r="M355" i="1"/>
  <c r="I355" i="1"/>
  <c r="J355" i="1"/>
  <c r="P355" i="1"/>
  <c r="Q355" i="1"/>
  <c r="S355" i="1"/>
  <c r="M356" i="1"/>
  <c r="I356" i="1"/>
  <c r="J356" i="1"/>
  <c r="P356" i="1"/>
  <c r="Q356" i="1"/>
  <c r="S356" i="1"/>
  <c r="M357" i="1"/>
  <c r="I357" i="1"/>
  <c r="J357" i="1"/>
  <c r="P357" i="1"/>
  <c r="Q357" i="1"/>
  <c r="S357" i="1"/>
  <c r="M358" i="1"/>
  <c r="I358" i="1"/>
  <c r="J358" i="1"/>
  <c r="P358" i="1"/>
  <c r="Q358" i="1"/>
  <c r="S358" i="1"/>
  <c r="M359" i="1"/>
  <c r="I359" i="1"/>
  <c r="J359" i="1"/>
  <c r="P359" i="1"/>
  <c r="Q359" i="1"/>
  <c r="S359" i="1"/>
  <c r="M360" i="1"/>
  <c r="I360" i="1"/>
  <c r="J360" i="1"/>
  <c r="P360" i="1"/>
  <c r="Q360" i="1"/>
  <c r="S360" i="1"/>
  <c r="M361" i="1"/>
  <c r="I361" i="1"/>
  <c r="J361" i="1"/>
  <c r="P361" i="1"/>
  <c r="Q361" i="1"/>
  <c r="S361" i="1"/>
  <c r="M362" i="1"/>
  <c r="I362" i="1"/>
  <c r="J362" i="1"/>
  <c r="P362" i="1"/>
  <c r="Q362" i="1"/>
  <c r="S362" i="1"/>
  <c r="M363" i="1"/>
  <c r="I363" i="1"/>
  <c r="J363" i="1"/>
  <c r="P363" i="1"/>
  <c r="Q363" i="1"/>
  <c r="S363" i="1"/>
  <c r="M364" i="1"/>
  <c r="I364" i="1"/>
  <c r="J364" i="1"/>
  <c r="P364" i="1"/>
  <c r="Q364" i="1"/>
  <c r="S364" i="1"/>
  <c r="M365" i="1"/>
  <c r="I365" i="1"/>
  <c r="J365" i="1"/>
  <c r="P365" i="1"/>
  <c r="Q365" i="1"/>
  <c r="S365" i="1"/>
  <c r="M366" i="1"/>
  <c r="I366" i="1"/>
  <c r="J366" i="1"/>
  <c r="P366" i="1"/>
  <c r="Q366" i="1"/>
  <c r="S366" i="1"/>
  <c r="M367" i="1"/>
  <c r="I367" i="1"/>
  <c r="J367" i="1"/>
  <c r="P367" i="1"/>
  <c r="Q367" i="1"/>
  <c r="S367" i="1"/>
  <c r="M368" i="1"/>
  <c r="I368" i="1"/>
  <c r="J368" i="1"/>
  <c r="P368" i="1"/>
  <c r="Q368" i="1"/>
  <c r="S368" i="1"/>
  <c r="M369" i="1"/>
  <c r="I369" i="1"/>
  <c r="J369" i="1"/>
  <c r="P369" i="1"/>
  <c r="Q369" i="1"/>
  <c r="S369" i="1"/>
  <c r="M370" i="1"/>
  <c r="I370" i="1"/>
  <c r="J370" i="1"/>
  <c r="P370" i="1"/>
  <c r="Q370" i="1"/>
  <c r="S370" i="1"/>
  <c r="M371" i="1"/>
  <c r="I371" i="1"/>
  <c r="J371" i="1"/>
  <c r="P371" i="1"/>
  <c r="Q371" i="1"/>
  <c r="S371" i="1"/>
  <c r="M372" i="1"/>
  <c r="I372" i="1"/>
  <c r="J372" i="1"/>
  <c r="P372" i="1"/>
  <c r="Q372" i="1"/>
  <c r="S372" i="1"/>
  <c r="M373" i="1"/>
  <c r="I373" i="1"/>
  <c r="J373" i="1"/>
  <c r="P373" i="1"/>
  <c r="Q373" i="1"/>
  <c r="S373" i="1"/>
  <c r="M374" i="1"/>
  <c r="I374" i="1"/>
  <c r="J374" i="1"/>
  <c r="P374" i="1"/>
  <c r="Q374" i="1"/>
  <c r="S374" i="1"/>
  <c r="M375" i="1"/>
  <c r="I375" i="1"/>
  <c r="J375" i="1"/>
  <c r="P375" i="1"/>
  <c r="Q375" i="1"/>
  <c r="S375" i="1"/>
  <c r="M376" i="1"/>
  <c r="I376" i="1"/>
  <c r="J376" i="1"/>
  <c r="P376" i="1"/>
  <c r="Q376" i="1"/>
  <c r="S376" i="1"/>
  <c r="M377" i="1"/>
  <c r="I377" i="1"/>
  <c r="J377" i="1"/>
  <c r="P377" i="1"/>
  <c r="Q377" i="1"/>
  <c r="S377" i="1"/>
  <c r="M378" i="1"/>
  <c r="I378" i="1"/>
  <c r="J378" i="1"/>
  <c r="P378" i="1"/>
  <c r="Q378" i="1"/>
  <c r="S378" i="1"/>
  <c r="P381" i="1"/>
  <c r="Q381" i="1"/>
  <c r="S381" i="1"/>
  <c r="P382" i="1"/>
  <c r="Q382" i="1"/>
  <c r="S382" i="1"/>
  <c r="P383" i="1"/>
  <c r="Q383" i="1"/>
  <c r="S383" i="1"/>
  <c r="P384" i="1"/>
  <c r="Q384" i="1"/>
  <c r="S384" i="1"/>
  <c r="P385" i="1"/>
  <c r="Q385" i="1"/>
  <c r="S385" i="1"/>
  <c r="P386" i="1"/>
  <c r="Q386" i="1"/>
  <c r="S386" i="1"/>
  <c r="M387" i="1"/>
  <c r="I387" i="1"/>
  <c r="J387" i="1"/>
  <c r="P387" i="1"/>
  <c r="Q387" i="1"/>
  <c r="S387" i="1"/>
  <c r="M388" i="1"/>
  <c r="I388" i="1"/>
  <c r="J388" i="1"/>
  <c r="P388" i="1"/>
  <c r="Q388" i="1"/>
  <c r="S388" i="1"/>
  <c r="M389" i="1"/>
  <c r="I389" i="1"/>
  <c r="J389" i="1"/>
  <c r="P389" i="1"/>
  <c r="Q389" i="1"/>
  <c r="S389" i="1"/>
  <c r="M390" i="1"/>
  <c r="I390" i="1"/>
  <c r="J390" i="1"/>
  <c r="P390" i="1"/>
  <c r="Q390" i="1"/>
  <c r="S390" i="1"/>
  <c r="M391" i="1"/>
  <c r="I391" i="1"/>
  <c r="J391" i="1"/>
  <c r="P391" i="1"/>
  <c r="Q391" i="1"/>
  <c r="S391" i="1"/>
  <c r="M392" i="1"/>
  <c r="I392" i="1"/>
  <c r="J392" i="1"/>
  <c r="P392" i="1"/>
  <c r="Q392" i="1"/>
  <c r="S392" i="1"/>
  <c r="M393" i="1"/>
  <c r="I393" i="1"/>
  <c r="J393" i="1"/>
  <c r="P393" i="1"/>
  <c r="Q393" i="1"/>
  <c r="S393" i="1"/>
  <c r="M394" i="1"/>
  <c r="I394" i="1"/>
  <c r="J394" i="1"/>
  <c r="P394" i="1"/>
  <c r="Q394" i="1"/>
  <c r="S394" i="1"/>
  <c r="M395" i="1"/>
  <c r="I395" i="1"/>
  <c r="J395" i="1"/>
  <c r="P395" i="1"/>
  <c r="Q395" i="1"/>
  <c r="S395" i="1"/>
  <c r="M396" i="1"/>
  <c r="I396" i="1"/>
  <c r="J396" i="1"/>
  <c r="P396" i="1"/>
  <c r="Q396" i="1"/>
  <c r="S396" i="1"/>
  <c r="M397" i="1"/>
  <c r="I397" i="1"/>
  <c r="J397" i="1"/>
  <c r="P397" i="1"/>
  <c r="Q397" i="1"/>
  <c r="S397" i="1"/>
  <c r="M398" i="1"/>
  <c r="I398" i="1"/>
  <c r="J398" i="1"/>
  <c r="P398" i="1"/>
  <c r="Q398" i="1"/>
  <c r="S398" i="1"/>
  <c r="M399" i="1"/>
  <c r="I399" i="1"/>
  <c r="J399" i="1"/>
  <c r="P399" i="1"/>
  <c r="Q399" i="1"/>
  <c r="S399" i="1"/>
  <c r="M400" i="1"/>
  <c r="I400" i="1"/>
  <c r="J400" i="1"/>
  <c r="P400" i="1"/>
  <c r="Q400" i="1"/>
  <c r="S400" i="1"/>
  <c r="M401" i="1"/>
  <c r="I401" i="1"/>
  <c r="J401" i="1"/>
  <c r="P401" i="1"/>
  <c r="Q401" i="1"/>
  <c r="S401" i="1"/>
  <c r="M402" i="1"/>
  <c r="I402" i="1"/>
  <c r="J402" i="1"/>
  <c r="P402" i="1"/>
  <c r="Q402" i="1"/>
  <c r="S402" i="1"/>
  <c r="M403" i="1"/>
  <c r="I403" i="1"/>
  <c r="J403" i="1"/>
  <c r="P403" i="1"/>
  <c r="Q403" i="1"/>
  <c r="S403" i="1"/>
  <c r="M404" i="1"/>
  <c r="I404" i="1"/>
  <c r="J404" i="1"/>
  <c r="P404" i="1"/>
  <c r="Q404" i="1"/>
  <c r="S404" i="1"/>
  <c r="M405" i="1"/>
  <c r="I405" i="1"/>
  <c r="J405" i="1"/>
  <c r="P405" i="1"/>
  <c r="Q405" i="1"/>
  <c r="S405" i="1"/>
  <c r="M406" i="1"/>
  <c r="I406" i="1"/>
  <c r="J406" i="1"/>
  <c r="P406" i="1"/>
  <c r="Q406" i="1"/>
  <c r="S406" i="1"/>
  <c r="M407" i="1"/>
  <c r="I407" i="1"/>
  <c r="J407" i="1"/>
  <c r="P407" i="1"/>
  <c r="Q407" i="1"/>
  <c r="S407" i="1"/>
  <c r="M408" i="1"/>
  <c r="I408" i="1"/>
  <c r="J408" i="1"/>
  <c r="P408" i="1"/>
  <c r="Q408" i="1"/>
  <c r="S408" i="1"/>
  <c r="M409" i="1"/>
  <c r="I409" i="1"/>
  <c r="J409" i="1"/>
  <c r="P409" i="1"/>
  <c r="Q409" i="1"/>
  <c r="S409" i="1"/>
  <c r="M410" i="1"/>
  <c r="I410" i="1"/>
  <c r="J410" i="1"/>
  <c r="P410" i="1"/>
  <c r="Q410" i="1"/>
  <c r="S410" i="1"/>
  <c r="M411" i="1"/>
  <c r="I411" i="1"/>
  <c r="J411" i="1"/>
  <c r="P411" i="1"/>
  <c r="Q411" i="1"/>
  <c r="S411" i="1"/>
  <c r="M412" i="1"/>
  <c r="I412" i="1"/>
  <c r="J412" i="1"/>
  <c r="P412" i="1"/>
  <c r="Q412" i="1"/>
  <c r="S412" i="1"/>
  <c r="M413" i="1"/>
  <c r="I413" i="1"/>
  <c r="J413" i="1"/>
  <c r="P413" i="1"/>
  <c r="Q413" i="1"/>
  <c r="S413" i="1"/>
  <c r="M414" i="1"/>
  <c r="I414" i="1"/>
  <c r="J414" i="1"/>
  <c r="P414" i="1"/>
  <c r="Q414" i="1"/>
  <c r="S414" i="1"/>
  <c r="M415" i="1"/>
  <c r="I415" i="1"/>
  <c r="J415" i="1"/>
  <c r="P415" i="1"/>
  <c r="Q415" i="1"/>
  <c r="S415" i="1"/>
  <c r="M416" i="1"/>
  <c r="I416" i="1"/>
  <c r="J416" i="1"/>
  <c r="P416" i="1"/>
  <c r="Q416" i="1"/>
  <c r="S416" i="1"/>
  <c r="M417" i="1"/>
  <c r="I417" i="1"/>
  <c r="J417" i="1"/>
  <c r="P417" i="1"/>
  <c r="Q417" i="1"/>
  <c r="S417" i="1"/>
  <c r="M418" i="1"/>
  <c r="I418" i="1"/>
  <c r="J418" i="1"/>
  <c r="P418" i="1"/>
  <c r="Q418" i="1"/>
  <c r="S418" i="1"/>
  <c r="M419" i="1"/>
  <c r="I419" i="1"/>
  <c r="J419" i="1"/>
  <c r="P419" i="1"/>
  <c r="Q419" i="1"/>
  <c r="S419" i="1"/>
  <c r="M420" i="1"/>
  <c r="I420" i="1"/>
  <c r="J420" i="1"/>
  <c r="P420" i="1"/>
  <c r="Q420" i="1"/>
  <c r="S420" i="1"/>
  <c r="M421" i="1"/>
  <c r="I421" i="1"/>
  <c r="J421" i="1"/>
  <c r="P421" i="1"/>
  <c r="Q421" i="1"/>
  <c r="S421" i="1"/>
  <c r="M422" i="1"/>
  <c r="I422" i="1"/>
  <c r="J422" i="1"/>
  <c r="P422" i="1"/>
  <c r="Q422" i="1"/>
  <c r="S422" i="1"/>
  <c r="M423" i="1"/>
  <c r="I423" i="1"/>
  <c r="J423" i="1"/>
  <c r="P423" i="1"/>
  <c r="Q423" i="1"/>
  <c r="S423" i="1"/>
  <c r="M424" i="1"/>
  <c r="I424" i="1"/>
  <c r="J424" i="1"/>
  <c r="P424" i="1"/>
  <c r="Q424" i="1"/>
  <c r="S424" i="1"/>
  <c r="M425" i="1"/>
  <c r="I425" i="1"/>
  <c r="J425" i="1"/>
  <c r="P425" i="1"/>
  <c r="Q425" i="1"/>
  <c r="S425" i="1"/>
  <c r="M426" i="1"/>
  <c r="I426" i="1"/>
  <c r="J426" i="1"/>
  <c r="P426" i="1"/>
  <c r="Q426" i="1"/>
  <c r="S426" i="1"/>
  <c r="M427" i="1"/>
  <c r="I427" i="1"/>
  <c r="J427" i="1"/>
  <c r="P427" i="1"/>
  <c r="Q427" i="1"/>
  <c r="S427" i="1"/>
  <c r="M428" i="1"/>
  <c r="I428" i="1"/>
  <c r="J428" i="1"/>
  <c r="P428" i="1"/>
  <c r="Q428" i="1"/>
  <c r="S428" i="1"/>
  <c r="M429" i="1"/>
  <c r="I429" i="1"/>
  <c r="J429" i="1"/>
  <c r="P429" i="1"/>
  <c r="Q429" i="1"/>
  <c r="S429" i="1"/>
  <c r="M430" i="1"/>
  <c r="I430" i="1"/>
  <c r="J430" i="1"/>
  <c r="P430" i="1"/>
  <c r="Q430" i="1"/>
  <c r="S430" i="1"/>
  <c r="M431" i="1"/>
  <c r="I431" i="1"/>
  <c r="J431" i="1"/>
  <c r="P431" i="1"/>
  <c r="Q431" i="1"/>
  <c r="S431" i="1"/>
  <c r="M432" i="1"/>
  <c r="I432" i="1"/>
  <c r="J432" i="1"/>
  <c r="P432" i="1"/>
  <c r="Q432" i="1"/>
  <c r="S432" i="1"/>
  <c r="M433" i="1"/>
  <c r="I433" i="1"/>
  <c r="J433" i="1"/>
  <c r="P433" i="1"/>
  <c r="Q433" i="1"/>
  <c r="S433" i="1"/>
  <c r="M434" i="1"/>
  <c r="I434" i="1"/>
  <c r="J434" i="1"/>
  <c r="P434" i="1"/>
  <c r="Q434" i="1"/>
  <c r="S434" i="1"/>
  <c r="M435" i="1"/>
  <c r="I435" i="1"/>
  <c r="J435" i="1"/>
  <c r="P435" i="1"/>
  <c r="Q435" i="1"/>
  <c r="S435" i="1"/>
  <c r="M436" i="1"/>
  <c r="I436" i="1"/>
  <c r="J436" i="1"/>
  <c r="P436" i="1"/>
  <c r="Q436" i="1"/>
  <c r="S436" i="1"/>
  <c r="M437" i="1"/>
  <c r="I437" i="1"/>
  <c r="J437" i="1"/>
  <c r="P437" i="1"/>
  <c r="Q437" i="1"/>
  <c r="S437" i="1"/>
  <c r="M438" i="1"/>
  <c r="I438" i="1"/>
  <c r="J438" i="1"/>
  <c r="P438" i="1"/>
  <c r="Q438" i="1"/>
  <c r="S438" i="1"/>
  <c r="M439" i="1"/>
  <c r="I439" i="1"/>
  <c r="J439" i="1"/>
  <c r="P439" i="1"/>
  <c r="Q439" i="1"/>
  <c r="S439" i="1"/>
  <c r="M440" i="1"/>
  <c r="I440" i="1"/>
  <c r="J440" i="1"/>
  <c r="P440" i="1"/>
  <c r="Q440" i="1"/>
  <c r="S440" i="1"/>
  <c r="M441" i="1"/>
  <c r="I441" i="1"/>
  <c r="J441" i="1"/>
  <c r="P441" i="1"/>
  <c r="Q441" i="1"/>
  <c r="S441" i="1"/>
  <c r="M442" i="1"/>
  <c r="I442" i="1"/>
  <c r="J442" i="1"/>
  <c r="P442" i="1"/>
  <c r="Q442" i="1"/>
  <c r="S442" i="1"/>
  <c r="M443" i="1"/>
  <c r="I443" i="1"/>
  <c r="J443" i="1"/>
  <c r="P443" i="1"/>
  <c r="Q443" i="1"/>
  <c r="S443" i="1"/>
  <c r="M444" i="1"/>
  <c r="I444" i="1"/>
  <c r="J444" i="1"/>
  <c r="P444" i="1"/>
  <c r="Q444" i="1"/>
  <c r="S444" i="1"/>
  <c r="M445" i="1"/>
  <c r="I445" i="1"/>
  <c r="J445" i="1"/>
  <c r="P445" i="1"/>
  <c r="Q445" i="1"/>
  <c r="S445" i="1"/>
  <c r="M446" i="1"/>
  <c r="I446" i="1"/>
  <c r="J446" i="1"/>
  <c r="P446" i="1"/>
  <c r="Q446" i="1"/>
  <c r="S446" i="1"/>
  <c r="M447" i="1"/>
  <c r="I447" i="1"/>
  <c r="J447" i="1"/>
  <c r="P447" i="1"/>
  <c r="Q447" i="1"/>
  <c r="S447" i="1"/>
  <c r="M448" i="1"/>
  <c r="I448" i="1"/>
  <c r="J448" i="1"/>
  <c r="P448" i="1"/>
  <c r="Q448" i="1"/>
  <c r="S448" i="1"/>
  <c r="M449" i="1"/>
  <c r="I449" i="1"/>
  <c r="J449" i="1"/>
  <c r="P449" i="1"/>
  <c r="Q449" i="1"/>
  <c r="S449" i="1"/>
  <c r="M450" i="1"/>
  <c r="I450" i="1"/>
  <c r="J450" i="1"/>
  <c r="P450" i="1"/>
  <c r="Q450" i="1"/>
  <c r="S450" i="1"/>
  <c r="M451" i="1"/>
  <c r="I451" i="1"/>
  <c r="J451" i="1"/>
  <c r="P451" i="1"/>
  <c r="Q451" i="1"/>
  <c r="S451" i="1"/>
  <c r="M452" i="1"/>
  <c r="I452" i="1"/>
  <c r="J452" i="1"/>
  <c r="P452" i="1"/>
  <c r="Q452" i="1"/>
  <c r="S452" i="1"/>
  <c r="M453" i="1"/>
  <c r="I453" i="1"/>
  <c r="J453" i="1"/>
  <c r="P453" i="1"/>
  <c r="Q453" i="1"/>
  <c r="S453" i="1"/>
  <c r="M454" i="1"/>
  <c r="I454" i="1"/>
  <c r="J454" i="1"/>
  <c r="P454" i="1"/>
  <c r="Q454" i="1"/>
  <c r="S454" i="1"/>
  <c r="M455" i="1"/>
  <c r="I455" i="1"/>
  <c r="J455" i="1"/>
  <c r="P455" i="1"/>
  <c r="Q455" i="1"/>
  <c r="S455" i="1"/>
  <c r="M456" i="1"/>
  <c r="I456" i="1"/>
  <c r="J456" i="1"/>
  <c r="P456" i="1"/>
  <c r="Q456" i="1"/>
  <c r="S456" i="1"/>
  <c r="M457" i="1"/>
  <c r="I457" i="1"/>
  <c r="J457" i="1"/>
  <c r="P457" i="1"/>
  <c r="Q457" i="1"/>
  <c r="S457" i="1"/>
  <c r="M458" i="1"/>
  <c r="I458" i="1"/>
  <c r="J458" i="1"/>
  <c r="P458" i="1"/>
  <c r="Q458" i="1"/>
  <c r="S458" i="1"/>
  <c r="M459" i="1"/>
  <c r="I459" i="1"/>
  <c r="J459" i="1"/>
  <c r="P459" i="1"/>
  <c r="Q459" i="1"/>
  <c r="S459" i="1"/>
  <c r="M460" i="1"/>
  <c r="I460" i="1"/>
  <c r="J460" i="1"/>
  <c r="P460" i="1"/>
  <c r="Q460" i="1"/>
  <c r="S460" i="1"/>
  <c r="M461" i="1"/>
  <c r="I461" i="1"/>
  <c r="J461" i="1"/>
  <c r="P461" i="1"/>
  <c r="Q461" i="1"/>
  <c r="S461" i="1"/>
  <c r="M462" i="1"/>
  <c r="I462" i="1"/>
  <c r="J462" i="1"/>
  <c r="P462" i="1"/>
  <c r="Q462" i="1"/>
  <c r="S462" i="1"/>
  <c r="M463" i="1"/>
  <c r="I463" i="1"/>
  <c r="J463" i="1"/>
  <c r="P463" i="1"/>
  <c r="Q463" i="1"/>
  <c r="S463" i="1"/>
  <c r="M464" i="1"/>
  <c r="I464" i="1"/>
  <c r="J464" i="1"/>
  <c r="P464" i="1"/>
  <c r="Q464" i="1"/>
  <c r="S464" i="1"/>
  <c r="M465" i="1"/>
  <c r="I465" i="1"/>
  <c r="J465" i="1"/>
  <c r="P465" i="1"/>
  <c r="Q465" i="1"/>
  <c r="S465" i="1"/>
  <c r="M466" i="1"/>
  <c r="I466" i="1"/>
  <c r="J466" i="1"/>
  <c r="P466" i="1"/>
  <c r="Q466" i="1"/>
  <c r="S466" i="1"/>
  <c r="M467" i="1"/>
  <c r="I467" i="1"/>
  <c r="J467" i="1"/>
  <c r="P467" i="1"/>
  <c r="Q467" i="1"/>
  <c r="S467" i="1"/>
  <c r="M468" i="1"/>
  <c r="I468" i="1"/>
  <c r="J468" i="1"/>
  <c r="P468" i="1"/>
  <c r="Q468" i="1"/>
  <c r="S468" i="1"/>
  <c r="M469" i="1"/>
  <c r="I469" i="1"/>
  <c r="J469" i="1"/>
  <c r="P469" i="1"/>
  <c r="Q469" i="1"/>
  <c r="S469" i="1"/>
  <c r="M470" i="1"/>
  <c r="I470" i="1"/>
  <c r="J470" i="1"/>
  <c r="P470" i="1"/>
  <c r="Q470" i="1"/>
  <c r="S470" i="1"/>
  <c r="M471" i="1"/>
  <c r="I471" i="1"/>
  <c r="J471" i="1"/>
  <c r="P471" i="1"/>
  <c r="Q471" i="1"/>
  <c r="S471" i="1"/>
  <c r="M472" i="1"/>
  <c r="I472" i="1"/>
  <c r="J472" i="1"/>
  <c r="P472" i="1"/>
  <c r="Q472" i="1"/>
  <c r="S472" i="1"/>
  <c r="M473" i="1"/>
  <c r="I473" i="1"/>
  <c r="J473" i="1"/>
  <c r="P473" i="1"/>
  <c r="Q473" i="1"/>
  <c r="S473" i="1"/>
  <c r="M474" i="1"/>
  <c r="I474" i="1"/>
  <c r="J474" i="1"/>
  <c r="P474" i="1"/>
  <c r="Q474" i="1"/>
  <c r="S474" i="1"/>
  <c r="M475" i="1"/>
  <c r="I475" i="1"/>
  <c r="J475" i="1"/>
  <c r="P475" i="1"/>
  <c r="Q475" i="1"/>
  <c r="S475" i="1"/>
  <c r="M476" i="1"/>
  <c r="I476" i="1"/>
  <c r="J476" i="1"/>
  <c r="P476" i="1"/>
  <c r="Q476" i="1"/>
  <c r="S476" i="1"/>
  <c r="M477" i="1"/>
  <c r="I477" i="1"/>
  <c r="J477" i="1"/>
  <c r="P477" i="1"/>
  <c r="Q477" i="1"/>
  <c r="S477" i="1"/>
  <c r="M478" i="1"/>
  <c r="I478" i="1"/>
  <c r="J478" i="1"/>
  <c r="P478" i="1"/>
  <c r="Q478" i="1"/>
  <c r="S478" i="1"/>
  <c r="M479" i="1"/>
  <c r="I479" i="1"/>
  <c r="J479" i="1"/>
  <c r="P479" i="1"/>
  <c r="Q479" i="1"/>
  <c r="S479" i="1"/>
  <c r="M480" i="1"/>
  <c r="I480" i="1"/>
  <c r="J480" i="1"/>
  <c r="P480" i="1"/>
  <c r="Q480" i="1"/>
  <c r="S480" i="1"/>
  <c r="M481" i="1"/>
  <c r="I481" i="1"/>
  <c r="J481" i="1"/>
  <c r="P481" i="1"/>
  <c r="Q481" i="1"/>
  <c r="S481" i="1"/>
  <c r="M482" i="1"/>
  <c r="I482" i="1"/>
  <c r="J482" i="1"/>
  <c r="P482" i="1"/>
  <c r="Q482" i="1"/>
  <c r="S482" i="1"/>
  <c r="M483" i="1"/>
  <c r="I483" i="1"/>
  <c r="J483" i="1"/>
  <c r="P483" i="1"/>
  <c r="Q483" i="1"/>
  <c r="S483" i="1"/>
  <c r="M484" i="1"/>
  <c r="I484" i="1"/>
  <c r="J484" i="1"/>
  <c r="P484" i="1"/>
  <c r="Q484" i="1"/>
  <c r="S484" i="1"/>
  <c r="M485" i="1"/>
  <c r="I485" i="1"/>
  <c r="J485" i="1"/>
  <c r="P485" i="1"/>
  <c r="Q485" i="1"/>
  <c r="S485" i="1"/>
  <c r="M486" i="1"/>
  <c r="I486" i="1"/>
  <c r="J486" i="1"/>
  <c r="P486" i="1"/>
  <c r="Q486" i="1"/>
  <c r="S486" i="1"/>
  <c r="M487" i="1"/>
  <c r="I487" i="1"/>
  <c r="J487" i="1"/>
  <c r="P487" i="1"/>
  <c r="Q487" i="1"/>
  <c r="S487" i="1"/>
  <c r="M488" i="1"/>
  <c r="I488" i="1"/>
  <c r="J488" i="1"/>
  <c r="P488" i="1"/>
  <c r="Q488" i="1"/>
  <c r="S488" i="1"/>
  <c r="M489" i="1"/>
  <c r="I489" i="1"/>
  <c r="J489" i="1"/>
  <c r="P489" i="1"/>
  <c r="Q489" i="1"/>
  <c r="S489" i="1"/>
  <c r="M490" i="1"/>
  <c r="I490" i="1"/>
  <c r="J490" i="1"/>
  <c r="P490" i="1"/>
  <c r="Q490" i="1"/>
  <c r="S490" i="1"/>
  <c r="M491" i="1"/>
  <c r="I491" i="1"/>
  <c r="J491" i="1"/>
  <c r="P491" i="1"/>
  <c r="Q491" i="1"/>
  <c r="S491" i="1"/>
  <c r="M492" i="1"/>
  <c r="I492" i="1"/>
  <c r="J492" i="1"/>
  <c r="P492" i="1"/>
  <c r="Q492" i="1"/>
  <c r="S492" i="1"/>
  <c r="M493" i="1"/>
  <c r="I493" i="1"/>
  <c r="J493" i="1"/>
  <c r="P493" i="1"/>
  <c r="Q493" i="1"/>
  <c r="S493" i="1"/>
  <c r="M494" i="1"/>
  <c r="I494" i="1"/>
  <c r="J494" i="1"/>
  <c r="P494" i="1"/>
  <c r="Q494" i="1"/>
  <c r="S494" i="1"/>
  <c r="M495" i="1"/>
  <c r="I495" i="1"/>
  <c r="J495" i="1"/>
  <c r="P495" i="1"/>
  <c r="Q495" i="1"/>
  <c r="S495" i="1"/>
  <c r="M496" i="1"/>
  <c r="I496" i="1"/>
  <c r="J496" i="1"/>
  <c r="P496" i="1"/>
  <c r="Q496" i="1"/>
  <c r="S496" i="1"/>
  <c r="M497" i="1"/>
  <c r="I497" i="1"/>
  <c r="J497" i="1"/>
  <c r="P497" i="1"/>
  <c r="Q497" i="1"/>
  <c r="S497" i="1"/>
  <c r="M498" i="1"/>
  <c r="I498" i="1"/>
  <c r="J498" i="1"/>
  <c r="P498" i="1"/>
  <c r="Q498" i="1"/>
  <c r="S498" i="1"/>
  <c r="U28" i="1"/>
  <c r="X28" i="1"/>
  <c r="U30" i="1"/>
  <c r="X30" i="1"/>
  <c r="I11" i="2"/>
  <c r="H11" i="2"/>
  <c r="G11" i="2"/>
  <c r="F11" i="2"/>
  <c r="E11" i="2"/>
  <c r="D11" i="2"/>
  <c r="C11" i="2"/>
  <c r="B11" i="2"/>
  <c r="A10" i="2"/>
  <c r="U27" i="1"/>
  <c r="X27" i="1"/>
  <c r="U29" i="1"/>
  <c r="X29" i="1"/>
  <c r="I10" i="2"/>
  <c r="H10" i="2"/>
  <c r="G10" i="2"/>
  <c r="F10" i="2"/>
  <c r="E10" i="2"/>
  <c r="D10" i="2"/>
  <c r="C10" i="2"/>
  <c r="B10" i="2"/>
  <c r="X498" i="1"/>
  <c r="H498" i="1"/>
  <c r="V498" i="1"/>
  <c r="W498" i="1"/>
  <c r="N41" i="1"/>
  <c r="O41" i="1"/>
  <c r="T41" i="1"/>
  <c r="N42" i="1"/>
  <c r="O42" i="1"/>
  <c r="T42" i="1"/>
  <c r="N43" i="1"/>
  <c r="O43" i="1"/>
  <c r="T43" i="1"/>
  <c r="N44" i="1"/>
  <c r="O44" i="1"/>
  <c r="T44" i="1"/>
  <c r="N45" i="1"/>
  <c r="O45" i="1"/>
  <c r="T45" i="1"/>
  <c r="N46" i="1"/>
  <c r="O46" i="1"/>
  <c r="T46" i="1"/>
  <c r="N47" i="1"/>
  <c r="O47" i="1"/>
  <c r="T47" i="1"/>
  <c r="N48" i="1"/>
  <c r="O48" i="1"/>
  <c r="T48" i="1"/>
  <c r="N49" i="1"/>
  <c r="O49" i="1"/>
  <c r="T49" i="1"/>
  <c r="N50" i="1"/>
  <c r="O50" i="1"/>
  <c r="T50" i="1"/>
  <c r="N51" i="1"/>
  <c r="O51" i="1"/>
  <c r="T51" i="1"/>
  <c r="N52" i="1"/>
  <c r="O52" i="1"/>
  <c r="T52" i="1"/>
  <c r="N53" i="1"/>
  <c r="O53" i="1"/>
  <c r="T53" i="1"/>
  <c r="N54" i="1"/>
  <c r="O54" i="1"/>
  <c r="T54" i="1"/>
  <c r="N55" i="1"/>
  <c r="O55" i="1"/>
  <c r="T55" i="1"/>
  <c r="N56" i="1"/>
  <c r="O56" i="1"/>
  <c r="T56" i="1"/>
  <c r="N57" i="1"/>
  <c r="O57" i="1"/>
  <c r="T57" i="1"/>
  <c r="N58" i="1"/>
  <c r="O58" i="1"/>
  <c r="T58" i="1"/>
  <c r="N59" i="1"/>
  <c r="O59" i="1"/>
  <c r="T59" i="1"/>
  <c r="N60" i="1"/>
  <c r="O60" i="1"/>
  <c r="T60" i="1"/>
  <c r="N61" i="1"/>
  <c r="O61" i="1"/>
  <c r="T61" i="1"/>
  <c r="N62" i="1"/>
  <c r="O62" i="1"/>
  <c r="T62" i="1"/>
  <c r="N63" i="1"/>
  <c r="O63" i="1"/>
  <c r="T63" i="1"/>
  <c r="N64" i="1"/>
  <c r="O64" i="1"/>
  <c r="T64" i="1"/>
  <c r="N65" i="1"/>
  <c r="O65" i="1"/>
  <c r="T65" i="1"/>
  <c r="N66" i="1"/>
  <c r="O66" i="1"/>
  <c r="T66" i="1"/>
  <c r="N67" i="1"/>
  <c r="O67" i="1"/>
  <c r="T67" i="1"/>
  <c r="N68" i="1"/>
  <c r="O68" i="1"/>
  <c r="T68" i="1"/>
  <c r="N69" i="1"/>
  <c r="O69" i="1"/>
  <c r="T69" i="1"/>
  <c r="N70" i="1"/>
  <c r="O70" i="1"/>
  <c r="T70" i="1"/>
  <c r="N71" i="1"/>
  <c r="O71" i="1"/>
  <c r="T71" i="1"/>
  <c r="N72" i="1"/>
  <c r="O72" i="1"/>
  <c r="T72" i="1"/>
  <c r="N73" i="1"/>
  <c r="O73" i="1"/>
  <c r="T73" i="1"/>
  <c r="N74" i="1"/>
  <c r="O74" i="1"/>
  <c r="T74" i="1"/>
  <c r="N75" i="1"/>
  <c r="O75" i="1"/>
  <c r="T75" i="1"/>
  <c r="N76" i="1"/>
  <c r="O76" i="1"/>
  <c r="T76" i="1"/>
  <c r="N77" i="1"/>
  <c r="O77" i="1"/>
  <c r="T77" i="1"/>
  <c r="N78" i="1"/>
  <c r="O78" i="1"/>
  <c r="T78" i="1"/>
  <c r="N79" i="1"/>
  <c r="O79" i="1"/>
  <c r="T79" i="1"/>
  <c r="N80" i="1"/>
  <c r="O80" i="1"/>
  <c r="T80" i="1"/>
  <c r="N81" i="1"/>
  <c r="O81" i="1"/>
  <c r="T81" i="1"/>
  <c r="N82" i="1"/>
  <c r="O82" i="1"/>
  <c r="T82" i="1"/>
  <c r="N83" i="1"/>
  <c r="O83" i="1"/>
  <c r="T83" i="1"/>
  <c r="N84" i="1"/>
  <c r="O84" i="1"/>
  <c r="T84" i="1"/>
  <c r="N85" i="1"/>
  <c r="O85" i="1"/>
  <c r="T85" i="1"/>
  <c r="N86" i="1"/>
  <c r="O86" i="1"/>
  <c r="T86" i="1"/>
  <c r="N87" i="1"/>
  <c r="O87" i="1"/>
  <c r="T87" i="1"/>
  <c r="N88" i="1"/>
  <c r="O88" i="1"/>
  <c r="T88" i="1"/>
  <c r="N89" i="1"/>
  <c r="O89" i="1"/>
  <c r="T89" i="1"/>
  <c r="N90" i="1"/>
  <c r="O90" i="1"/>
  <c r="T90" i="1"/>
  <c r="N91" i="1"/>
  <c r="O91" i="1"/>
  <c r="T91" i="1"/>
  <c r="N92" i="1"/>
  <c r="O92" i="1"/>
  <c r="T92" i="1"/>
  <c r="N93" i="1"/>
  <c r="O93" i="1"/>
  <c r="T93" i="1"/>
  <c r="N94" i="1"/>
  <c r="O94" i="1"/>
  <c r="T94" i="1"/>
  <c r="N95" i="1"/>
  <c r="O95" i="1"/>
  <c r="T95" i="1"/>
  <c r="N96" i="1"/>
  <c r="O96" i="1"/>
  <c r="T96" i="1"/>
  <c r="N97" i="1"/>
  <c r="O97" i="1"/>
  <c r="T97" i="1"/>
  <c r="N98" i="1"/>
  <c r="O98" i="1"/>
  <c r="T98" i="1"/>
  <c r="N99" i="1"/>
  <c r="O99" i="1"/>
  <c r="T99" i="1"/>
  <c r="N100" i="1"/>
  <c r="O100" i="1"/>
  <c r="T100" i="1"/>
  <c r="N101" i="1"/>
  <c r="O101" i="1"/>
  <c r="T101" i="1"/>
  <c r="N102" i="1"/>
  <c r="O102" i="1"/>
  <c r="T102" i="1"/>
  <c r="N103" i="1"/>
  <c r="O103" i="1"/>
  <c r="T103" i="1"/>
  <c r="N104" i="1"/>
  <c r="O104" i="1"/>
  <c r="T104" i="1"/>
  <c r="N105" i="1"/>
  <c r="O105" i="1"/>
  <c r="T105" i="1"/>
  <c r="N106" i="1"/>
  <c r="O106" i="1"/>
  <c r="T106" i="1"/>
  <c r="N107" i="1"/>
  <c r="O107" i="1"/>
  <c r="T107" i="1"/>
  <c r="N108" i="1"/>
  <c r="O108" i="1"/>
  <c r="T108" i="1"/>
  <c r="N109" i="1"/>
  <c r="O109" i="1"/>
  <c r="T109" i="1"/>
  <c r="N110" i="1"/>
  <c r="O110" i="1"/>
  <c r="T110" i="1"/>
  <c r="N111" i="1"/>
  <c r="O111" i="1"/>
  <c r="T111" i="1"/>
  <c r="N112" i="1"/>
  <c r="O112" i="1"/>
  <c r="T112" i="1"/>
  <c r="N113" i="1"/>
  <c r="O113" i="1"/>
  <c r="T113" i="1"/>
  <c r="N114" i="1"/>
  <c r="O114" i="1"/>
  <c r="T114" i="1"/>
  <c r="N115" i="1"/>
  <c r="O115" i="1"/>
  <c r="T115" i="1"/>
  <c r="N116" i="1"/>
  <c r="O116" i="1"/>
  <c r="T116" i="1"/>
  <c r="N117" i="1"/>
  <c r="O117" i="1"/>
  <c r="T117" i="1"/>
  <c r="N118" i="1"/>
  <c r="O118" i="1"/>
  <c r="T118" i="1"/>
  <c r="N119" i="1"/>
  <c r="O119" i="1"/>
  <c r="T119" i="1"/>
  <c r="N120" i="1"/>
  <c r="O120" i="1"/>
  <c r="T120" i="1"/>
  <c r="N121" i="1"/>
  <c r="O121" i="1"/>
  <c r="T121" i="1"/>
  <c r="N122" i="1"/>
  <c r="O122" i="1"/>
  <c r="T122" i="1"/>
  <c r="N123" i="1"/>
  <c r="O123" i="1"/>
  <c r="T123" i="1"/>
  <c r="N124" i="1"/>
  <c r="O124" i="1"/>
  <c r="T124" i="1"/>
  <c r="N125" i="1"/>
  <c r="O125" i="1"/>
  <c r="T125" i="1"/>
  <c r="N126" i="1"/>
  <c r="O126" i="1"/>
  <c r="T126" i="1"/>
  <c r="N127" i="1"/>
  <c r="O127" i="1"/>
  <c r="T127" i="1"/>
  <c r="N128" i="1"/>
  <c r="O128" i="1"/>
  <c r="T128" i="1"/>
  <c r="N129" i="1"/>
  <c r="O129" i="1"/>
  <c r="T129" i="1"/>
  <c r="N130" i="1"/>
  <c r="O130" i="1"/>
  <c r="T130" i="1"/>
  <c r="N131" i="1"/>
  <c r="O131" i="1"/>
  <c r="T131" i="1"/>
  <c r="N132" i="1"/>
  <c r="O132" i="1"/>
  <c r="T132" i="1"/>
  <c r="N133" i="1"/>
  <c r="O133" i="1"/>
  <c r="T133" i="1"/>
  <c r="N134" i="1"/>
  <c r="O134" i="1"/>
  <c r="T134" i="1"/>
  <c r="N135" i="1"/>
  <c r="O135" i="1"/>
  <c r="T135" i="1"/>
  <c r="N136" i="1"/>
  <c r="O136" i="1"/>
  <c r="T136" i="1"/>
  <c r="N137" i="1"/>
  <c r="O137" i="1"/>
  <c r="T137" i="1"/>
  <c r="N138" i="1"/>
  <c r="O138" i="1"/>
  <c r="T138" i="1"/>
  <c r="N139" i="1"/>
  <c r="O139" i="1"/>
  <c r="T139" i="1"/>
  <c r="N140" i="1"/>
  <c r="O140" i="1"/>
  <c r="T140" i="1"/>
  <c r="N141" i="1"/>
  <c r="O141" i="1"/>
  <c r="T141" i="1"/>
  <c r="N142" i="1"/>
  <c r="O142" i="1"/>
  <c r="T142" i="1"/>
  <c r="N143" i="1"/>
  <c r="O143" i="1"/>
  <c r="T143" i="1"/>
  <c r="N144" i="1"/>
  <c r="O144" i="1"/>
  <c r="T144" i="1"/>
  <c r="N145" i="1"/>
  <c r="O145" i="1"/>
  <c r="T145" i="1"/>
  <c r="N146" i="1"/>
  <c r="O146" i="1"/>
  <c r="T146" i="1"/>
  <c r="N147" i="1"/>
  <c r="O147" i="1"/>
  <c r="T147" i="1"/>
  <c r="N148" i="1"/>
  <c r="O148" i="1"/>
  <c r="T148" i="1"/>
  <c r="N149" i="1"/>
  <c r="O149" i="1"/>
  <c r="T149" i="1"/>
  <c r="N150" i="1"/>
  <c r="O150" i="1"/>
  <c r="T150" i="1"/>
  <c r="N151" i="1"/>
  <c r="O151" i="1"/>
  <c r="T151" i="1"/>
  <c r="N152" i="1"/>
  <c r="O152" i="1"/>
  <c r="T152" i="1"/>
  <c r="N153" i="1"/>
  <c r="O153" i="1"/>
  <c r="T153" i="1"/>
  <c r="N154" i="1"/>
  <c r="O154" i="1"/>
  <c r="T154" i="1"/>
  <c r="N155" i="1"/>
  <c r="O155" i="1"/>
  <c r="T155" i="1"/>
  <c r="N156" i="1"/>
  <c r="O156" i="1"/>
  <c r="T156" i="1"/>
  <c r="N157" i="1"/>
  <c r="O157" i="1"/>
  <c r="T157" i="1"/>
  <c r="N158" i="1"/>
  <c r="O158" i="1"/>
  <c r="T158" i="1"/>
  <c r="N159" i="1"/>
  <c r="O159" i="1"/>
  <c r="T159" i="1"/>
  <c r="N160" i="1"/>
  <c r="O160" i="1"/>
  <c r="T160" i="1"/>
  <c r="N161" i="1"/>
  <c r="O161" i="1"/>
  <c r="T161" i="1"/>
  <c r="N162" i="1"/>
  <c r="O162" i="1"/>
  <c r="T162" i="1"/>
  <c r="N163" i="1"/>
  <c r="O163" i="1"/>
  <c r="T163" i="1"/>
  <c r="N164" i="1"/>
  <c r="O164" i="1"/>
  <c r="T164" i="1"/>
  <c r="N165" i="1"/>
  <c r="O165" i="1"/>
  <c r="T165" i="1"/>
  <c r="N166" i="1"/>
  <c r="O166" i="1"/>
  <c r="T166" i="1"/>
  <c r="N167" i="1"/>
  <c r="O167" i="1"/>
  <c r="T167" i="1"/>
  <c r="N168" i="1"/>
  <c r="O168" i="1"/>
  <c r="T168" i="1"/>
  <c r="N169" i="1"/>
  <c r="O169" i="1"/>
  <c r="T169" i="1"/>
  <c r="N170" i="1"/>
  <c r="O170" i="1"/>
  <c r="T170" i="1"/>
  <c r="N171" i="1"/>
  <c r="O171" i="1"/>
  <c r="T171" i="1"/>
  <c r="N172" i="1"/>
  <c r="O172" i="1"/>
  <c r="T172" i="1"/>
  <c r="N173" i="1"/>
  <c r="O173" i="1"/>
  <c r="T173" i="1"/>
  <c r="N174" i="1"/>
  <c r="O174" i="1"/>
  <c r="T174" i="1"/>
  <c r="N175" i="1"/>
  <c r="O175" i="1"/>
  <c r="T175" i="1"/>
  <c r="N176" i="1"/>
  <c r="O176" i="1"/>
  <c r="T176" i="1"/>
  <c r="N177" i="1"/>
  <c r="O177" i="1"/>
  <c r="T177" i="1"/>
  <c r="N178" i="1"/>
  <c r="O178" i="1"/>
  <c r="T178" i="1"/>
  <c r="N179" i="1"/>
  <c r="O179" i="1"/>
  <c r="T179" i="1"/>
  <c r="N180" i="1"/>
  <c r="O180" i="1"/>
  <c r="T180" i="1"/>
  <c r="N181" i="1"/>
  <c r="O181" i="1"/>
  <c r="T181" i="1"/>
  <c r="N182" i="1"/>
  <c r="O182" i="1"/>
  <c r="T182" i="1"/>
  <c r="N183" i="1"/>
  <c r="O183" i="1"/>
  <c r="T183" i="1"/>
  <c r="N184" i="1"/>
  <c r="O184" i="1"/>
  <c r="T184" i="1"/>
  <c r="N185" i="1"/>
  <c r="O185" i="1"/>
  <c r="T185" i="1"/>
  <c r="N186" i="1"/>
  <c r="O186" i="1"/>
  <c r="T186" i="1"/>
  <c r="N187" i="1"/>
  <c r="O187" i="1"/>
  <c r="T187" i="1"/>
  <c r="N188" i="1"/>
  <c r="O188" i="1"/>
  <c r="T188" i="1"/>
  <c r="N189" i="1"/>
  <c r="O189" i="1"/>
  <c r="T189" i="1"/>
  <c r="N190" i="1"/>
  <c r="O190" i="1"/>
  <c r="T190" i="1"/>
  <c r="N191" i="1"/>
  <c r="O191" i="1"/>
  <c r="T191" i="1"/>
  <c r="N192" i="1"/>
  <c r="O192" i="1"/>
  <c r="T192" i="1"/>
  <c r="N193" i="1"/>
  <c r="O193" i="1"/>
  <c r="T193" i="1"/>
  <c r="N194" i="1"/>
  <c r="O194" i="1"/>
  <c r="T194" i="1"/>
  <c r="N195" i="1"/>
  <c r="O195" i="1"/>
  <c r="T195" i="1"/>
  <c r="N196" i="1"/>
  <c r="O196" i="1"/>
  <c r="T196" i="1"/>
  <c r="N197" i="1"/>
  <c r="O197" i="1"/>
  <c r="T197" i="1"/>
  <c r="N198" i="1"/>
  <c r="O198" i="1"/>
  <c r="T198" i="1"/>
  <c r="N199" i="1"/>
  <c r="O199" i="1"/>
  <c r="T199" i="1"/>
  <c r="N200" i="1"/>
  <c r="O200" i="1"/>
  <c r="T200" i="1"/>
  <c r="N201" i="1"/>
  <c r="O201" i="1"/>
  <c r="T201" i="1"/>
  <c r="N202" i="1"/>
  <c r="O202" i="1"/>
  <c r="T202" i="1"/>
  <c r="N203" i="1"/>
  <c r="O203" i="1"/>
  <c r="T203" i="1"/>
  <c r="N204" i="1"/>
  <c r="O204" i="1"/>
  <c r="T204" i="1"/>
  <c r="N205" i="1"/>
  <c r="O205" i="1"/>
  <c r="T205" i="1"/>
  <c r="N206" i="1"/>
  <c r="O206" i="1"/>
  <c r="T206" i="1"/>
  <c r="N207" i="1"/>
  <c r="O207" i="1"/>
  <c r="T207" i="1"/>
  <c r="N208" i="1"/>
  <c r="O208" i="1"/>
  <c r="T208" i="1"/>
  <c r="N209" i="1"/>
  <c r="O209" i="1"/>
  <c r="T209" i="1"/>
  <c r="N210" i="1"/>
  <c r="O210" i="1"/>
  <c r="T210" i="1"/>
  <c r="N211" i="1"/>
  <c r="O211" i="1"/>
  <c r="T211" i="1"/>
  <c r="N212" i="1"/>
  <c r="O212" i="1"/>
  <c r="T212" i="1"/>
  <c r="N213" i="1"/>
  <c r="O213" i="1"/>
  <c r="T213" i="1"/>
  <c r="N214" i="1"/>
  <c r="O214" i="1"/>
  <c r="T214" i="1"/>
  <c r="N215" i="1"/>
  <c r="O215" i="1"/>
  <c r="T215" i="1"/>
  <c r="N216" i="1"/>
  <c r="O216" i="1"/>
  <c r="T216" i="1"/>
  <c r="N217" i="1"/>
  <c r="O217" i="1"/>
  <c r="T217" i="1"/>
  <c r="N218" i="1"/>
  <c r="O218" i="1"/>
  <c r="T218" i="1"/>
  <c r="N219" i="1"/>
  <c r="O219" i="1"/>
  <c r="T219" i="1"/>
  <c r="N220" i="1"/>
  <c r="O220" i="1"/>
  <c r="T220" i="1"/>
  <c r="N221" i="1"/>
  <c r="O221" i="1"/>
  <c r="T221" i="1"/>
  <c r="N222" i="1"/>
  <c r="O222" i="1"/>
  <c r="T222" i="1"/>
  <c r="N223" i="1"/>
  <c r="O223" i="1"/>
  <c r="T223" i="1"/>
  <c r="N224" i="1"/>
  <c r="O224" i="1"/>
  <c r="T224" i="1"/>
  <c r="N225" i="1"/>
  <c r="O225" i="1"/>
  <c r="T225" i="1"/>
  <c r="N226" i="1"/>
  <c r="O226" i="1"/>
  <c r="T226" i="1"/>
  <c r="N227" i="1"/>
  <c r="O227" i="1"/>
  <c r="T227" i="1"/>
  <c r="N228" i="1"/>
  <c r="O228" i="1"/>
  <c r="T228" i="1"/>
  <c r="N229" i="1"/>
  <c r="O229" i="1"/>
  <c r="T229" i="1"/>
  <c r="N230" i="1"/>
  <c r="O230" i="1"/>
  <c r="T230" i="1"/>
  <c r="N231" i="1"/>
  <c r="O231" i="1"/>
  <c r="T231" i="1"/>
  <c r="N232" i="1"/>
  <c r="O232" i="1"/>
  <c r="T232" i="1"/>
  <c r="N233" i="1"/>
  <c r="O233" i="1"/>
  <c r="T233" i="1"/>
  <c r="N234" i="1"/>
  <c r="O234" i="1"/>
  <c r="T234" i="1"/>
  <c r="N235" i="1"/>
  <c r="O235" i="1"/>
  <c r="T235" i="1"/>
  <c r="N236" i="1"/>
  <c r="O236" i="1"/>
  <c r="T236" i="1"/>
  <c r="N237" i="1"/>
  <c r="O237" i="1"/>
  <c r="T237" i="1"/>
  <c r="N238" i="1"/>
  <c r="O238" i="1"/>
  <c r="T238" i="1"/>
  <c r="N239" i="1"/>
  <c r="O239" i="1"/>
  <c r="T239" i="1"/>
  <c r="N240" i="1"/>
  <c r="O240" i="1"/>
  <c r="T240" i="1"/>
  <c r="N241" i="1"/>
  <c r="O241" i="1"/>
  <c r="T241" i="1"/>
  <c r="N242" i="1"/>
  <c r="O242" i="1"/>
  <c r="T242" i="1"/>
  <c r="N243" i="1"/>
  <c r="O243" i="1"/>
  <c r="T243" i="1"/>
  <c r="N244" i="1"/>
  <c r="O244" i="1"/>
  <c r="T244" i="1"/>
  <c r="N245" i="1"/>
  <c r="O245" i="1"/>
  <c r="T245" i="1"/>
  <c r="N246" i="1"/>
  <c r="O246" i="1"/>
  <c r="T246" i="1"/>
  <c r="N247" i="1"/>
  <c r="O247" i="1"/>
  <c r="T247" i="1"/>
  <c r="N248" i="1"/>
  <c r="O248" i="1"/>
  <c r="T248" i="1"/>
  <c r="N249" i="1"/>
  <c r="O249" i="1"/>
  <c r="T249" i="1"/>
  <c r="N250" i="1"/>
  <c r="O250" i="1"/>
  <c r="T250" i="1"/>
  <c r="N251" i="1"/>
  <c r="O251" i="1"/>
  <c r="T251" i="1"/>
  <c r="N252" i="1"/>
  <c r="O252" i="1"/>
  <c r="T252" i="1"/>
  <c r="N253" i="1"/>
  <c r="O253" i="1"/>
  <c r="T253" i="1"/>
  <c r="N254" i="1"/>
  <c r="O254" i="1"/>
  <c r="T254" i="1"/>
  <c r="N255" i="1"/>
  <c r="O255" i="1"/>
  <c r="T255" i="1"/>
  <c r="N256" i="1"/>
  <c r="O256" i="1"/>
  <c r="T256" i="1"/>
  <c r="N257" i="1"/>
  <c r="O257" i="1"/>
  <c r="T257" i="1"/>
  <c r="N258" i="1"/>
  <c r="O258" i="1"/>
  <c r="T258" i="1"/>
  <c r="N259" i="1"/>
  <c r="O259" i="1"/>
  <c r="T259" i="1"/>
  <c r="N260" i="1"/>
  <c r="O260" i="1"/>
  <c r="T260" i="1"/>
  <c r="N261" i="1"/>
  <c r="O261" i="1"/>
  <c r="T261" i="1"/>
  <c r="N262" i="1"/>
  <c r="O262" i="1"/>
  <c r="T262" i="1"/>
  <c r="N263" i="1"/>
  <c r="O263" i="1"/>
  <c r="T263" i="1"/>
  <c r="N264" i="1"/>
  <c r="O264" i="1"/>
  <c r="T264" i="1"/>
  <c r="N265" i="1"/>
  <c r="O265" i="1"/>
  <c r="T265" i="1"/>
  <c r="N266" i="1"/>
  <c r="O266" i="1"/>
  <c r="T266" i="1"/>
  <c r="N267" i="1"/>
  <c r="O267" i="1"/>
  <c r="T267" i="1"/>
  <c r="N268" i="1"/>
  <c r="O268" i="1"/>
  <c r="T268" i="1"/>
  <c r="N269" i="1"/>
  <c r="O269" i="1"/>
  <c r="T269" i="1"/>
  <c r="N270" i="1"/>
  <c r="O270" i="1"/>
  <c r="T270" i="1"/>
  <c r="N271" i="1"/>
  <c r="O271" i="1"/>
  <c r="T271" i="1"/>
  <c r="N272" i="1"/>
  <c r="O272" i="1"/>
  <c r="T272" i="1"/>
  <c r="N273" i="1"/>
  <c r="O273" i="1"/>
  <c r="T273" i="1"/>
  <c r="N274" i="1"/>
  <c r="O274" i="1"/>
  <c r="T274" i="1"/>
  <c r="N275" i="1"/>
  <c r="O275" i="1"/>
  <c r="T275" i="1"/>
  <c r="N276" i="1"/>
  <c r="O276" i="1"/>
  <c r="T276" i="1"/>
  <c r="N277" i="1"/>
  <c r="O277" i="1"/>
  <c r="T277" i="1"/>
  <c r="N278" i="1"/>
  <c r="O278" i="1"/>
  <c r="T278" i="1"/>
  <c r="N279" i="1"/>
  <c r="O279" i="1"/>
  <c r="T279" i="1"/>
  <c r="N280" i="1"/>
  <c r="O280" i="1"/>
  <c r="T280" i="1"/>
  <c r="N281" i="1"/>
  <c r="O281" i="1"/>
  <c r="T281" i="1"/>
  <c r="N282" i="1"/>
  <c r="O282" i="1"/>
  <c r="T282" i="1"/>
  <c r="N283" i="1"/>
  <c r="O283" i="1"/>
  <c r="T283" i="1"/>
  <c r="N284" i="1"/>
  <c r="O284" i="1"/>
  <c r="T284" i="1"/>
  <c r="N285" i="1"/>
  <c r="O285" i="1"/>
  <c r="T285" i="1"/>
  <c r="N286" i="1"/>
  <c r="O286" i="1"/>
  <c r="T286" i="1"/>
  <c r="N287" i="1"/>
  <c r="O287" i="1"/>
  <c r="T287" i="1"/>
  <c r="N288" i="1"/>
  <c r="O288" i="1"/>
  <c r="T288" i="1"/>
  <c r="N289" i="1"/>
  <c r="O289" i="1"/>
  <c r="T289" i="1"/>
  <c r="N290" i="1"/>
  <c r="O290" i="1"/>
  <c r="T290" i="1"/>
  <c r="N291" i="1"/>
  <c r="O291" i="1"/>
  <c r="T291" i="1"/>
  <c r="N292" i="1"/>
  <c r="O292" i="1"/>
  <c r="T292" i="1"/>
  <c r="N293" i="1"/>
  <c r="O293" i="1"/>
  <c r="T293" i="1"/>
  <c r="N294" i="1"/>
  <c r="O294" i="1"/>
  <c r="T294" i="1"/>
  <c r="N295" i="1"/>
  <c r="O295" i="1"/>
  <c r="T295" i="1"/>
  <c r="N296" i="1"/>
  <c r="O296" i="1"/>
  <c r="T296" i="1"/>
  <c r="N297" i="1"/>
  <c r="O297" i="1"/>
  <c r="T297" i="1"/>
  <c r="N298" i="1"/>
  <c r="O298" i="1"/>
  <c r="T298" i="1"/>
  <c r="N299" i="1"/>
  <c r="O299" i="1"/>
  <c r="T299" i="1"/>
  <c r="N300" i="1"/>
  <c r="O300" i="1"/>
  <c r="T300" i="1"/>
  <c r="N301" i="1"/>
  <c r="O301" i="1"/>
  <c r="T301" i="1"/>
  <c r="N302" i="1"/>
  <c r="O302" i="1"/>
  <c r="T302" i="1"/>
  <c r="N303" i="1"/>
  <c r="O303" i="1"/>
  <c r="T303" i="1"/>
  <c r="N304" i="1"/>
  <c r="O304" i="1"/>
  <c r="T304" i="1"/>
  <c r="N305" i="1"/>
  <c r="O305" i="1"/>
  <c r="T305" i="1"/>
  <c r="N306" i="1"/>
  <c r="O306" i="1"/>
  <c r="T306" i="1"/>
  <c r="N307" i="1"/>
  <c r="O307" i="1"/>
  <c r="T307" i="1"/>
  <c r="N308" i="1"/>
  <c r="O308" i="1"/>
  <c r="T308" i="1"/>
  <c r="N309" i="1"/>
  <c r="O309" i="1"/>
  <c r="T309" i="1"/>
  <c r="N310" i="1"/>
  <c r="O310" i="1"/>
  <c r="T310" i="1"/>
  <c r="N311" i="1"/>
  <c r="O311" i="1"/>
  <c r="T311" i="1"/>
  <c r="N312" i="1"/>
  <c r="O312" i="1"/>
  <c r="T312" i="1"/>
  <c r="N313" i="1"/>
  <c r="O313" i="1"/>
  <c r="T313" i="1"/>
  <c r="N314" i="1"/>
  <c r="O314" i="1"/>
  <c r="T314" i="1"/>
  <c r="N315" i="1"/>
  <c r="O315" i="1"/>
  <c r="T315" i="1"/>
  <c r="N316" i="1"/>
  <c r="O316" i="1"/>
  <c r="T316" i="1"/>
  <c r="N317" i="1"/>
  <c r="O317" i="1"/>
  <c r="T317" i="1"/>
  <c r="N318" i="1"/>
  <c r="O318" i="1"/>
  <c r="T318" i="1"/>
  <c r="N319" i="1"/>
  <c r="O319" i="1"/>
  <c r="T319" i="1"/>
  <c r="N320" i="1"/>
  <c r="O320" i="1"/>
  <c r="T320" i="1"/>
  <c r="N321" i="1"/>
  <c r="O321" i="1"/>
  <c r="T321" i="1"/>
  <c r="N322" i="1"/>
  <c r="O322" i="1"/>
  <c r="T322" i="1"/>
  <c r="N323" i="1"/>
  <c r="O323" i="1"/>
  <c r="T323" i="1"/>
  <c r="N324" i="1"/>
  <c r="O324" i="1"/>
  <c r="T324" i="1"/>
  <c r="N325" i="1"/>
  <c r="O325" i="1"/>
  <c r="T325" i="1"/>
  <c r="N326" i="1"/>
  <c r="O326" i="1"/>
  <c r="T326" i="1"/>
  <c r="N327" i="1"/>
  <c r="O327" i="1"/>
  <c r="T327" i="1"/>
  <c r="N328" i="1"/>
  <c r="O328" i="1"/>
  <c r="T328" i="1"/>
  <c r="N329" i="1"/>
  <c r="O329" i="1"/>
  <c r="T329" i="1"/>
  <c r="N330" i="1"/>
  <c r="O330" i="1"/>
  <c r="T330" i="1"/>
  <c r="N331" i="1"/>
  <c r="O331" i="1"/>
  <c r="T331" i="1"/>
  <c r="N332" i="1"/>
  <c r="O332" i="1"/>
  <c r="T332" i="1"/>
  <c r="N333" i="1"/>
  <c r="O333" i="1"/>
  <c r="T333" i="1"/>
  <c r="N334" i="1"/>
  <c r="O334" i="1"/>
  <c r="T334" i="1"/>
  <c r="N335" i="1"/>
  <c r="O335" i="1"/>
  <c r="T335" i="1"/>
  <c r="N336" i="1"/>
  <c r="O336" i="1"/>
  <c r="T336" i="1"/>
  <c r="N337" i="1"/>
  <c r="O337" i="1"/>
  <c r="T337" i="1"/>
  <c r="N338" i="1"/>
  <c r="O338" i="1"/>
  <c r="T338" i="1"/>
  <c r="N339" i="1"/>
  <c r="O339" i="1"/>
  <c r="T339" i="1"/>
  <c r="N340" i="1"/>
  <c r="O340" i="1"/>
  <c r="T340" i="1"/>
  <c r="N341" i="1"/>
  <c r="O341" i="1"/>
  <c r="T341" i="1"/>
  <c r="N342" i="1"/>
  <c r="O342" i="1"/>
  <c r="T342" i="1"/>
  <c r="N343" i="1"/>
  <c r="O343" i="1"/>
  <c r="T343" i="1"/>
  <c r="N344" i="1"/>
  <c r="O344" i="1"/>
  <c r="T344" i="1"/>
  <c r="N345" i="1"/>
  <c r="O345" i="1"/>
  <c r="T345" i="1"/>
  <c r="N346" i="1"/>
  <c r="O346" i="1"/>
  <c r="T346" i="1"/>
  <c r="N347" i="1"/>
  <c r="O347" i="1"/>
  <c r="T347" i="1"/>
  <c r="N348" i="1"/>
  <c r="O348" i="1"/>
  <c r="T348" i="1"/>
  <c r="N349" i="1"/>
  <c r="O349" i="1"/>
  <c r="T349" i="1"/>
  <c r="N350" i="1"/>
  <c r="O350" i="1"/>
  <c r="T350" i="1"/>
  <c r="N351" i="1"/>
  <c r="O351" i="1"/>
  <c r="T351" i="1"/>
  <c r="N352" i="1"/>
  <c r="O352" i="1"/>
  <c r="T352" i="1"/>
  <c r="N353" i="1"/>
  <c r="O353" i="1"/>
  <c r="T353" i="1"/>
  <c r="N354" i="1"/>
  <c r="O354" i="1"/>
  <c r="T354" i="1"/>
  <c r="N355" i="1"/>
  <c r="O355" i="1"/>
  <c r="T355" i="1"/>
  <c r="N356" i="1"/>
  <c r="O356" i="1"/>
  <c r="T356" i="1"/>
  <c r="N357" i="1"/>
  <c r="O357" i="1"/>
  <c r="T357" i="1"/>
  <c r="N358" i="1"/>
  <c r="O358" i="1"/>
  <c r="T358" i="1"/>
  <c r="N359" i="1"/>
  <c r="O359" i="1"/>
  <c r="T359" i="1"/>
  <c r="N360" i="1"/>
  <c r="O360" i="1"/>
  <c r="T360" i="1"/>
  <c r="N361" i="1"/>
  <c r="O361" i="1"/>
  <c r="T361" i="1"/>
  <c r="N362" i="1"/>
  <c r="O362" i="1"/>
  <c r="T362" i="1"/>
  <c r="N363" i="1"/>
  <c r="O363" i="1"/>
  <c r="T363" i="1"/>
  <c r="N364" i="1"/>
  <c r="O364" i="1"/>
  <c r="T364" i="1"/>
  <c r="N365" i="1"/>
  <c r="O365" i="1"/>
  <c r="T365" i="1"/>
  <c r="N366" i="1"/>
  <c r="O366" i="1"/>
  <c r="T366" i="1"/>
  <c r="N367" i="1"/>
  <c r="O367" i="1"/>
  <c r="T367" i="1"/>
  <c r="N368" i="1"/>
  <c r="O368" i="1"/>
  <c r="T368" i="1"/>
  <c r="N369" i="1"/>
  <c r="O369" i="1"/>
  <c r="T369" i="1"/>
  <c r="N370" i="1"/>
  <c r="O370" i="1"/>
  <c r="T370" i="1"/>
  <c r="N371" i="1"/>
  <c r="O371" i="1"/>
  <c r="T371" i="1"/>
  <c r="N372" i="1"/>
  <c r="O372" i="1"/>
  <c r="T372" i="1"/>
  <c r="N373" i="1"/>
  <c r="O373" i="1"/>
  <c r="T373" i="1"/>
  <c r="N374" i="1"/>
  <c r="O374" i="1"/>
  <c r="T374" i="1"/>
  <c r="N375" i="1"/>
  <c r="O375" i="1"/>
  <c r="T375" i="1"/>
  <c r="N376" i="1"/>
  <c r="O376" i="1"/>
  <c r="T376" i="1"/>
  <c r="N377" i="1"/>
  <c r="O377" i="1"/>
  <c r="T377" i="1"/>
  <c r="N378" i="1"/>
  <c r="O378" i="1"/>
  <c r="T378" i="1"/>
  <c r="N387" i="1"/>
  <c r="O387" i="1"/>
  <c r="T387" i="1"/>
  <c r="N388" i="1"/>
  <c r="O388" i="1"/>
  <c r="T388" i="1"/>
  <c r="N389" i="1"/>
  <c r="O389" i="1"/>
  <c r="T389" i="1"/>
  <c r="N390" i="1"/>
  <c r="O390" i="1"/>
  <c r="T390" i="1"/>
  <c r="N391" i="1"/>
  <c r="O391" i="1"/>
  <c r="T391" i="1"/>
  <c r="N392" i="1"/>
  <c r="O392" i="1"/>
  <c r="T392" i="1"/>
  <c r="N393" i="1"/>
  <c r="O393" i="1"/>
  <c r="T393" i="1"/>
  <c r="N394" i="1"/>
  <c r="O394" i="1"/>
  <c r="T394" i="1"/>
  <c r="N395" i="1"/>
  <c r="O395" i="1"/>
  <c r="T395" i="1"/>
  <c r="N396" i="1"/>
  <c r="O396" i="1"/>
  <c r="T396" i="1"/>
  <c r="N397" i="1"/>
  <c r="O397" i="1"/>
  <c r="T397" i="1"/>
  <c r="N398" i="1"/>
  <c r="O398" i="1"/>
  <c r="T398" i="1"/>
  <c r="N399" i="1"/>
  <c r="O399" i="1"/>
  <c r="T399" i="1"/>
  <c r="N400" i="1"/>
  <c r="O400" i="1"/>
  <c r="T400" i="1"/>
  <c r="N401" i="1"/>
  <c r="O401" i="1"/>
  <c r="T401" i="1"/>
  <c r="N402" i="1"/>
  <c r="O402" i="1"/>
  <c r="T402" i="1"/>
  <c r="N403" i="1"/>
  <c r="O403" i="1"/>
  <c r="T403" i="1"/>
  <c r="N404" i="1"/>
  <c r="O404" i="1"/>
  <c r="T404" i="1"/>
  <c r="N405" i="1"/>
  <c r="O405" i="1"/>
  <c r="T405" i="1"/>
  <c r="N406" i="1"/>
  <c r="O406" i="1"/>
  <c r="T406" i="1"/>
  <c r="N407" i="1"/>
  <c r="O407" i="1"/>
  <c r="T407" i="1"/>
  <c r="N408" i="1"/>
  <c r="O408" i="1"/>
  <c r="T408" i="1"/>
  <c r="N409" i="1"/>
  <c r="O409" i="1"/>
  <c r="T409" i="1"/>
  <c r="N410" i="1"/>
  <c r="O410" i="1"/>
  <c r="T410" i="1"/>
  <c r="N411" i="1"/>
  <c r="O411" i="1"/>
  <c r="T411" i="1"/>
  <c r="N412" i="1"/>
  <c r="O412" i="1"/>
  <c r="T412" i="1"/>
  <c r="N413" i="1"/>
  <c r="O413" i="1"/>
  <c r="T413" i="1"/>
  <c r="N414" i="1"/>
  <c r="O414" i="1"/>
  <c r="T414" i="1"/>
  <c r="N415" i="1"/>
  <c r="O415" i="1"/>
  <c r="T415" i="1"/>
  <c r="N416" i="1"/>
  <c r="O416" i="1"/>
  <c r="T416" i="1"/>
  <c r="N417" i="1"/>
  <c r="O417" i="1"/>
  <c r="T417" i="1"/>
  <c r="N418" i="1"/>
  <c r="O418" i="1"/>
  <c r="T418" i="1"/>
  <c r="N419" i="1"/>
  <c r="O419" i="1"/>
  <c r="T419" i="1"/>
  <c r="N420" i="1"/>
  <c r="O420" i="1"/>
  <c r="T420" i="1"/>
  <c r="N421" i="1"/>
  <c r="O421" i="1"/>
  <c r="T421" i="1"/>
  <c r="N422" i="1"/>
  <c r="O422" i="1"/>
  <c r="T422" i="1"/>
  <c r="N423" i="1"/>
  <c r="O423" i="1"/>
  <c r="T423" i="1"/>
  <c r="N424" i="1"/>
  <c r="O424" i="1"/>
  <c r="T424" i="1"/>
  <c r="N425" i="1"/>
  <c r="O425" i="1"/>
  <c r="T425" i="1"/>
  <c r="N426" i="1"/>
  <c r="O426" i="1"/>
  <c r="T426" i="1"/>
  <c r="N427" i="1"/>
  <c r="O427" i="1"/>
  <c r="T427" i="1"/>
  <c r="N428" i="1"/>
  <c r="O428" i="1"/>
  <c r="T428" i="1"/>
  <c r="N429" i="1"/>
  <c r="O429" i="1"/>
  <c r="T429" i="1"/>
  <c r="N430" i="1"/>
  <c r="O430" i="1"/>
  <c r="T430" i="1"/>
  <c r="N431" i="1"/>
  <c r="O431" i="1"/>
  <c r="T431" i="1"/>
  <c r="N432" i="1"/>
  <c r="O432" i="1"/>
  <c r="T432" i="1"/>
  <c r="N433" i="1"/>
  <c r="O433" i="1"/>
  <c r="T433" i="1"/>
  <c r="N434" i="1"/>
  <c r="O434" i="1"/>
  <c r="T434" i="1"/>
  <c r="N435" i="1"/>
  <c r="O435" i="1"/>
  <c r="T435" i="1"/>
  <c r="N436" i="1"/>
  <c r="O436" i="1"/>
  <c r="T436" i="1"/>
  <c r="N437" i="1"/>
  <c r="O437" i="1"/>
  <c r="T437" i="1"/>
  <c r="N438" i="1"/>
  <c r="O438" i="1"/>
  <c r="T438" i="1"/>
  <c r="N439" i="1"/>
  <c r="O439" i="1"/>
  <c r="T439" i="1"/>
  <c r="N440" i="1"/>
  <c r="O440" i="1"/>
  <c r="T440" i="1"/>
  <c r="N441" i="1"/>
  <c r="O441" i="1"/>
  <c r="T441" i="1"/>
  <c r="N442" i="1"/>
  <c r="O442" i="1"/>
  <c r="T442" i="1"/>
  <c r="N443" i="1"/>
  <c r="O443" i="1"/>
  <c r="T443" i="1"/>
  <c r="N444" i="1"/>
  <c r="O444" i="1"/>
  <c r="T444" i="1"/>
  <c r="N445" i="1"/>
  <c r="O445" i="1"/>
  <c r="T445" i="1"/>
  <c r="N446" i="1"/>
  <c r="O446" i="1"/>
  <c r="T446" i="1"/>
  <c r="N447" i="1"/>
  <c r="O447" i="1"/>
  <c r="T447" i="1"/>
  <c r="N448" i="1"/>
  <c r="O448" i="1"/>
  <c r="T448" i="1"/>
  <c r="N449" i="1"/>
  <c r="O449" i="1"/>
  <c r="T449" i="1"/>
  <c r="N450" i="1"/>
  <c r="O450" i="1"/>
  <c r="T450" i="1"/>
  <c r="N451" i="1"/>
  <c r="O451" i="1"/>
  <c r="T451" i="1"/>
  <c r="N452" i="1"/>
  <c r="O452" i="1"/>
  <c r="T452" i="1"/>
  <c r="N453" i="1"/>
  <c r="O453" i="1"/>
  <c r="T453" i="1"/>
  <c r="N454" i="1"/>
  <c r="O454" i="1"/>
  <c r="T454" i="1"/>
  <c r="N455" i="1"/>
  <c r="O455" i="1"/>
  <c r="T455" i="1"/>
  <c r="N456" i="1"/>
  <c r="O456" i="1"/>
  <c r="T456" i="1"/>
  <c r="N457" i="1"/>
  <c r="O457" i="1"/>
  <c r="T457" i="1"/>
  <c r="N458" i="1"/>
  <c r="O458" i="1"/>
  <c r="T458" i="1"/>
  <c r="N459" i="1"/>
  <c r="O459" i="1"/>
  <c r="T459" i="1"/>
  <c r="N460" i="1"/>
  <c r="O460" i="1"/>
  <c r="T460" i="1"/>
  <c r="N461" i="1"/>
  <c r="O461" i="1"/>
  <c r="T461" i="1"/>
  <c r="N462" i="1"/>
  <c r="O462" i="1"/>
  <c r="T462" i="1"/>
  <c r="N463" i="1"/>
  <c r="O463" i="1"/>
  <c r="T463" i="1"/>
  <c r="N464" i="1"/>
  <c r="O464" i="1"/>
  <c r="T464" i="1"/>
  <c r="N465" i="1"/>
  <c r="O465" i="1"/>
  <c r="T465" i="1"/>
  <c r="N466" i="1"/>
  <c r="O466" i="1"/>
  <c r="T466" i="1"/>
  <c r="N467" i="1"/>
  <c r="O467" i="1"/>
  <c r="T467" i="1"/>
  <c r="N468" i="1"/>
  <c r="O468" i="1"/>
  <c r="T468" i="1"/>
  <c r="N469" i="1"/>
  <c r="O469" i="1"/>
  <c r="T469" i="1"/>
  <c r="N470" i="1"/>
  <c r="O470" i="1"/>
  <c r="T470" i="1"/>
  <c r="N471" i="1"/>
  <c r="O471" i="1"/>
  <c r="T471" i="1"/>
  <c r="N472" i="1"/>
  <c r="O472" i="1"/>
  <c r="T472" i="1"/>
  <c r="N473" i="1"/>
  <c r="O473" i="1"/>
  <c r="T473" i="1"/>
  <c r="N474" i="1"/>
  <c r="O474" i="1"/>
  <c r="T474" i="1"/>
  <c r="N475" i="1"/>
  <c r="O475" i="1"/>
  <c r="T475" i="1"/>
  <c r="N476" i="1"/>
  <c r="O476" i="1"/>
  <c r="T476" i="1"/>
  <c r="N477" i="1"/>
  <c r="O477" i="1"/>
  <c r="T477" i="1"/>
  <c r="N478" i="1"/>
  <c r="O478" i="1"/>
  <c r="T478" i="1"/>
  <c r="N479" i="1"/>
  <c r="O479" i="1"/>
  <c r="T479" i="1"/>
  <c r="N480" i="1"/>
  <c r="O480" i="1"/>
  <c r="T480" i="1"/>
  <c r="N481" i="1"/>
  <c r="O481" i="1"/>
  <c r="T481" i="1"/>
  <c r="N482" i="1"/>
  <c r="O482" i="1"/>
  <c r="T482" i="1"/>
  <c r="N483" i="1"/>
  <c r="O483" i="1"/>
  <c r="T483" i="1"/>
  <c r="N484" i="1"/>
  <c r="O484" i="1"/>
  <c r="T484" i="1"/>
  <c r="N485" i="1"/>
  <c r="O485" i="1"/>
  <c r="T485" i="1"/>
  <c r="N486" i="1"/>
  <c r="O486" i="1"/>
  <c r="T486" i="1"/>
  <c r="N487" i="1"/>
  <c r="O487" i="1"/>
  <c r="T487" i="1"/>
  <c r="N488" i="1"/>
  <c r="O488" i="1"/>
  <c r="T488" i="1"/>
  <c r="N489" i="1"/>
  <c r="O489" i="1"/>
  <c r="T489" i="1"/>
  <c r="N490" i="1"/>
  <c r="O490" i="1"/>
  <c r="T490" i="1"/>
  <c r="N491" i="1"/>
  <c r="O491" i="1"/>
  <c r="T491" i="1"/>
  <c r="N492" i="1"/>
  <c r="O492" i="1"/>
  <c r="T492" i="1"/>
  <c r="N493" i="1"/>
  <c r="O493" i="1"/>
  <c r="T493" i="1"/>
  <c r="N494" i="1"/>
  <c r="O494" i="1"/>
  <c r="T494" i="1"/>
  <c r="N495" i="1"/>
  <c r="O495" i="1"/>
  <c r="T495" i="1"/>
  <c r="N496" i="1"/>
  <c r="O496" i="1"/>
  <c r="T496" i="1"/>
  <c r="N497" i="1"/>
  <c r="O497" i="1"/>
  <c r="T497" i="1"/>
  <c r="N498" i="1"/>
  <c r="O498" i="1"/>
  <c r="T498" i="1"/>
  <c r="U498" i="1"/>
  <c r="X497" i="1"/>
  <c r="H497" i="1"/>
  <c r="V497" i="1"/>
  <c r="W497" i="1"/>
  <c r="U497" i="1"/>
  <c r="X496" i="1"/>
  <c r="H496" i="1"/>
  <c r="V496" i="1"/>
  <c r="W496" i="1"/>
  <c r="U496" i="1"/>
  <c r="X495" i="1"/>
  <c r="H495" i="1"/>
  <c r="V495" i="1"/>
  <c r="W495" i="1"/>
  <c r="U495" i="1"/>
  <c r="X494" i="1"/>
  <c r="H494" i="1"/>
  <c r="V494" i="1"/>
  <c r="W494" i="1"/>
  <c r="U494" i="1"/>
  <c r="X493" i="1"/>
  <c r="H493" i="1"/>
  <c r="V493" i="1"/>
  <c r="W493" i="1"/>
  <c r="U493" i="1"/>
  <c r="X492" i="1"/>
  <c r="H492" i="1"/>
  <c r="V492" i="1"/>
  <c r="W492" i="1"/>
  <c r="U492" i="1"/>
  <c r="X491" i="1"/>
  <c r="H491" i="1"/>
  <c r="V491" i="1"/>
  <c r="W491" i="1"/>
  <c r="U491" i="1"/>
  <c r="X490" i="1"/>
  <c r="H490" i="1"/>
  <c r="V490" i="1"/>
  <c r="W490" i="1"/>
  <c r="U490" i="1"/>
  <c r="X489" i="1"/>
  <c r="H489" i="1"/>
  <c r="V489" i="1"/>
  <c r="W489" i="1"/>
  <c r="U489" i="1"/>
  <c r="X488" i="1"/>
  <c r="H488" i="1"/>
  <c r="V488" i="1"/>
  <c r="W488" i="1"/>
  <c r="U488" i="1"/>
  <c r="X487" i="1"/>
  <c r="H487" i="1"/>
  <c r="V487" i="1"/>
  <c r="W487" i="1"/>
  <c r="U487" i="1"/>
  <c r="X486" i="1"/>
  <c r="H486" i="1"/>
  <c r="V486" i="1"/>
  <c r="W486" i="1"/>
  <c r="U486" i="1"/>
  <c r="X485" i="1"/>
  <c r="H485" i="1"/>
  <c r="V485" i="1"/>
  <c r="W485" i="1"/>
  <c r="U485" i="1"/>
  <c r="X484" i="1"/>
  <c r="H484" i="1"/>
  <c r="V484" i="1"/>
  <c r="W484" i="1"/>
  <c r="U484" i="1"/>
  <c r="X483" i="1"/>
  <c r="H483" i="1"/>
  <c r="V483" i="1"/>
  <c r="W483" i="1"/>
  <c r="U483" i="1"/>
  <c r="X482" i="1"/>
  <c r="H482" i="1"/>
  <c r="V482" i="1"/>
  <c r="W482" i="1"/>
  <c r="U482" i="1"/>
  <c r="X481" i="1"/>
  <c r="H481" i="1"/>
  <c r="V481" i="1"/>
  <c r="W481" i="1"/>
  <c r="U481" i="1"/>
  <c r="X480" i="1"/>
  <c r="H480" i="1"/>
  <c r="V480" i="1"/>
  <c r="W480" i="1"/>
  <c r="U480" i="1"/>
  <c r="X479" i="1"/>
  <c r="H479" i="1"/>
  <c r="V479" i="1"/>
  <c r="W479" i="1"/>
  <c r="U479" i="1"/>
  <c r="X478" i="1"/>
  <c r="H478" i="1"/>
  <c r="V478" i="1"/>
  <c r="W478" i="1"/>
  <c r="U478" i="1"/>
  <c r="X477" i="1"/>
  <c r="H477" i="1"/>
  <c r="V477" i="1"/>
  <c r="W477" i="1"/>
  <c r="U477" i="1"/>
  <c r="X476" i="1"/>
  <c r="H476" i="1"/>
  <c r="V476" i="1"/>
  <c r="W476" i="1"/>
  <c r="U476" i="1"/>
  <c r="X475" i="1"/>
  <c r="H475" i="1"/>
  <c r="V475" i="1"/>
  <c r="W475" i="1"/>
  <c r="U475" i="1"/>
  <c r="X474" i="1"/>
  <c r="H474" i="1"/>
  <c r="V474" i="1"/>
  <c r="W474" i="1"/>
  <c r="U474" i="1"/>
  <c r="X473" i="1"/>
  <c r="H473" i="1"/>
  <c r="V473" i="1"/>
  <c r="W473" i="1"/>
  <c r="U473" i="1"/>
  <c r="X472" i="1"/>
  <c r="H472" i="1"/>
  <c r="V472" i="1"/>
  <c r="W472" i="1"/>
  <c r="U472" i="1"/>
  <c r="X471" i="1"/>
  <c r="H471" i="1"/>
  <c r="V471" i="1"/>
  <c r="W471" i="1"/>
  <c r="U471" i="1"/>
  <c r="X470" i="1"/>
  <c r="H470" i="1"/>
  <c r="V470" i="1"/>
  <c r="W470" i="1"/>
  <c r="U470" i="1"/>
  <c r="X469" i="1"/>
  <c r="H469" i="1"/>
  <c r="V469" i="1"/>
  <c r="W469" i="1"/>
  <c r="U469" i="1"/>
  <c r="X468" i="1"/>
  <c r="H468" i="1"/>
  <c r="V468" i="1"/>
  <c r="W468" i="1"/>
  <c r="U468" i="1"/>
  <c r="X467" i="1"/>
  <c r="H467" i="1"/>
  <c r="V467" i="1"/>
  <c r="W467" i="1"/>
  <c r="U467" i="1"/>
  <c r="X466" i="1"/>
  <c r="H466" i="1"/>
  <c r="V466" i="1"/>
  <c r="W466" i="1"/>
  <c r="U466" i="1"/>
  <c r="X465" i="1"/>
  <c r="H465" i="1"/>
  <c r="V465" i="1"/>
  <c r="W465" i="1"/>
  <c r="U465" i="1"/>
  <c r="X464" i="1"/>
  <c r="H464" i="1"/>
  <c r="V464" i="1"/>
  <c r="W464" i="1"/>
  <c r="U464" i="1"/>
  <c r="X463" i="1"/>
  <c r="H463" i="1"/>
  <c r="V463" i="1"/>
  <c r="W463" i="1"/>
  <c r="U463" i="1"/>
  <c r="X462" i="1"/>
  <c r="H462" i="1"/>
  <c r="V462" i="1"/>
  <c r="W462" i="1"/>
  <c r="U462" i="1"/>
  <c r="X461" i="1"/>
  <c r="H461" i="1"/>
  <c r="V461" i="1"/>
  <c r="W461" i="1"/>
  <c r="U461" i="1"/>
  <c r="X460" i="1"/>
  <c r="H460" i="1"/>
  <c r="V460" i="1"/>
  <c r="W460" i="1"/>
  <c r="U460" i="1"/>
  <c r="X459" i="1"/>
  <c r="H459" i="1"/>
  <c r="V459" i="1"/>
  <c r="W459" i="1"/>
  <c r="U459" i="1"/>
  <c r="X458" i="1"/>
  <c r="H458" i="1"/>
  <c r="V458" i="1"/>
  <c r="W458" i="1"/>
  <c r="U458" i="1"/>
  <c r="X457" i="1"/>
  <c r="H457" i="1"/>
  <c r="V457" i="1"/>
  <c r="W457" i="1"/>
  <c r="U457" i="1"/>
  <c r="X456" i="1"/>
  <c r="H456" i="1"/>
  <c r="V456" i="1"/>
  <c r="W456" i="1"/>
  <c r="U456" i="1"/>
  <c r="X455" i="1"/>
  <c r="H455" i="1"/>
  <c r="V455" i="1"/>
  <c r="W455" i="1"/>
  <c r="U455" i="1"/>
  <c r="X454" i="1"/>
  <c r="H454" i="1"/>
  <c r="V454" i="1"/>
  <c r="W454" i="1"/>
  <c r="U454" i="1"/>
  <c r="X453" i="1"/>
  <c r="H453" i="1"/>
  <c r="V453" i="1"/>
  <c r="W453" i="1"/>
  <c r="U453" i="1"/>
  <c r="X452" i="1"/>
  <c r="H452" i="1"/>
  <c r="V452" i="1"/>
  <c r="W452" i="1"/>
  <c r="U452" i="1"/>
  <c r="X451" i="1"/>
  <c r="H451" i="1"/>
  <c r="V451" i="1"/>
  <c r="W451" i="1"/>
  <c r="U451" i="1"/>
  <c r="X450" i="1"/>
  <c r="H450" i="1"/>
  <c r="V450" i="1"/>
  <c r="W450" i="1"/>
  <c r="U450" i="1"/>
  <c r="X449" i="1"/>
  <c r="H449" i="1"/>
  <c r="V449" i="1"/>
  <c r="W449" i="1"/>
  <c r="U449" i="1"/>
  <c r="X448" i="1"/>
  <c r="H448" i="1"/>
  <c r="V448" i="1"/>
  <c r="W448" i="1"/>
  <c r="U448" i="1"/>
  <c r="X447" i="1"/>
  <c r="H447" i="1"/>
  <c r="V447" i="1"/>
  <c r="W447" i="1"/>
  <c r="U447" i="1"/>
  <c r="X446" i="1"/>
  <c r="H446" i="1"/>
  <c r="V446" i="1"/>
  <c r="W446" i="1"/>
  <c r="U446" i="1"/>
  <c r="X445" i="1"/>
  <c r="H445" i="1"/>
  <c r="V445" i="1"/>
  <c r="W445" i="1"/>
  <c r="U445" i="1"/>
  <c r="X444" i="1"/>
  <c r="H444" i="1"/>
  <c r="V444" i="1"/>
  <c r="W444" i="1"/>
  <c r="U444" i="1"/>
  <c r="X443" i="1"/>
  <c r="H443" i="1"/>
  <c r="V443" i="1"/>
  <c r="W443" i="1"/>
  <c r="U443" i="1"/>
  <c r="X442" i="1"/>
  <c r="H442" i="1"/>
  <c r="V442" i="1"/>
  <c r="W442" i="1"/>
  <c r="U442" i="1"/>
  <c r="X441" i="1"/>
  <c r="H441" i="1"/>
  <c r="V441" i="1"/>
  <c r="W441" i="1"/>
  <c r="U441" i="1"/>
  <c r="X440" i="1"/>
  <c r="H440" i="1"/>
  <c r="V440" i="1"/>
  <c r="W440" i="1"/>
  <c r="U440" i="1"/>
  <c r="X439" i="1"/>
  <c r="H439" i="1"/>
  <c r="V439" i="1"/>
  <c r="W439" i="1"/>
  <c r="U439" i="1"/>
  <c r="X438" i="1"/>
  <c r="H438" i="1"/>
  <c r="V438" i="1"/>
  <c r="W438" i="1"/>
  <c r="U438" i="1"/>
  <c r="X437" i="1"/>
  <c r="H437" i="1"/>
  <c r="V437" i="1"/>
  <c r="W437" i="1"/>
  <c r="U437" i="1"/>
  <c r="X436" i="1"/>
  <c r="H436" i="1"/>
  <c r="V436" i="1"/>
  <c r="W436" i="1"/>
  <c r="U436" i="1"/>
  <c r="X435" i="1"/>
  <c r="H435" i="1"/>
  <c r="V435" i="1"/>
  <c r="W435" i="1"/>
  <c r="U435" i="1"/>
  <c r="X434" i="1"/>
  <c r="H434" i="1"/>
  <c r="V434" i="1"/>
  <c r="W434" i="1"/>
  <c r="U434" i="1"/>
  <c r="X433" i="1"/>
  <c r="H433" i="1"/>
  <c r="V433" i="1"/>
  <c r="W433" i="1"/>
  <c r="U433" i="1"/>
  <c r="X432" i="1"/>
  <c r="H432" i="1"/>
  <c r="V432" i="1"/>
  <c r="W432" i="1"/>
  <c r="U432" i="1"/>
  <c r="X431" i="1"/>
  <c r="H431" i="1"/>
  <c r="V431" i="1"/>
  <c r="W431" i="1"/>
  <c r="U431" i="1"/>
  <c r="X430" i="1"/>
  <c r="H430" i="1"/>
  <c r="V430" i="1"/>
  <c r="W430" i="1"/>
  <c r="U430" i="1"/>
  <c r="X429" i="1"/>
  <c r="H429" i="1"/>
  <c r="V429" i="1"/>
  <c r="W429" i="1"/>
  <c r="U429" i="1"/>
  <c r="X428" i="1"/>
  <c r="H428" i="1"/>
  <c r="V428" i="1"/>
  <c r="W428" i="1"/>
  <c r="U428" i="1"/>
  <c r="X427" i="1"/>
  <c r="H427" i="1"/>
  <c r="V427" i="1"/>
  <c r="W427" i="1"/>
  <c r="U427" i="1"/>
  <c r="X426" i="1"/>
  <c r="H426" i="1"/>
  <c r="V426" i="1"/>
  <c r="W426" i="1"/>
  <c r="U426" i="1"/>
  <c r="X425" i="1"/>
  <c r="H425" i="1"/>
  <c r="V425" i="1"/>
  <c r="W425" i="1"/>
  <c r="U425" i="1"/>
  <c r="X424" i="1"/>
  <c r="H424" i="1"/>
  <c r="V424" i="1"/>
  <c r="W424" i="1"/>
  <c r="U424" i="1"/>
  <c r="X423" i="1"/>
  <c r="H423" i="1"/>
  <c r="V423" i="1"/>
  <c r="W423" i="1"/>
  <c r="U423" i="1"/>
  <c r="X422" i="1"/>
  <c r="H422" i="1"/>
  <c r="V422" i="1"/>
  <c r="W422" i="1"/>
  <c r="U422" i="1"/>
  <c r="X421" i="1"/>
  <c r="H421" i="1"/>
  <c r="V421" i="1"/>
  <c r="W421" i="1"/>
  <c r="U421" i="1"/>
  <c r="X420" i="1"/>
  <c r="H420" i="1"/>
  <c r="V420" i="1"/>
  <c r="W420" i="1"/>
  <c r="U420" i="1"/>
  <c r="X419" i="1"/>
  <c r="H419" i="1"/>
  <c r="V419" i="1"/>
  <c r="W419" i="1"/>
  <c r="U419" i="1"/>
  <c r="X418" i="1"/>
  <c r="H418" i="1"/>
  <c r="V418" i="1"/>
  <c r="W418" i="1"/>
  <c r="U418" i="1"/>
  <c r="X417" i="1"/>
  <c r="H417" i="1"/>
  <c r="V417" i="1"/>
  <c r="W417" i="1"/>
  <c r="U417" i="1"/>
  <c r="X416" i="1"/>
  <c r="H416" i="1"/>
  <c r="V416" i="1"/>
  <c r="W416" i="1"/>
  <c r="U416" i="1"/>
  <c r="X415" i="1"/>
  <c r="H415" i="1"/>
  <c r="V415" i="1"/>
  <c r="W415" i="1"/>
  <c r="U415" i="1"/>
  <c r="X414" i="1"/>
  <c r="H414" i="1"/>
  <c r="V414" i="1"/>
  <c r="W414" i="1"/>
  <c r="U414" i="1"/>
  <c r="X413" i="1"/>
  <c r="H413" i="1"/>
  <c r="V413" i="1"/>
  <c r="W413" i="1"/>
  <c r="U413" i="1"/>
  <c r="X412" i="1"/>
  <c r="H412" i="1"/>
  <c r="V412" i="1"/>
  <c r="W412" i="1"/>
  <c r="U412" i="1"/>
  <c r="X411" i="1"/>
  <c r="H411" i="1"/>
  <c r="V411" i="1"/>
  <c r="W411" i="1"/>
  <c r="U411" i="1"/>
  <c r="X410" i="1"/>
  <c r="H410" i="1"/>
  <c r="V410" i="1"/>
  <c r="W410" i="1"/>
  <c r="U410" i="1"/>
  <c r="X409" i="1"/>
  <c r="H409" i="1"/>
  <c r="V409" i="1"/>
  <c r="W409" i="1"/>
  <c r="U409" i="1"/>
  <c r="X408" i="1"/>
  <c r="H408" i="1"/>
  <c r="V408" i="1"/>
  <c r="W408" i="1"/>
  <c r="U408" i="1"/>
  <c r="X407" i="1"/>
  <c r="H407" i="1"/>
  <c r="V407" i="1"/>
  <c r="W407" i="1"/>
  <c r="U407" i="1"/>
  <c r="X406" i="1"/>
  <c r="H406" i="1"/>
  <c r="V406" i="1"/>
  <c r="W406" i="1"/>
  <c r="U406" i="1"/>
  <c r="X405" i="1"/>
  <c r="H405" i="1"/>
  <c r="V405" i="1"/>
  <c r="W405" i="1"/>
  <c r="U405" i="1"/>
  <c r="X404" i="1"/>
  <c r="H404" i="1"/>
  <c r="V404" i="1"/>
  <c r="W404" i="1"/>
  <c r="U404" i="1"/>
  <c r="X403" i="1"/>
  <c r="H403" i="1"/>
  <c r="V403" i="1"/>
  <c r="W403" i="1"/>
  <c r="U403" i="1"/>
  <c r="X402" i="1"/>
  <c r="H402" i="1"/>
  <c r="V402" i="1"/>
  <c r="W402" i="1"/>
  <c r="U402" i="1"/>
  <c r="X401" i="1"/>
  <c r="H401" i="1"/>
  <c r="V401" i="1"/>
  <c r="W401" i="1"/>
  <c r="U401" i="1"/>
  <c r="X400" i="1"/>
  <c r="H400" i="1"/>
  <c r="V400" i="1"/>
  <c r="W400" i="1"/>
  <c r="U400" i="1"/>
  <c r="X399" i="1"/>
  <c r="H399" i="1"/>
  <c r="V399" i="1"/>
  <c r="W399" i="1"/>
  <c r="U399" i="1"/>
  <c r="X398" i="1"/>
  <c r="H398" i="1"/>
  <c r="V398" i="1"/>
  <c r="W398" i="1"/>
  <c r="U398" i="1"/>
  <c r="X397" i="1"/>
  <c r="H397" i="1"/>
  <c r="V397" i="1"/>
  <c r="W397" i="1"/>
  <c r="U397" i="1"/>
  <c r="X396" i="1"/>
  <c r="H396" i="1"/>
  <c r="V396" i="1"/>
  <c r="W396" i="1"/>
  <c r="U396" i="1"/>
  <c r="X395" i="1"/>
  <c r="H395" i="1"/>
  <c r="V395" i="1"/>
  <c r="W395" i="1"/>
  <c r="U395" i="1"/>
  <c r="X394" i="1"/>
  <c r="H394" i="1"/>
  <c r="V394" i="1"/>
  <c r="W394" i="1"/>
  <c r="U394" i="1"/>
  <c r="X393" i="1"/>
  <c r="H393" i="1"/>
  <c r="V393" i="1"/>
  <c r="W393" i="1"/>
  <c r="U393" i="1"/>
  <c r="X392" i="1"/>
  <c r="H392" i="1"/>
  <c r="V392" i="1"/>
  <c r="W392" i="1"/>
  <c r="U392" i="1"/>
  <c r="X391" i="1"/>
  <c r="H391" i="1"/>
  <c r="V391" i="1"/>
  <c r="W391" i="1"/>
  <c r="U391" i="1"/>
  <c r="X390" i="1"/>
  <c r="H390" i="1"/>
  <c r="V390" i="1"/>
  <c r="W390" i="1"/>
  <c r="U390" i="1"/>
  <c r="X389" i="1"/>
  <c r="H389" i="1"/>
  <c r="V389" i="1"/>
  <c r="W389" i="1"/>
  <c r="U389" i="1"/>
  <c r="X388" i="1"/>
  <c r="H388" i="1"/>
  <c r="V388" i="1"/>
  <c r="W388" i="1"/>
  <c r="U388" i="1"/>
  <c r="X387" i="1"/>
  <c r="H387" i="1"/>
  <c r="V387" i="1"/>
  <c r="W387" i="1"/>
  <c r="U387" i="1"/>
  <c r="U386" i="1"/>
  <c r="X386" i="1"/>
  <c r="H386" i="1"/>
  <c r="V386" i="1"/>
  <c r="W386" i="1"/>
  <c r="U385" i="1"/>
  <c r="X385" i="1"/>
  <c r="H385" i="1"/>
  <c r="V385" i="1"/>
  <c r="W385" i="1"/>
  <c r="U384" i="1"/>
  <c r="X384" i="1"/>
  <c r="H384" i="1"/>
  <c r="V384" i="1"/>
  <c r="W384" i="1"/>
  <c r="U383" i="1"/>
  <c r="X383" i="1"/>
  <c r="H383" i="1"/>
  <c r="V383" i="1"/>
  <c r="W383" i="1"/>
  <c r="U382" i="1"/>
  <c r="X382" i="1"/>
  <c r="H382" i="1"/>
  <c r="V382" i="1"/>
  <c r="W382" i="1"/>
  <c r="U381" i="1"/>
  <c r="X381" i="1"/>
  <c r="H381" i="1"/>
  <c r="V381" i="1"/>
  <c r="W381" i="1"/>
  <c r="X378" i="1"/>
  <c r="H378" i="1"/>
  <c r="V378" i="1"/>
  <c r="W378" i="1"/>
  <c r="U378" i="1"/>
  <c r="X377" i="1"/>
  <c r="H377" i="1"/>
  <c r="V377" i="1"/>
  <c r="W377" i="1"/>
  <c r="U377" i="1"/>
  <c r="X376" i="1"/>
  <c r="H376" i="1"/>
  <c r="V376" i="1"/>
  <c r="W376" i="1"/>
  <c r="U376" i="1"/>
  <c r="X375" i="1"/>
  <c r="H375" i="1"/>
  <c r="V375" i="1"/>
  <c r="W375" i="1"/>
  <c r="U375" i="1"/>
  <c r="X374" i="1"/>
  <c r="H374" i="1"/>
  <c r="V374" i="1"/>
  <c r="W374" i="1"/>
  <c r="U374" i="1"/>
  <c r="X373" i="1"/>
  <c r="H373" i="1"/>
  <c r="V373" i="1"/>
  <c r="W373" i="1"/>
  <c r="U373" i="1"/>
  <c r="X372" i="1"/>
  <c r="H372" i="1"/>
  <c r="V372" i="1"/>
  <c r="W372" i="1"/>
  <c r="U372" i="1"/>
  <c r="X371" i="1"/>
  <c r="H371" i="1"/>
  <c r="V371" i="1"/>
  <c r="W371" i="1"/>
  <c r="U371" i="1"/>
  <c r="X370" i="1"/>
  <c r="H370" i="1"/>
  <c r="V370" i="1"/>
  <c r="W370" i="1"/>
  <c r="U370" i="1"/>
  <c r="X369" i="1"/>
  <c r="H369" i="1"/>
  <c r="V369" i="1"/>
  <c r="W369" i="1"/>
  <c r="U369" i="1"/>
  <c r="X368" i="1"/>
  <c r="H368" i="1"/>
  <c r="V368" i="1"/>
  <c r="W368" i="1"/>
  <c r="U368" i="1"/>
  <c r="X367" i="1"/>
  <c r="H367" i="1"/>
  <c r="V367" i="1"/>
  <c r="W367" i="1"/>
  <c r="U367" i="1"/>
  <c r="X366" i="1"/>
  <c r="H366" i="1"/>
  <c r="V366" i="1"/>
  <c r="W366" i="1"/>
  <c r="U366" i="1"/>
  <c r="X365" i="1"/>
  <c r="H365" i="1"/>
  <c r="V365" i="1"/>
  <c r="W365" i="1"/>
  <c r="U365" i="1"/>
  <c r="X364" i="1"/>
  <c r="H364" i="1"/>
  <c r="V364" i="1"/>
  <c r="W364" i="1"/>
  <c r="U364" i="1"/>
  <c r="X363" i="1"/>
  <c r="H363" i="1"/>
  <c r="V363" i="1"/>
  <c r="W363" i="1"/>
  <c r="U363" i="1"/>
  <c r="X362" i="1"/>
  <c r="H362" i="1"/>
  <c r="V362" i="1"/>
  <c r="W362" i="1"/>
  <c r="U362" i="1"/>
  <c r="X361" i="1"/>
  <c r="H361" i="1"/>
  <c r="V361" i="1"/>
  <c r="W361" i="1"/>
  <c r="U361" i="1"/>
  <c r="X360" i="1"/>
  <c r="H360" i="1"/>
  <c r="V360" i="1"/>
  <c r="W360" i="1"/>
  <c r="U360" i="1"/>
  <c r="X359" i="1"/>
  <c r="H359" i="1"/>
  <c r="V359" i="1"/>
  <c r="W359" i="1"/>
  <c r="U359" i="1"/>
  <c r="X358" i="1"/>
  <c r="H358" i="1"/>
  <c r="V358" i="1"/>
  <c r="W358" i="1"/>
  <c r="U358" i="1"/>
  <c r="X357" i="1"/>
  <c r="H357" i="1"/>
  <c r="V357" i="1"/>
  <c r="W357" i="1"/>
  <c r="U357" i="1"/>
  <c r="X356" i="1"/>
  <c r="H356" i="1"/>
  <c r="V356" i="1"/>
  <c r="W356" i="1"/>
  <c r="U356" i="1"/>
  <c r="X355" i="1"/>
  <c r="H355" i="1"/>
  <c r="V355" i="1"/>
  <c r="W355" i="1"/>
  <c r="U355" i="1"/>
  <c r="X354" i="1"/>
  <c r="H354" i="1"/>
  <c r="V354" i="1"/>
  <c r="W354" i="1"/>
  <c r="U354" i="1"/>
  <c r="X353" i="1"/>
  <c r="H353" i="1"/>
  <c r="V353" i="1"/>
  <c r="W353" i="1"/>
  <c r="U353" i="1"/>
  <c r="X352" i="1"/>
  <c r="H352" i="1"/>
  <c r="V352" i="1"/>
  <c r="W352" i="1"/>
  <c r="U352" i="1"/>
  <c r="X351" i="1"/>
  <c r="H351" i="1"/>
  <c r="V351" i="1"/>
  <c r="W351" i="1"/>
  <c r="U351" i="1"/>
  <c r="X350" i="1"/>
  <c r="H350" i="1"/>
  <c r="V350" i="1"/>
  <c r="W350" i="1"/>
  <c r="U350" i="1"/>
  <c r="X349" i="1"/>
  <c r="H349" i="1"/>
  <c r="V349" i="1"/>
  <c r="W349" i="1"/>
  <c r="U349" i="1"/>
  <c r="X348" i="1"/>
  <c r="H348" i="1"/>
  <c r="V348" i="1"/>
  <c r="W348" i="1"/>
  <c r="U348" i="1"/>
  <c r="X347" i="1"/>
  <c r="H347" i="1"/>
  <c r="V347" i="1"/>
  <c r="W347" i="1"/>
  <c r="U347" i="1"/>
  <c r="X346" i="1"/>
  <c r="H346" i="1"/>
  <c r="V346" i="1"/>
  <c r="W346" i="1"/>
  <c r="U346" i="1"/>
  <c r="X345" i="1"/>
  <c r="H345" i="1"/>
  <c r="V345" i="1"/>
  <c r="W345" i="1"/>
  <c r="U345" i="1"/>
  <c r="X344" i="1"/>
  <c r="H344" i="1"/>
  <c r="V344" i="1"/>
  <c r="W344" i="1"/>
  <c r="U344" i="1"/>
  <c r="X343" i="1"/>
  <c r="H343" i="1"/>
  <c r="V343" i="1"/>
  <c r="W343" i="1"/>
  <c r="U343" i="1"/>
  <c r="X342" i="1"/>
  <c r="H342" i="1"/>
  <c r="V342" i="1"/>
  <c r="W342" i="1"/>
  <c r="U342" i="1"/>
  <c r="X341" i="1"/>
  <c r="H341" i="1"/>
  <c r="V341" i="1"/>
  <c r="W341" i="1"/>
  <c r="U341" i="1"/>
  <c r="X340" i="1"/>
  <c r="H340" i="1"/>
  <c r="V340" i="1"/>
  <c r="W340" i="1"/>
  <c r="U340" i="1"/>
  <c r="X339" i="1"/>
  <c r="H339" i="1"/>
  <c r="V339" i="1"/>
  <c r="W339" i="1"/>
  <c r="U339" i="1"/>
  <c r="X338" i="1"/>
  <c r="H338" i="1"/>
  <c r="V338" i="1"/>
  <c r="W338" i="1"/>
  <c r="U338" i="1"/>
  <c r="X337" i="1"/>
  <c r="H337" i="1"/>
  <c r="V337" i="1"/>
  <c r="W337" i="1"/>
  <c r="U337" i="1"/>
  <c r="X336" i="1"/>
  <c r="H336" i="1"/>
  <c r="V336" i="1"/>
  <c r="W336" i="1"/>
  <c r="U336" i="1"/>
  <c r="X335" i="1"/>
  <c r="H335" i="1"/>
  <c r="V335" i="1"/>
  <c r="W335" i="1"/>
  <c r="U335" i="1"/>
  <c r="X334" i="1"/>
  <c r="H334" i="1"/>
  <c r="V334" i="1"/>
  <c r="W334" i="1"/>
  <c r="U334" i="1"/>
  <c r="X333" i="1"/>
  <c r="H333" i="1"/>
  <c r="V333" i="1"/>
  <c r="W333" i="1"/>
  <c r="U333" i="1"/>
  <c r="X332" i="1"/>
  <c r="H332" i="1"/>
  <c r="V332" i="1"/>
  <c r="W332" i="1"/>
  <c r="U332" i="1"/>
  <c r="X331" i="1"/>
  <c r="H331" i="1"/>
  <c r="V331" i="1"/>
  <c r="W331" i="1"/>
  <c r="U331" i="1"/>
  <c r="X330" i="1"/>
  <c r="H330" i="1"/>
  <c r="V330" i="1"/>
  <c r="W330" i="1"/>
  <c r="U330" i="1"/>
  <c r="X329" i="1"/>
  <c r="H329" i="1"/>
  <c r="V329" i="1"/>
  <c r="W329" i="1"/>
  <c r="U329" i="1"/>
  <c r="X328" i="1"/>
  <c r="H328" i="1"/>
  <c r="V328" i="1"/>
  <c r="W328" i="1"/>
  <c r="U328" i="1"/>
  <c r="X327" i="1"/>
  <c r="H327" i="1"/>
  <c r="V327" i="1"/>
  <c r="W327" i="1"/>
  <c r="U327" i="1"/>
  <c r="X326" i="1"/>
  <c r="H326" i="1"/>
  <c r="V326" i="1"/>
  <c r="W326" i="1"/>
  <c r="U326" i="1"/>
  <c r="X325" i="1"/>
  <c r="H325" i="1"/>
  <c r="V325" i="1"/>
  <c r="W325" i="1"/>
  <c r="U325" i="1"/>
  <c r="X324" i="1"/>
  <c r="H324" i="1"/>
  <c r="V324" i="1"/>
  <c r="W324" i="1"/>
  <c r="U324" i="1"/>
  <c r="X323" i="1"/>
  <c r="H323" i="1"/>
  <c r="V323" i="1"/>
  <c r="W323" i="1"/>
  <c r="U323" i="1"/>
  <c r="X322" i="1"/>
  <c r="H322" i="1"/>
  <c r="V322" i="1"/>
  <c r="W322" i="1"/>
  <c r="U322" i="1"/>
  <c r="X321" i="1"/>
  <c r="H321" i="1"/>
  <c r="V321" i="1"/>
  <c r="W321" i="1"/>
  <c r="U321" i="1"/>
  <c r="X320" i="1"/>
  <c r="H320" i="1"/>
  <c r="V320" i="1"/>
  <c r="W320" i="1"/>
  <c r="U320" i="1"/>
  <c r="X319" i="1"/>
  <c r="H319" i="1"/>
  <c r="V319" i="1"/>
  <c r="W319" i="1"/>
  <c r="U319" i="1"/>
  <c r="X318" i="1"/>
  <c r="H318" i="1"/>
  <c r="V318" i="1"/>
  <c r="W318" i="1"/>
  <c r="U318" i="1"/>
  <c r="X317" i="1"/>
  <c r="H317" i="1"/>
  <c r="V317" i="1"/>
  <c r="W317" i="1"/>
  <c r="U317" i="1"/>
  <c r="X316" i="1"/>
  <c r="H316" i="1"/>
  <c r="V316" i="1"/>
  <c r="W316" i="1"/>
  <c r="U316" i="1"/>
  <c r="X315" i="1"/>
  <c r="H315" i="1"/>
  <c r="V315" i="1"/>
  <c r="W315" i="1"/>
  <c r="U315" i="1"/>
  <c r="X314" i="1"/>
  <c r="H314" i="1"/>
  <c r="V314" i="1"/>
  <c r="W314" i="1"/>
  <c r="U314" i="1"/>
  <c r="X313" i="1"/>
  <c r="H313" i="1"/>
  <c r="V313" i="1"/>
  <c r="W313" i="1"/>
  <c r="U313" i="1"/>
  <c r="X312" i="1"/>
  <c r="H312" i="1"/>
  <c r="V312" i="1"/>
  <c r="W312" i="1"/>
  <c r="U312" i="1"/>
  <c r="X311" i="1"/>
  <c r="H311" i="1"/>
  <c r="V311" i="1"/>
  <c r="W311" i="1"/>
  <c r="U311" i="1"/>
  <c r="X310" i="1"/>
  <c r="H310" i="1"/>
  <c r="V310" i="1"/>
  <c r="W310" i="1"/>
  <c r="U310" i="1"/>
  <c r="X309" i="1"/>
  <c r="H309" i="1"/>
  <c r="V309" i="1"/>
  <c r="W309" i="1"/>
  <c r="U309" i="1"/>
  <c r="X308" i="1"/>
  <c r="H308" i="1"/>
  <c r="V308" i="1"/>
  <c r="W308" i="1"/>
  <c r="U308" i="1"/>
  <c r="X307" i="1"/>
  <c r="H307" i="1"/>
  <c r="V307" i="1"/>
  <c r="W307" i="1"/>
  <c r="U307" i="1"/>
  <c r="X306" i="1"/>
  <c r="H306" i="1"/>
  <c r="V306" i="1"/>
  <c r="W306" i="1"/>
  <c r="U306" i="1"/>
  <c r="X305" i="1"/>
  <c r="H305" i="1"/>
  <c r="V305" i="1"/>
  <c r="W305" i="1"/>
  <c r="U305" i="1"/>
  <c r="X304" i="1"/>
  <c r="H304" i="1"/>
  <c r="V304" i="1"/>
  <c r="W304" i="1"/>
  <c r="U304" i="1"/>
  <c r="X303" i="1"/>
  <c r="H303" i="1"/>
  <c r="V303" i="1"/>
  <c r="W303" i="1"/>
  <c r="U303" i="1"/>
  <c r="X302" i="1"/>
  <c r="H302" i="1"/>
  <c r="V302" i="1"/>
  <c r="W302" i="1"/>
  <c r="U302" i="1"/>
  <c r="X301" i="1"/>
  <c r="H301" i="1"/>
  <c r="V301" i="1"/>
  <c r="W301" i="1"/>
  <c r="U301" i="1"/>
  <c r="X300" i="1"/>
  <c r="H300" i="1"/>
  <c r="V300" i="1"/>
  <c r="W300" i="1"/>
  <c r="U300" i="1"/>
  <c r="X299" i="1"/>
  <c r="H299" i="1"/>
  <c r="V299" i="1"/>
  <c r="W299" i="1"/>
  <c r="U299" i="1"/>
  <c r="X298" i="1"/>
  <c r="H298" i="1"/>
  <c r="V298" i="1"/>
  <c r="W298" i="1"/>
  <c r="U298" i="1"/>
  <c r="X297" i="1"/>
  <c r="H297" i="1"/>
  <c r="V297" i="1"/>
  <c r="W297" i="1"/>
  <c r="U297" i="1"/>
  <c r="X296" i="1"/>
  <c r="H296" i="1"/>
  <c r="V296" i="1"/>
  <c r="W296" i="1"/>
  <c r="U296" i="1"/>
  <c r="X295" i="1"/>
  <c r="H295" i="1"/>
  <c r="V295" i="1"/>
  <c r="W295" i="1"/>
  <c r="U295" i="1"/>
  <c r="X294" i="1"/>
  <c r="H294" i="1"/>
  <c r="V294" i="1"/>
  <c r="W294" i="1"/>
  <c r="U294" i="1"/>
  <c r="X293" i="1"/>
  <c r="H293" i="1"/>
  <c r="V293" i="1"/>
  <c r="W293" i="1"/>
  <c r="U293" i="1"/>
  <c r="X292" i="1"/>
  <c r="H292" i="1"/>
  <c r="V292" i="1"/>
  <c r="W292" i="1"/>
  <c r="U292" i="1"/>
  <c r="X291" i="1"/>
  <c r="H291" i="1"/>
  <c r="V291" i="1"/>
  <c r="W291" i="1"/>
  <c r="U291" i="1"/>
  <c r="X290" i="1"/>
  <c r="H290" i="1"/>
  <c r="V290" i="1"/>
  <c r="W290" i="1"/>
  <c r="U290" i="1"/>
  <c r="X289" i="1"/>
  <c r="H289" i="1"/>
  <c r="V289" i="1"/>
  <c r="W289" i="1"/>
  <c r="U289" i="1"/>
  <c r="X288" i="1"/>
  <c r="H288" i="1"/>
  <c r="V288" i="1"/>
  <c r="W288" i="1"/>
  <c r="U288" i="1"/>
  <c r="X287" i="1"/>
  <c r="H287" i="1"/>
  <c r="V287" i="1"/>
  <c r="W287" i="1"/>
  <c r="U287" i="1"/>
  <c r="X286" i="1"/>
  <c r="H286" i="1"/>
  <c r="V286" i="1"/>
  <c r="W286" i="1"/>
  <c r="U286" i="1"/>
  <c r="X285" i="1"/>
  <c r="H285" i="1"/>
  <c r="V285" i="1"/>
  <c r="W285" i="1"/>
  <c r="U285" i="1"/>
  <c r="X284" i="1"/>
  <c r="H284" i="1"/>
  <c r="V284" i="1"/>
  <c r="W284" i="1"/>
  <c r="U284" i="1"/>
  <c r="X283" i="1"/>
  <c r="H283" i="1"/>
  <c r="V283" i="1"/>
  <c r="W283" i="1"/>
  <c r="U283" i="1"/>
  <c r="X282" i="1"/>
  <c r="H282" i="1"/>
  <c r="V282" i="1"/>
  <c r="W282" i="1"/>
  <c r="U282" i="1"/>
  <c r="X281" i="1"/>
  <c r="H281" i="1"/>
  <c r="V281" i="1"/>
  <c r="W281" i="1"/>
  <c r="U281" i="1"/>
  <c r="X280" i="1"/>
  <c r="H280" i="1"/>
  <c r="V280" i="1"/>
  <c r="W280" i="1"/>
  <c r="U280" i="1"/>
  <c r="X279" i="1"/>
  <c r="H279" i="1"/>
  <c r="V279" i="1"/>
  <c r="W279" i="1"/>
  <c r="U279" i="1"/>
  <c r="X278" i="1"/>
  <c r="H278" i="1"/>
  <c r="V278" i="1"/>
  <c r="W278" i="1"/>
  <c r="U278" i="1"/>
  <c r="X277" i="1"/>
  <c r="H277" i="1"/>
  <c r="V277" i="1"/>
  <c r="W277" i="1"/>
  <c r="U277" i="1"/>
  <c r="X276" i="1"/>
  <c r="H276" i="1"/>
  <c r="V276" i="1"/>
  <c r="W276" i="1"/>
  <c r="U276" i="1"/>
  <c r="X275" i="1"/>
  <c r="H275" i="1"/>
  <c r="V275" i="1"/>
  <c r="W275" i="1"/>
  <c r="U275" i="1"/>
  <c r="X274" i="1"/>
  <c r="H274" i="1"/>
  <c r="V274" i="1"/>
  <c r="W274" i="1"/>
  <c r="U274" i="1"/>
  <c r="X273" i="1"/>
  <c r="H273" i="1"/>
  <c r="V273" i="1"/>
  <c r="W273" i="1"/>
  <c r="U273" i="1"/>
  <c r="X272" i="1"/>
  <c r="H272" i="1"/>
  <c r="V272" i="1"/>
  <c r="W272" i="1"/>
  <c r="U272" i="1"/>
  <c r="X271" i="1"/>
  <c r="H271" i="1"/>
  <c r="V271" i="1"/>
  <c r="W271" i="1"/>
  <c r="U271" i="1"/>
  <c r="X270" i="1"/>
  <c r="H270" i="1"/>
  <c r="V270" i="1"/>
  <c r="W270" i="1"/>
  <c r="U270" i="1"/>
  <c r="X269" i="1"/>
  <c r="H269" i="1"/>
  <c r="V269" i="1"/>
  <c r="W269" i="1"/>
  <c r="U269" i="1"/>
  <c r="X268" i="1"/>
  <c r="H268" i="1"/>
  <c r="V268" i="1"/>
  <c r="W268" i="1"/>
  <c r="U268" i="1"/>
  <c r="X267" i="1"/>
  <c r="H267" i="1"/>
  <c r="V267" i="1"/>
  <c r="W267" i="1"/>
  <c r="U267" i="1"/>
  <c r="X266" i="1"/>
  <c r="H266" i="1"/>
  <c r="V266" i="1"/>
  <c r="W266" i="1"/>
  <c r="U266" i="1"/>
  <c r="X265" i="1"/>
  <c r="H265" i="1"/>
  <c r="V265" i="1"/>
  <c r="W265" i="1"/>
  <c r="U265" i="1"/>
  <c r="X264" i="1"/>
  <c r="H264" i="1"/>
  <c r="V264" i="1"/>
  <c r="W264" i="1"/>
  <c r="U264" i="1"/>
  <c r="X263" i="1"/>
  <c r="H263" i="1"/>
  <c r="V263" i="1"/>
  <c r="W263" i="1"/>
  <c r="U263" i="1"/>
  <c r="X262" i="1"/>
  <c r="H262" i="1"/>
  <c r="V262" i="1"/>
  <c r="W262" i="1"/>
  <c r="U262" i="1"/>
  <c r="X261" i="1"/>
  <c r="H261" i="1"/>
  <c r="V261" i="1"/>
  <c r="W261" i="1"/>
  <c r="U261" i="1"/>
  <c r="X260" i="1"/>
  <c r="H260" i="1"/>
  <c r="V260" i="1"/>
  <c r="W260" i="1"/>
  <c r="U260" i="1"/>
  <c r="X259" i="1"/>
  <c r="H259" i="1"/>
  <c r="V259" i="1"/>
  <c r="W259" i="1"/>
  <c r="U259" i="1"/>
  <c r="X258" i="1"/>
  <c r="H258" i="1"/>
  <c r="V258" i="1"/>
  <c r="W258" i="1"/>
  <c r="U258" i="1"/>
  <c r="X257" i="1"/>
  <c r="H257" i="1"/>
  <c r="V257" i="1"/>
  <c r="W257" i="1"/>
  <c r="U257" i="1"/>
  <c r="X256" i="1"/>
  <c r="H256" i="1"/>
  <c r="V256" i="1"/>
  <c r="W256" i="1"/>
  <c r="U256" i="1"/>
  <c r="X255" i="1"/>
  <c r="H255" i="1"/>
  <c r="V255" i="1"/>
  <c r="W255" i="1"/>
  <c r="U255" i="1"/>
  <c r="X254" i="1"/>
  <c r="H254" i="1"/>
  <c r="V254" i="1"/>
  <c r="W254" i="1"/>
  <c r="U254" i="1"/>
  <c r="X253" i="1"/>
  <c r="H253" i="1"/>
  <c r="V253" i="1"/>
  <c r="W253" i="1"/>
  <c r="U253" i="1"/>
  <c r="X252" i="1"/>
  <c r="H252" i="1"/>
  <c r="V252" i="1"/>
  <c r="W252" i="1"/>
  <c r="U252" i="1"/>
  <c r="X251" i="1"/>
  <c r="H251" i="1"/>
  <c r="V251" i="1"/>
  <c r="W251" i="1"/>
  <c r="U251" i="1"/>
  <c r="X250" i="1"/>
  <c r="H250" i="1"/>
  <c r="V250" i="1"/>
  <c r="W250" i="1"/>
  <c r="U250" i="1"/>
  <c r="X249" i="1"/>
  <c r="H249" i="1"/>
  <c r="V249" i="1"/>
  <c r="W249" i="1"/>
  <c r="U249" i="1"/>
  <c r="X248" i="1"/>
  <c r="H248" i="1"/>
  <c r="V248" i="1"/>
  <c r="W248" i="1"/>
  <c r="U248" i="1"/>
  <c r="X247" i="1"/>
  <c r="H247" i="1"/>
  <c r="V247" i="1"/>
  <c r="W247" i="1"/>
  <c r="U247" i="1"/>
  <c r="X246" i="1"/>
  <c r="H246" i="1"/>
  <c r="V246" i="1"/>
  <c r="W246" i="1"/>
  <c r="U246" i="1"/>
  <c r="X245" i="1"/>
  <c r="H245" i="1"/>
  <c r="V245" i="1"/>
  <c r="W245" i="1"/>
  <c r="U245" i="1"/>
  <c r="X244" i="1"/>
  <c r="H244" i="1"/>
  <c r="V244" i="1"/>
  <c r="W244" i="1"/>
  <c r="U244" i="1"/>
  <c r="X243" i="1"/>
  <c r="H243" i="1"/>
  <c r="V243" i="1"/>
  <c r="W243" i="1"/>
  <c r="U243" i="1"/>
  <c r="X242" i="1"/>
  <c r="H242" i="1"/>
  <c r="V242" i="1"/>
  <c r="W242" i="1"/>
  <c r="U242" i="1"/>
  <c r="X241" i="1"/>
  <c r="H241" i="1"/>
  <c r="V241" i="1"/>
  <c r="W241" i="1"/>
  <c r="U241" i="1"/>
  <c r="X240" i="1"/>
  <c r="H240" i="1"/>
  <c r="V240" i="1"/>
  <c r="W240" i="1"/>
  <c r="U240" i="1"/>
  <c r="X239" i="1"/>
  <c r="H239" i="1"/>
  <c r="V239" i="1"/>
  <c r="W239" i="1"/>
  <c r="U239" i="1"/>
  <c r="X238" i="1"/>
  <c r="H238" i="1"/>
  <c r="V238" i="1"/>
  <c r="W238" i="1"/>
  <c r="U238" i="1"/>
  <c r="X237" i="1"/>
  <c r="H237" i="1"/>
  <c r="V237" i="1"/>
  <c r="W237" i="1"/>
  <c r="U237" i="1"/>
  <c r="X236" i="1"/>
  <c r="H236" i="1"/>
  <c r="V236" i="1"/>
  <c r="W236" i="1"/>
  <c r="U236" i="1"/>
  <c r="X235" i="1"/>
  <c r="H235" i="1"/>
  <c r="V235" i="1"/>
  <c r="W235" i="1"/>
  <c r="U235" i="1"/>
  <c r="X234" i="1"/>
  <c r="H234" i="1"/>
  <c r="V234" i="1"/>
  <c r="W234" i="1"/>
  <c r="U234" i="1"/>
  <c r="X233" i="1"/>
  <c r="H233" i="1"/>
  <c r="V233" i="1"/>
  <c r="W233" i="1"/>
  <c r="U233" i="1"/>
  <c r="X232" i="1"/>
  <c r="H232" i="1"/>
  <c r="V232" i="1"/>
  <c r="W232" i="1"/>
  <c r="U232" i="1"/>
  <c r="X231" i="1"/>
  <c r="H231" i="1"/>
  <c r="V231" i="1"/>
  <c r="W231" i="1"/>
  <c r="U231" i="1"/>
  <c r="X230" i="1"/>
  <c r="H230" i="1"/>
  <c r="V230" i="1"/>
  <c r="W230" i="1"/>
  <c r="U230" i="1"/>
  <c r="X229" i="1"/>
  <c r="H229" i="1"/>
  <c r="V229" i="1"/>
  <c r="W229" i="1"/>
  <c r="U229" i="1"/>
  <c r="X228" i="1"/>
  <c r="H228" i="1"/>
  <c r="V228" i="1"/>
  <c r="W228" i="1"/>
  <c r="U228" i="1"/>
  <c r="X227" i="1"/>
  <c r="H227" i="1"/>
  <c r="V227" i="1"/>
  <c r="W227" i="1"/>
  <c r="U227" i="1"/>
  <c r="X226" i="1"/>
  <c r="H226" i="1"/>
  <c r="V226" i="1"/>
  <c r="W226" i="1"/>
  <c r="U226" i="1"/>
  <c r="X225" i="1"/>
  <c r="H225" i="1"/>
  <c r="V225" i="1"/>
  <c r="W225" i="1"/>
  <c r="U225" i="1"/>
  <c r="X224" i="1"/>
  <c r="H224" i="1"/>
  <c r="V224" i="1"/>
  <c r="W224" i="1"/>
  <c r="U224" i="1"/>
  <c r="X223" i="1"/>
  <c r="H223" i="1"/>
  <c r="V223" i="1"/>
  <c r="W223" i="1"/>
  <c r="U223" i="1"/>
  <c r="X222" i="1"/>
  <c r="H222" i="1"/>
  <c r="V222" i="1"/>
  <c r="W222" i="1"/>
  <c r="U222" i="1"/>
  <c r="X221" i="1"/>
  <c r="H221" i="1"/>
  <c r="V221" i="1"/>
  <c r="W221" i="1"/>
  <c r="U221" i="1"/>
  <c r="X220" i="1"/>
  <c r="H220" i="1"/>
  <c r="V220" i="1"/>
  <c r="W220" i="1"/>
  <c r="U220" i="1"/>
  <c r="X219" i="1"/>
  <c r="H219" i="1"/>
  <c r="V219" i="1"/>
  <c r="W219" i="1"/>
  <c r="U219" i="1"/>
  <c r="X218" i="1"/>
  <c r="H218" i="1"/>
  <c r="V218" i="1"/>
  <c r="W218" i="1"/>
  <c r="U218" i="1"/>
  <c r="X217" i="1"/>
  <c r="H217" i="1"/>
  <c r="V217" i="1"/>
  <c r="W217" i="1"/>
  <c r="U217" i="1"/>
  <c r="X216" i="1"/>
  <c r="H216" i="1"/>
  <c r="V216" i="1"/>
  <c r="W216" i="1"/>
  <c r="U216" i="1"/>
  <c r="X215" i="1"/>
  <c r="H215" i="1"/>
  <c r="V215" i="1"/>
  <c r="W215" i="1"/>
  <c r="U215" i="1"/>
  <c r="X214" i="1"/>
  <c r="H214" i="1"/>
  <c r="V214" i="1"/>
  <c r="W214" i="1"/>
  <c r="U214" i="1"/>
  <c r="X213" i="1"/>
  <c r="H213" i="1"/>
  <c r="V213" i="1"/>
  <c r="W213" i="1"/>
  <c r="U213" i="1"/>
  <c r="X212" i="1"/>
  <c r="H212" i="1"/>
  <c r="V212" i="1"/>
  <c r="W212" i="1"/>
  <c r="U212" i="1"/>
  <c r="X211" i="1"/>
  <c r="H211" i="1"/>
  <c r="V211" i="1"/>
  <c r="W211" i="1"/>
  <c r="U211" i="1"/>
  <c r="X210" i="1"/>
  <c r="H210" i="1"/>
  <c r="V210" i="1"/>
  <c r="W210" i="1"/>
  <c r="U210" i="1"/>
  <c r="X209" i="1"/>
  <c r="H209" i="1"/>
  <c r="V209" i="1"/>
  <c r="W209" i="1"/>
  <c r="U209" i="1"/>
  <c r="X208" i="1"/>
  <c r="H208" i="1"/>
  <c r="V208" i="1"/>
  <c r="W208" i="1"/>
  <c r="U208" i="1"/>
  <c r="X207" i="1"/>
  <c r="H207" i="1"/>
  <c r="V207" i="1"/>
  <c r="W207" i="1"/>
  <c r="U207" i="1"/>
  <c r="X206" i="1"/>
  <c r="H206" i="1"/>
  <c r="V206" i="1"/>
  <c r="W206" i="1"/>
  <c r="U206" i="1"/>
  <c r="X205" i="1"/>
  <c r="H205" i="1"/>
  <c r="V205" i="1"/>
  <c r="W205" i="1"/>
  <c r="U205" i="1"/>
  <c r="X204" i="1"/>
  <c r="H204" i="1"/>
  <c r="V204" i="1"/>
  <c r="W204" i="1"/>
  <c r="U204" i="1"/>
  <c r="X203" i="1"/>
  <c r="H203" i="1"/>
  <c r="V203" i="1"/>
  <c r="W203" i="1"/>
  <c r="U203" i="1"/>
  <c r="X202" i="1"/>
  <c r="H202" i="1"/>
  <c r="V202" i="1"/>
  <c r="W202" i="1"/>
  <c r="U202" i="1"/>
  <c r="X201" i="1"/>
  <c r="H201" i="1"/>
  <c r="V201" i="1"/>
  <c r="W201" i="1"/>
  <c r="U201" i="1"/>
  <c r="X200" i="1"/>
  <c r="H200" i="1"/>
  <c r="V200" i="1"/>
  <c r="W200" i="1"/>
  <c r="U200" i="1"/>
  <c r="X199" i="1"/>
  <c r="H199" i="1"/>
  <c r="V199" i="1"/>
  <c r="W199" i="1"/>
  <c r="U199" i="1"/>
  <c r="X198" i="1"/>
  <c r="H198" i="1"/>
  <c r="V198" i="1"/>
  <c r="W198" i="1"/>
  <c r="U198" i="1"/>
  <c r="X197" i="1"/>
  <c r="H197" i="1"/>
  <c r="V197" i="1"/>
  <c r="W197" i="1"/>
  <c r="U197" i="1"/>
  <c r="X196" i="1"/>
  <c r="H196" i="1"/>
  <c r="V196" i="1"/>
  <c r="W196" i="1"/>
  <c r="U196" i="1"/>
  <c r="X195" i="1"/>
  <c r="H195" i="1"/>
  <c r="V195" i="1"/>
  <c r="W195" i="1"/>
  <c r="U195" i="1"/>
  <c r="X194" i="1"/>
  <c r="H194" i="1"/>
  <c r="V194" i="1"/>
  <c r="W194" i="1"/>
  <c r="U194" i="1"/>
  <c r="X193" i="1"/>
  <c r="H193" i="1"/>
  <c r="V193" i="1"/>
  <c r="W193" i="1"/>
  <c r="U193" i="1"/>
  <c r="X192" i="1"/>
  <c r="H192" i="1"/>
  <c r="V192" i="1"/>
  <c r="W192" i="1"/>
  <c r="U192" i="1"/>
  <c r="X191" i="1"/>
  <c r="H191" i="1"/>
  <c r="V191" i="1"/>
  <c r="W191" i="1"/>
  <c r="U191" i="1"/>
  <c r="X190" i="1"/>
  <c r="H190" i="1"/>
  <c r="V190" i="1"/>
  <c r="W190" i="1"/>
  <c r="U190" i="1"/>
  <c r="X189" i="1"/>
  <c r="H189" i="1"/>
  <c r="V189" i="1"/>
  <c r="W189" i="1"/>
  <c r="U189" i="1"/>
  <c r="X188" i="1"/>
  <c r="H188" i="1"/>
  <c r="V188" i="1"/>
  <c r="W188" i="1"/>
  <c r="U188" i="1"/>
  <c r="X187" i="1"/>
  <c r="H187" i="1"/>
  <c r="V187" i="1"/>
  <c r="W187" i="1"/>
  <c r="U187" i="1"/>
  <c r="X186" i="1"/>
  <c r="H186" i="1"/>
  <c r="V186" i="1"/>
  <c r="W186" i="1"/>
  <c r="U186" i="1"/>
  <c r="X185" i="1"/>
  <c r="H185" i="1"/>
  <c r="V185" i="1"/>
  <c r="W185" i="1"/>
  <c r="U185" i="1"/>
  <c r="X184" i="1"/>
  <c r="H184" i="1"/>
  <c r="V184" i="1"/>
  <c r="W184" i="1"/>
  <c r="U184" i="1"/>
  <c r="X183" i="1"/>
  <c r="H183" i="1"/>
  <c r="V183" i="1"/>
  <c r="W183" i="1"/>
  <c r="U183" i="1"/>
  <c r="X182" i="1"/>
  <c r="H182" i="1"/>
  <c r="V182" i="1"/>
  <c r="W182" i="1"/>
  <c r="U182" i="1"/>
  <c r="X181" i="1"/>
  <c r="H181" i="1"/>
  <c r="V181" i="1"/>
  <c r="W181" i="1"/>
  <c r="U181" i="1"/>
  <c r="X180" i="1"/>
  <c r="H180" i="1"/>
  <c r="V180" i="1"/>
  <c r="W180" i="1"/>
  <c r="U180" i="1"/>
  <c r="X179" i="1"/>
  <c r="H179" i="1"/>
  <c r="V179" i="1"/>
  <c r="W179" i="1"/>
  <c r="U179" i="1"/>
  <c r="X178" i="1"/>
  <c r="H178" i="1"/>
  <c r="V178" i="1"/>
  <c r="W178" i="1"/>
  <c r="U178" i="1"/>
  <c r="X177" i="1"/>
  <c r="H177" i="1"/>
  <c r="V177" i="1"/>
  <c r="W177" i="1"/>
  <c r="U177" i="1"/>
  <c r="X176" i="1"/>
  <c r="H176" i="1"/>
  <c r="V176" i="1"/>
  <c r="W176" i="1"/>
  <c r="U176" i="1"/>
  <c r="X175" i="1"/>
  <c r="H175" i="1"/>
  <c r="V175" i="1"/>
  <c r="W175" i="1"/>
  <c r="U175" i="1"/>
  <c r="X174" i="1"/>
  <c r="H174" i="1"/>
  <c r="V174" i="1"/>
  <c r="W174" i="1"/>
  <c r="U174" i="1"/>
  <c r="X173" i="1"/>
  <c r="H173" i="1"/>
  <c r="V173" i="1"/>
  <c r="W173" i="1"/>
  <c r="U173" i="1"/>
  <c r="X172" i="1"/>
  <c r="H172" i="1"/>
  <c r="V172" i="1"/>
  <c r="W172" i="1"/>
  <c r="U172" i="1"/>
  <c r="X171" i="1"/>
  <c r="H171" i="1"/>
  <c r="V171" i="1"/>
  <c r="W171" i="1"/>
  <c r="U171" i="1"/>
  <c r="X170" i="1"/>
  <c r="H170" i="1"/>
  <c r="V170" i="1"/>
  <c r="W170" i="1"/>
  <c r="U170" i="1"/>
  <c r="X169" i="1"/>
  <c r="H169" i="1"/>
  <c r="V169" i="1"/>
  <c r="W169" i="1"/>
  <c r="U169" i="1"/>
  <c r="X168" i="1"/>
  <c r="H168" i="1"/>
  <c r="V168" i="1"/>
  <c r="W168" i="1"/>
  <c r="U168" i="1"/>
  <c r="X167" i="1"/>
  <c r="H167" i="1"/>
  <c r="V167" i="1"/>
  <c r="W167" i="1"/>
  <c r="U167" i="1"/>
  <c r="X166" i="1"/>
  <c r="H166" i="1"/>
  <c r="V166" i="1"/>
  <c r="W166" i="1"/>
  <c r="U166" i="1"/>
  <c r="X165" i="1"/>
  <c r="H165" i="1"/>
  <c r="V165" i="1"/>
  <c r="W165" i="1"/>
  <c r="U165" i="1"/>
  <c r="X164" i="1"/>
  <c r="H164" i="1"/>
  <c r="V164" i="1"/>
  <c r="W164" i="1"/>
  <c r="U164" i="1"/>
  <c r="X163" i="1"/>
  <c r="H163" i="1"/>
  <c r="V163" i="1"/>
  <c r="W163" i="1"/>
  <c r="U163" i="1"/>
  <c r="X162" i="1"/>
  <c r="H162" i="1"/>
  <c r="V162" i="1"/>
  <c r="W162" i="1"/>
  <c r="U162" i="1"/>
  <c r="X161" i="1"/>
  <c r="H161" i="1"/>
  <c r="V161" i="1"/>
  <c r="W161" i="1"/>
  <c r="U161" i="1"/>
  <c r="X160" i="1"/>
  <c r="H160" i="1"/>
  <c r="V160" i="1"/>
  <c r="W160" i="1"/>
  <c r="U160" i="1"/>
  <c r="X159" i="1"/>
  <c r="H159" i="1"/>
  <c r="V159" i="1"/>
  <c r="W159" i="1"/>
  <c r="U159" i="1"/>
  <c r="X158" i="1"/>
  <c r="H158" i="1"/>
  <c r="V158" i="1"/>
  <c r="W158" i="1"/>
  <c r="U158" i="1"/>
  <c r="X157" i="1"/>
  <c r="H157" i="1"/>
  <c r="V157" i="1"/>
  <c r="W157" i="1"/>
  <c r="U157" i="1"/>
  <c r="X156" i="1"/>
  <c r="H156" i="1"/>
  <c r="V156" i="1"/>
  <c r="W156" i="1"/>
  <c r="U156" i="1"/>
  <c r="X155" i="1"/>
  <c r="H155" i="1"/>
  <c r="V155" i="1"/>
  <c r="W155" i="1"/>
  <c r="U155" i="1"/>
  <c r="X154" i="1"/>
  <c r="H154" i="1"/>
  <c r="V154" i="1"/>
  <c r="W154" i="1"/>
  <c r="U154" i="1"/>
  <c r="X153" i="1"/>
  <c r="H153" i="1"/>
  <c r="V153" i="1"/>
  <c r="W153" i="1"/>
  <c r="U153" i="1"/>
  <c r="X152" i="1"/>
  <c r="H152" i="1"/>
  <c r="V152" i="1"/>
  <c r="W152" i="1"/>
  <c r="U152" i="1"/>
  <c r="X151" i="1"/>
  <c r="H151" i="1"/>
  <c r="V151" i="1"/>
  <c r="W151" i="1"/>
  <c r="U151" i="1"/>
  <c r="X150" i="1"/>
  <c r="H150" i="1"/>
  <c r="V150" i="1"/>
  <c r="W150" i="1"/>
  <c r="U150" i="1"/>
  <c r="X149" i="1"/>
  <c r="H149" i="1"/>
  <c r="V149" i="1"/>
  <c r="W149" i="1"/>
  <c r="U149" i="1"/>
  <c r="X148" i="1"/>
  <c r="H148" i="1"/>
  <c r="V148" i="1"/>
  <c r="W148" i="1"/>
  <c r="U148" i="1"/>
  <c r="X147" i="1"/>
  <c r="H147" i="1"/>
  <c r="V147" i="1"/>
  <c r="W147" i="1"/>
  <c r="U147" i="1"/>
  <c r="X146" i="1"/>
  <c r="H146" i="1"/>
  <c r="V146" i="1"/>
  <c r="W146" i="1"/>
  <c r="U146" i="1"/>
  <c r="X145" i="1"/>
  <c r="H145" i="1"/>
  <c r="V145" i="1"/>
  <c r="W145" i="1"/>
  <c r="U145" i="1"/>
  <c r="X144" i="1"/>
  <c r="H144" i="1"/>
  <c r="V144" i="1"/>
  <c r="W144" i="1"/>
  <c r="U144" i="1"/>
  <c r="X143" i="1"/>
  <c r="H143" i="1"/>
  <c r="V143" i="1"/>
  <c r="W143" i="1"/>
  <c r="U143" i="1"/>
  <c r="X142" i="1"/>
  <c r="H142" i="1"/>
  <c r="V142" i="1"/>
  <c r="W142" i="1"/>
  <c r="U142" i="1"/>
  <c r="X141" i="1"/>
  <c r="H141" i="1"/>
  <c r="V141" i="1"/>
  <c r="W141" i="1"/>
  <c r="U141" i="1"/>
  <c r="X140" i="1"/>
  <c r="H140" i="1"/>
  <c r="V140" i="1"/>
  <c r="W140" i="1"/>
  <c r="U140" i="1"/>
  <c r="X139" i="1"/>
  <c r="H139" i="1"/>
  <c r="V139" i="1"/>
  <c r="W139" i="1"/>
  <c r="U139" i="1"/>
  <c r="X138" i="1"/>
  <c r="H138" i="1"/>
  <c r="V138" i="1"/>
  <c r="W138" i="1"/>
  <c r="U138" i="1"/>
  <c r="X137" i="1"/>
  <c r="H137" i="1"/>
  <c r="V137" i="1"/>
  <c r="W137" i="1"/>
  <c r="U137" i="1"/>
  <c r="X136" i="1"/>
  <c r="H136" i="1"/>
  <c r="V136" i="1"/>
  <c r="W136" i="1"/>
  <c r="U136" i="1"/>
  <c r="X135" i="1"/>
  <c r="H135" i="1"/>
  <c r="V135" i="1"/>
  <c r="W135" i="1"/>
  <c r="U135" i="1"/>
  <c r="X134" i="1"/>
  <c r="H134" i="1"/>
  <c r="V134" i="1"/>
  <c r="W134" i="1"/>
  <c r="U134" i="1"/>
  <c r="X133" i="1"/>
  <c r="H133" i="1"/>
  <c r="V133" i="1"/>
  <c r="W133" i="1"/>
  <c r="U133" i="1"/>
  <c r="X132" i="1"/>
  <c r="H132" i="1"/>
  <c r="V132" i="1"/>
  <c r="W132" i="1"/>
  <c r="U132" i="1"/>
  <c r="X131" i="1"/>
  <c r="H131" i="1"/>
  <c r="V131" i="1"/>
  <c r="W131" i="1"/>
  <c r="U131" i="1"/>
  <c r="X130" i="1"/>
  <c r="H130" i="1"/>
  <c r="V130" i="1"/>
  <c r="W130" i="1"/>
  <c r="U130" i="1"/>
  <c r="X129" i="1"/>
  <c r="H129" i="1"/>
  <c r="V129" i="1"/>
  <c r="W129" i="1"/>
  <c r="U129" i="1"/>
  <c r="X128" i="1"/>
  <c r="H128" i="1"/>
  <c r="V128" i="1"/>
  <c r="W128" i="1"/>
  <c r="U128" i="1"/>
  <c r="X127" i="1"/>
  <c r="H127" i="1"/>
  <c r="V127" i="1"/>
  <c r="W127" i="1"/>
  <c r="U127" i="1"/>
  <c r="X126" i="1"/>
  <c r="H126" i="1"/>
  <c r="V126" i="1"/>
  <c r="W126" i="1"/>
  <c r="U126" i="1"/>
  <c r="X125" i="1"/>
  <c r="H125" i="1"/>
  <c r="V125" i="1"/>
  <c r="W125" i="1"/>
  <c r="U125" i="1"/>
  <c r="X124" i="1"/>
  <c r="H124" i="1"/>
  <c r="V124" i="1"/>
  <c r="W124" i="1"/>
  <c r="U124" i="1"/>
  <c r="X123" i="1"/>
  <c r="H123" i="1"/>
  <c r="V123" i="1"/>
  <c r="W123" i="1"/>
  <c r="U123" i="1"/>
  <c r="X122" i="1"/>
  <c r="H122" i="1"/>
  <c r="V122" i="1"/>
  <c r="W122" i="1"/>
  <c r="U122" i="1"/>
  <c r="X121" i="1"/>
  <c r="H121" i="1"/>
  <c r="V121" i="1"/>
  <c r="W121" i="1"/>
  <c r="U121" i="1"/>
  <c r="X120" i="1"/>
  <c r="H120" i="1"/>
  <c r="V120" i="1"/>
  <c r="W120" i="1"/>
  <c r="U120" i="1"/>
  <c r="X119" i="1"/>
  <c r="H119" i="1"/>
  <c r="V119" i="1"/>
  <c r="W119" i="1"/>
  <c r="U119" i="1"/>
  <c r="X118" i="1"/>
  <c r="H118" i="1"/>
  <c r="V118" i="1"/>
  <c r="W118" i="1"/>
  <c r="U118" i="1"/>
  <c r="X117" i="1"/>
  <c r="H117" i="1"/>
  <c r="V117" i="1"/>
  <c r="W117" i="1"/>
  <c r="U117" i="1"/>
  <c r="X116" i="1"/>
  <c r="H116" i="1"/>
  <c r="V116" i="1"/>
  <c r="W116" i="1"/>
  <c r="U116" i="1"/>
  <c r="X115" i="1"/>
  <c r="H115" i="1"/>
  <c r="V115" i="1"/>
  <c r="W115" i="1"/>
  <c r="U115" i="1"/>
  <c r="X114" i="1"/>
  <c r="H114" i="1"/>
  <c r="V114" i="1"/>
  <c r="W114" i="1"/>
  <c r="U114" i="1"/>
  <c r="X113" i="1"/>
  <c r="H113" i="1"/>
  <c r="V113" i="1"/>
  <c r="W113" i="1"/>
  <c r="U113" i="1"/>
  <c r="X112" i="1"/>
  <c r="H112" i="1"/>
  <c r="V112" i="1"/>
  <c r="W112" i="1"/>
  <c r="U112" i="1"/>
  <c r="X111" i="1"/>
  <c r="H111" i="1"/>
  <c r="V111" i="1"/>
  <c r="W111" i="1"/>
  <c r="U111" i="1"/>
  <c r="X110" i="1"/>
  <c r="H110" i="1"/>
  <c r="V110" i="1"/>
  <c r="W110" i="1"/>
  <c r="U110" i="1"/>
  <c r="X109" i="1"/>
  <c r="H109" i="1"/>
  <c r="V109" i="1"/>
  <c r="W109" i="1"/>
  <c r="U109" i="1"/>
  <c r="X108" i="1"/>
  <c r="H108" i="1"/>
  <c r="V108" i="1"/>
  <c r="W108" i="1"/>
  <c r="U108" i="1"/>
  <c r="X107" i="1"/>
  <c r="H107" i="1"/>
  <c r="V107" i="1"/>
  <c r="W107" i="1"/>
  <c r="U107" i="1"/>
  <c r="X106" i="1"/>
  <c r="H106" i="1"/>
  <c r="V106" i="1"/>
  <c r="W106" i="1"/>
  <c r="U106" i="1"/>
  <c r="X105" i="1"/>
  <c r="H105" i="1"/>
  <c r="V105" i="1"/>
  <c r="W105" i="1"/>
  <c r="U105" i="1"/>
  <c r="X104" i="1"/>
  <c r="H104" i="1"/>
  <c r="V104" i="1"/>
  <c r="W104" i="1"/>
  <c r="U104" i="1"/>
  <c r="X103" i="1"/>
  <c r="H103" i="1"/>
  <c r="V103" i="1"/>
  <c r="W103" i="1"/>
  <c r="U103" i="1"/>
  <c r="X102" i="1"/>
  <c r="H102" i="1"/>
  <c r="V102" i="1"/>
  <c r="W102" i="1"/>
  <c r="U102" i="1"/>
  <c r="X101" i="1"/>
  <c r="H101" i="1"/>
  <c r="V101" i="1"/>
  <c r="W101" i="1"/>
  <c r="U101" i="1"/>
  <c r="X100" i="1"/>
  <c r="H100" i="1"/>
  <c r="V100" i="1"/>
  <c r="W100" i="1"/>
  <c r="U100" i="1"/>
  <c r="X99" i="1"/>
  <c r="H99" i="1"/>
  <c r="V99" i="1"/>
  <c r="W99" i="1"/>
  <c r="U99" i="1"/>
  <c r="X98" i="1"/>
  <c r="H98" i="1"/>
  <c r="V98" i="1"/>
  <c r="W98" i="1"/>
  <c r="U98" i="1"/>
  <c r="X97" i="1"/>
  <c r="H97" i="1"/>
  <c r="V97" i="1"/>
  <c r="W97" i="1"/>
  <c r="U97" i="1"/>
  <c r="X96" i="1"/>
  <c r="H96" i="1"/>
  <c r="V96" i="1"/>
  <c r="W96" i="1"/>
  <c r="U96" i="1"/>
  <c r="X95" i="1"/>
  <c r="H95" i="1"/>
  <c r="V95" i="1"/>
  <c r="W95" i="1"/>
  <c r="U95" i="1"/>
  <c r="X94" i="1"/>
  <c r="H94" i="1"/>
  <c r="V94" i="1"/>
  <c r="W94" i="1"/>
  <c r="U94" i="1"/>
  <c r="X93" i="1"/>
  <c r="H93" i="1"/>
  <c r="V93" i="1"/>
  <c r="W93" i="1"/>
  <c r="U93" i="1"/>
  <c r="X92" i="1"/>
  <c r="H92" i="1"/>
  <c r="V92" i="1"/>
  <c r="W92" i="1"/>
  <c r="U92" i="1"/>
  <c r="X91" i="1"/>
  <c r="H91" i="1"/>
  <c r="V91" i="1"/>
  <c r="W91" i="1"/>
  <c r="U91" i="1"/>
  <c r="X90" i="1"/>
  <c r="H90" i="1"/>
  <c r="V90" i="1"/>
  <c r="W90" i="1"/>
  <c r="U90" i="1"/>
  <c r="X89" i="1"/>
  <c r="H89" i="1"/>
  <c r="V89" i="1"/>
  <c r="W89" i="1"/>
  <c r="U89" i="1"/>
  <c r="X88" i="1"/>
  <c r="H88" i="1"/>
  <c r="V88" i="1"/>
  <c r="W88" i="1"/>
  <c r="U88" i="1"/>
  <c r="X87" i="1"/>
  <c r="H87" i="1"/>
  <c r="V87" i="1"/>
  <c r="W87" i="1"/>
  <c r="U87" i="1"/>
  <c r="X86" i="1"/>
  <c r="H86" i="1"/>
  <c r="V86" i="1"/>
  <c r="W86" i="1"/>
  <c r="U86" i="1"/>
  <c r="X85" i="1"/>
  <c r="H85" i="1"/>
  <c r="V85" i="1"/>
  <c r="W85" i="1"/>
  <c r="U85" i="1"/>
  <c r="X84" i="1"/>
  <c r="H84" i="1"/>
  <c r="V84" i="1"/>
  <c r="W84" i="1"/>
  <c r="U84" i="1"/>
  <c r="X83" i="1"/>
  <c r="H83" i="1"/>
  <c r="V83" i="1"/>
  <c r="W83" i="1"/>
  <c r="U83" i="1"/>
  <c r="X82" i="1"/>
  <c r="H82" i="1"/>
  <c r="V82" i="1"/>
  <c r="W82" i="1"/>
  <c r="U82" i="1"/>
  <c r="X81" i="1"/>
  <c r="H81" i="1"/>
  <c r="V81" i="1"/>
  <c r="W81" i="1"/>
  <c r="U81" i="1"/>
  <c r="X80" i="1"/>
  <c r="H80" i="1"/>
  <c r="V80" i="1"/>
  <c r="W80" i="1"/>
  <c r="U80" i="1"/>
  <c r="X79" i="1"/>
  <c r="H79" i="1"/>
  <c r="V79" i="1"/>
  <c r="W79" i="1"/>
  <c r="U79" i="1"/>
  <c r="X78" i="1"/>
  <c r="H78" i="1"/>
  <c r="V78" i="1"/>
  <c r="W78" i="1"/>
  <c r="U78" i="1"/>
  <c r="X77" i="1"/>
  <c r="H77" i="1"/>
  <c r="V77" i="1"/>
  <c r="W77" i="1"/>
  <c r="U77" i="1"/>
  <c r="X76" i="1"/>
  <c r="H76" i="1"/>
  <c r="V76" i="1"/>
  <c r="W76" i="1"/>
  <c r="U76" i="1"/>
  <c r="X75" i="1"/>
  <c r="H75" i="1"/>
  <c r="V75" i="1"/>
  <c r="W75" i="1"/>
  <c r="U75" i="1"/>
  <c r="X74" i="1"/>
  <c r="H74" i="1"/>
  <c r="V74" i="1"/>
  <c r="W74" i="1"/>
  <c r="U74" i="1"/>
  <c r="X73" i="1"/>
  <c r="H73" i="1"/>
  <c r="V73" i="1"/>
  <c r="W73" i="1"/>
  <c r="U73" i="1"/>
  <c r="X72" i="1"/>
  <c r="H72" i="1"/>
  <c r="V72" i="1"/>
  <c r="W72" i="1"/>
  <c r="U72" i="1"/>
  <c r="X71" i="1"/>
  <c r="H71" i="1"/>
  <c r="V71" i="1"/>
  <c r="W71" i="1"/>
  <c r="U71" i="1"/>
  <c r="X70" i="1"/>
  <c r="H70" i="1"/>
  <c r="V70" i="1"/>
  <c r="W70" i="1"/>
  <c r="U70" i="1"/>
  <c r="X69" i="1"/>
  <c r="H69" i="1"/>
  <c r="V69" i="1"/>
  <c r="W69" i="1"/>
  <c r="U69" i="1"/>
  <c r="X68" i="1"/>
  <c r="H68" i="1"/>
  <c r="V68" i="1"/>
  <c r="W68" i="1"/>
  <c r="U68" i="1"/>
  <c r="X67" i="1"/>
  <c r="H67" i="1"/>
  <c r="V67" i="1"/>
  <c r="W67" i="1"/>
  <c r="U67" i="1"/>
  <c r="X66" i="1"/>
  <c r="H66" i="1"/>
  <c r="V66" i="1"/>
  <c r="W66" i="1"/>
  <c r="U66" i="1"/>
  <c r="X65" i="1"/>
  <c r="H65" i="1"/>
  <c r="V65" i="1"/>
  <c r="W65" i="1"/>
  <c r="U65" i="1"/>
  <c r="X64" i="1"/>
  <c r="H64" i="1"/>
  <c r="V64" i="1"/>
  <c r="W64" i="1"/>
  <c r="U64" i="1"/>
  <c r="X63" i="1"/>
  <c r="H63" i="1"/>
  <c r="V63" i="1"/>
  <c r="W63" i="1"/>
  <c r="U63" i="1"/>
  <c r="X62" i="1"/>
  <c r="H62" i="1"/>
  <c r="V62" i="1"/>
  <c r="W62" i="1"/>
  <c r="U62" i="1"/>
  <c r="X61" i="1"/>
  <c r="H61" i="1"/>
  <c r="V61" i="1"/>
  <c r="W61" i="1"/>
  <c r="U61" i="1"/>
  <c r="X60" i="1"/>
  <c r="H60" i="1"/>
  <c r="V60" i="1"/>
  <c r="W60" i="1"/>
  <c r="U60" i="1"/>
  <c r="X59" i="1"/>
  <c r="H59" i="1"/>
  <c r="V59" i="1"/>
  <c r="W59" i="1"/>
  <c r="U59" i="1"/>
  <c r="X58" i="1"/>
  <c r="H58" i="1"/>
  <c r="V58" i="1"/>
  <c r="W58" i="1"/>
  <c r="U58" i="1"/>
  <c r="X57" i="1"/>
  <c r="H57" i="1"/>
  <c r="V57" i="1"/>
  <c r="W57" i="1"/>
  <c r="U57" i="1"/>
  <c r="X56" i="1"/>
  <c r="H56" i="1"/>
  <c r="V56" i="1"/>
  <c r="W56" i="1"/>
  <c r="U56" i="1"/>
  <c r="X55" i="1"/>
  <c r="H55" i="1"/>
  <c r="V55" i="1"/>
  <c r="W55" i="1"/>
  <c r="U55" i="1"/>
  <c r="X54" i="1"/>
  <c r="H54" i="1"/>
  <c r="V54" i="1"/>
  <c r="W54" i="1"/>
  <c r="U54" i="1"/>
  <c r="X53" i="1"/>
  <c r="H53" i="1"/>
  <c r="V53" i="1"/>
  <c r="W53" i="1"/>
  <c r="U53" i="1"/>
  <c r="X52" i="1"/>
  <c r="H52" i="1"/>
  <c r="V52" i="1"/>
  <c r="W52" i="1"/>
  <c r="U52" i="1"/>
  <c r="X51" i="1"/>
  <c r="H51" i="1"/>
  <c r="V51" i="1"/>
  <c r="W51" i="1"/>
  <c r="U51" i="1"/>
  <c r="X50" i="1"/>
  <c r="H50" i="1"/>
  <c r="V50" i="1"/>
  <c r="W50" i="1"/>
  <c r="U50" i="1"/>
  <c r="X49" i="1"/>
  <c r="H49" i="1"/>
  <c r="V49" i="1"/>
  <c r="W49" i="1"/>
  <c r="U49" i="1"/>
  <c r="X48" i="1"/>
  <c r="H48" i="1"/>
  <c r="V48" i="1"/>
  <c r="W48" i="1"/>
  <c r="U48" i="1"/>
  <c r="X47" i="1"/>
  <c r="H47" i="1"/>
  <c r="V47" i="1"/>
  <c r="W47" i="1"/>
  <c r="U47" i="1"/>
  <c r="X46" i="1"/>
  <c r="H46" i="1"/>
  <c r="V46" i="1"/>
  <c r="W46" i="1"/>
  <c r="U46" i="1"/>
  <c r="X45" i="1"/>
  <c r="H45" i="1"/>
  <c r="V45" i="1"/>
  <c r="W45" i="1"/>
  <c r="U45" i="1"/>
  <c r="X44" i="1"/>
  <c r="H44" i="1"/>
  <c r="V44" i="1"/>
  <c r="W44" i="1"/>
  <c r="U44" i="1"/>
  <c r="X43" i="1"/>
  <c r="H43" i="1"/>
  <c r="V43" i="1"/>
  <c r="W43" i="1"/>
  <c r="U43" i="1"/>
  <c r="X42" i="1"/>
  <c r="H42" i="1"/>
  <c r="V42" i="1"/>
  <c r="W42" i="1"/>
  <c r="U42" i="1"/>
  <c r="X41" i="1"/>
  <c r="H41" i="1"/>
  <c r="V41" i="1"/>
  <c r="W41" i="1"/>
  <c r="U41" i="1"/>
  <c r="U40" i="1"/>
  <c r="X40" i="1"/>
  <c r="H40" i="1"/>
  <c r="V40" i="1"/>
  <c r="W40" i="1"/>
  <c r="U39" i="1"/>
  <c r="X39" i="1"/>
  <c r="H39" i="1"/>
  <c r="V39" i="1"/>
  <c r="W39" i="1"/>
  <c r="U38" i="1"/>
  <c r="X38" i="1"/>
  <c r="H38" i="1"/>
  <c r="V38" i="1"/>
  <c r="W38" i="1"/>
  <c r="U37" i="1"/>
  <c r="X37" i="1"/>
  <c r="H37" i="1"/>
  <c r="V37" i="1"/>
  <c r="W37" i="1"/>
  <c r="U36" i="1"/>
  <c r="X36" i="1"/>
  <c r="H36" i="1"/>
  <c r="V36" i="1"/>
  <c r="W36" i="1"/>
  <c r="U35" i="1"/>
  <c r="X35" i="1"/>
  <c r="H35" i="1"/>
  <c r="V35" i="1"/>
  <c r="W35" i="1"/>
  <c r="U34" i="1"/>
  <c r="X34" i="1"/>
  <c r="H34" i="1"/>
  <c r="V34" i="1"/>
  <c r="W34" i="1"/>
  <c r="U33" i="1"/>
  <c r="X33" i="1"/>
  <c r="H33" i="1"/>
  <c r="V33" i="1"/>
  <c r="W33" i="1"/>
  <c r="U32" i="1"/>
  <c r="X32" i="1"/>
  <c r="H32" i="1"/>
  <c r="V32" i="1"/>
  <c r="W32" i="1"/>
  <c r="U31" i="1"/>
  <c r="X31" i="1"/>
  <c r="H31" i="1"/>
  <c r="V31" i="1"/>
  <c r="W31" i="1"/>
  <c r="H30" i="1"/>
  <c r="V30" i="1"/>
  <c r="W30" i="1"/>
  <c r="H29" i="1"/>
  <c r="V29" i="1"/>
  <c r="W29" i="1"/>
  <c r="H28" i="1"/>
  <c r="V28" i="1"/>
  <c r="W28" i="1"/>
  <c r="H27" i="1"/>
  <c r="V27" i="1"/>
  <c r="W27" i="1"/>
  <c r="U26" i="1"/>
  <c r="X26" i="1"/>
  <c r="H26" i="1"/>
  <c r="V26" i="1"/>
  <c r="W26" i="1"/>
  <c r="U25" i="1"/>
  <c r="X25" i="1"/>
  <c r="H25" i="1"/>
  <c r="V25" i="1"/>
  <c r="W25" i="1"/>
  <c r="U24" i="1"/>
  <c r="X24" i="1"/>
  <c r="H24" i="1"/>
  <c r="V24" i="1"/>
  <c r="W24" i="1"/>
  <c r="U23" i="1"/>
  <c r="X23" i="1"/>
  <c r="H23" i="1"/>
  <c r="V23" i="1"/>
  <c r="W23" i="1"/>
  <c r="U22" i="1"/>
  <c r="X22" i="1"/>
  <c r="H22" i="1"/>
  <c r="V22" i="1"/>
  <c r="W22" i="1"/>
  <c r="U21" i="1"/>
  <c r="X21" i="1"/>
  <c r="H21" i="1"/>
  <c r="V21" i="1"/>
  <c r="W21" i="1"/>
  <c r="U20" i="1"/>
  <c r="X20" i="1"/>
  <c r="H20" i="1"/>
  <c r="V20" i="1"/>
  <c r="W20" i="1"/>
  <c r="U19" i="1"/>
  <c r="X19" i="1"/>
  <c r="H19" i="1"/>
  <c r="V19" i="1"/>
  <c r="W19" i="1"/>
  <c r="U18" i="1"/>
  <c r="X18" i="1"/>
  <c r="H18" i="1"/>
  <c r="V18" i="1"/>
  <c r="W18" i="1"/>
  <c r="G15" i="1"/>
  <c r="H15" i="1"/>
  <c r="I15" i="1"/>
  <c r="F15" i="1"/>
  <c r="D15" i="1"/>
  <c r="E15" i="1"/>
  <c r="C15" i="1"/>
  <c r="G14" i="1"/>
  <c r="H14" i="1"/>
  <c r="I14" i="1"/>
  <c r="F14" i="1"/>
  <c r="D14" i="1"/>
  <c r="E14" i="1"/>
  <c r="C14" i="1"/>
  <c r="G13" i="1"/>
  <c r="H13" i="1"/>
  <c r="I13" i="1"/>
  <c r="F13" i="1"/>
  <c r="D13" i="1"/>
  <c r="E13" i="1"/>
  <c r="C13" i="1"/>
  <c r="G12" i="1"/>
  <c r="H12" i="1"/>
  <c r="I12" i="1"/>
  <c r="F12" i="1"/>
  <c r="D12" i="1"/>
  <c r="E12" i="1"/>
  <c r="C12" i="1"/>
  <c r="L11" i="1"/>
  <c r="G11" i="1"/>
  <c r="H11" i="1"/>
  <c r="I11" i="1"/>
  <c r="F11" i="1"/>
  <c r="D11" i="1"/>
  <c r="E11" i="1"/>
  <c r="C11" i="1"/>
  <c r="L10" i="1"/>
  <c r="G10" i="1"/>
  <c r="H10" i="1"/>
  <c r="I10" i="1"/>
  <c r="F10" i="1"/>
  <c r="D10" i="1"/>
  <c r="E10" i="1"/>
  <c r="C10" i="1"/>
  <c r="L9" i="1"/>
  <c r="G9" i="1"/>
  <c r="H9" i="1"/>
  <c r="I9" i="1"/>
  <c r="F9" i="1"/>
  <c r="D9" i="1"/>
  <c r="E9" i="1"/>
  <c r="C9" i="1"/>
  <c r="L8" i="1"/>
  <c r="G8" i="1"/>
  <c r="H8" i="1"/>
  <c r="I8" i="1"/>
  <c r="F8" i="1"/>
  <c r="D8" i="1"/>
  <c r="E8" i="1"/>
  <c r="C8" i="1"/>
  <c r="L5" i="1"/>
  <c r="L6" i="1"/>
  <c r="L7" i="1"/>
  <c r="G7" i="1"/>
  <c r="H7" i="1"/>
  <c r="I7" i="1"/>
  <c r="F7" i="1"/>
  <c r="D7" i="1"/>
  <c r="E7" i="1"/>
  <c r="C7" i="1"/>
  <c r="G6" i="1"/>
  <c r="H6" i="1"/>
  <c r="I6" i="1"/>
  <c r="F6" i="1"/>
  <c r="D6" i="1"/>
  <c r="E6" i="1"/>
  <c r="C6" i="1"/>
</calcChain>
</file>

<file path=xl/sharedStrings.xml><?xml version="1.0" encoding="utf-8"?>
<sst xmlns="http://schemas.openxmlformats.org/spreadsheetml/2006/main" count="274" uniqueCount="169">
  <si>
    <t>Sale Tracker</t>
  </si>
  <si>
    <t>Ticker Rebuy Countdown Summary</t>
  </si>
  <si>
    <t>YTD Capital Summary</t>
  </si>
  <si>
    <t>Sleeve</t>
  </si>
  <si>
    <t>Ticker</t>
  </si>
  <si>
    <t>Shares Owned</t>
  </si>
  <si>
    <t>Recent Buy</t>
  </si>
  <si>
    <t>Recent Buy Ends</t>
  </si>
  <si>
    <t>YTD Net Realized Gain / (Loss)</t>
  </si>
  <si>
    <t>Latest Loss Sale Date</t>
  </si>
  <si>
    <t>Rebuy Date</t>
  </si>
  <si>
    <t>Days Until Rebuy</t>
  </si>
  <si>
    <t>YTD Realized Capital Gains</t>
  </si>
  <si>
    <t>Realized gains from documented sold lots.</t>
  </si>
  <si>
    <t>US</t>
  </si>
  <si>
    <t>VOO</t>
  </si>
  <si>
    <t>YTD Realized Capital Losses</t>
  </si>
  <si>
    <t>Realized losses from documented sold lots (shown positive).</t>
  </si>
  <si>
    <t>VTI</t>
  </si>
  <si>
    <t>Net Capital Result</t>
  </si>
  <si>
    <t>Net gains minus losses.</t>
  </si>
  <si>
    <t>SCHB</t>
  </si>
  <si>
    <t>US Open Lots</t>
  </si>
  <si>
    <t>Open U.S. lots with shares remaining.</t>
  </si>
  <si>
    <t>ITOT</t>
  </si>
  <si>
    <t>US Wash Sale Count</t>
  </si>
  <si>
    <t>U.S. lots currently flagged Wash Sale = Yes.</t>
  </si>
  <si>
    <t>International</t>
  </si>
  <si>
    <t>VXUS</t>
  </si>
  <si>
    <t>Int. Open Lots</t>
  </si>
  <si>
    <t>Open international lots with shares remaining.</t>
  </si>
  <si>
    <t>IXUS</t>
  </si>
  <si>
    <t>Int. Wash Sale Count</t>
  </si>
  <si>
    <t>International lots currently flagged Wash Sale = Yes.</t>
  </si>
  <si>
    <t>RSP</t>
  </si>
  <si>
    <t>SCHX</t>
  </si>
  <si>
    <t>IWB</t>
  </si>
  <si>
    <t>SCHF</t>
  </si>
  <si>
    <t>US Sleeve Lots — fill A:G for trade entry; column R only if auto-match needs a manual replacement lot. Extra blank U.S. rows are hidden below; unhide as needed.</t>
  </si>
  <si>
    <t>Buy Date</t>
  </si>
  <si>
    <t>Shares Bought</t>
  </si>
  <si>
    <t>Cost / Share</t>
  </si>
  <si>
    <t>Sell Date</t>
  </si>
  <si>
    <t>Sale Price / Share</t>
  </si>
  <si>
    <t>Shares Remaining</t>
  </si>
  <si>
    <t>Total Cost</t>
  </si>
  <si>
    <t>Sale Proceeds</t>
  </si>
  <si>
    <t>Realized Gain / (Loss)</t>
  </si>
  <si>
    <t>Wash Sale?</t>
  </si>
  <si>
    <t>Lot ID</t>
  </si>
  <si>
    <t>Shares Sold</t>
  </si>
  <si>
    <t>Loss / Share</t>
  </si>
  <si>
    <t>Candidate Matched Shares</t>
  </si>
  <si>
    <t>Candidate Replacement Count</t>
  </si>
  <si>
    <t>Suggested Replacement Lot ID</t>
  </si>
  <si>
    <t>Selected Replacement Lot ID</t>
  </si>
  <si>
    <t>Applied Replacement Lot ID</t>
  </si>
  <si>
    <t>Disallowed Wash Loss</t>
  </si>
  <si>
    <t>Basis Adj In</t>
  </si>
  <si>
    <t>Adjusted Total Basis</t>
  </si>
  <si>
    <t>Adjusted Cost / Share</t>
  </si>
  <si>
    <t>Match Status / Notes</t>
  </si>
  <si>
    <t>Wash Seq</t>
  </si>
  <si>
    <t>EPD</t>
  </si>
  <si>
    <t>International Sleeve Lots — same entry rules as above.</t>
  </si>
  <si>
    <t>Wash Basis Adjustments (Optional Helper Tab)</t>
  </si>
  <si>
    <t>Use this tab only when the tracker finds more than one possible replacement buy lot in the wash window. Most of the time, you can ignore this tab and let the tracker auto-match.</t>
  </si>
  <si>
    <t>How to use this tab</t>
  </si>
  <si>
    <t>This tab auto-lists only rows where Wash Sale = Yes.</t>
  </si>
  <si>
    <t>If this tab is blank, there are no active wash-sale rows.</t>
  </si>
  <si>
    <t>Manual replacement-lot overrides should be entered on Wash Sale Tracker column R.</t>
  </si>
  <si>
    <t>Tracker Row</t>
  </si>
  <si>
    <t>Sold Lot ID</t>
  </si>
  <si>
    <t>Realized Loss</t>
  </si>
  <si>
    <t>Matched Shares</t>
  </si>
  <si>
    <t>Replacement Lot ID</t>
  </si>
  <si>
    <t>Match Status</t>
  </si>
  <si>
    <t>Setup &amp; Notes</t>
  </si>
  <si>
    <t>How to use this workbook</t>
  </si>
  <si>
    <t>1</t>
  </si>
  <si>
    <t>Enter trades on the Wash Sale Tracker tab.</t>
  </si>
  <si>
    <t>Fill only the Trade Entry columns: Ticker, Buy Date, Shares Bought, Cost / Share, Sell Date, Sale Price / Share, and Shares Remaining.</t>
  </si>
  <si>
    <t>2</t>
  </si>
  <si>
    <t>For a new buy</t>
  </si>
  <si>
    <t>Leave Sell Date and Sale Price blank. Set Shares Remaining equal to Shares Bought.</t>
  </si>
  <si>
    <t>3</t>
  </si>
  <si>
    <t>For a full sale</t>
  </si>
  <si>
    <t>Enter the Sell Date and Sale Price, then set Shares Remaining to 0.</t>
  </si>
  <si>
    <t>4</t>
  </si>
  <si>
    <t>For a partial sale</t>
  </si>
  <si>
    <t>Enter the Sell Date and Sale Price, then set Shares Remaining to the amount still left in that lot.</t>
  </si>
  <si>
    <t>5</t>
  </si>
  <si>
    <t>Manual replacement lot selection</t>
  </si>
  <si>
    <t>Usually not needed. Only enter Selected Replacement Lot ID when the workbook shows multiple possible replacement lots and asks for manual review.</t>
  </si>
  <si>
    <t>What the workbook calculates</t>
  </si>
  <si>
    <t>•</t>
  </si>
  <si>
    <t>Summary section</t>
  </si>
  <si>
    <t>Shares owned, recent buy windows, and year-to-date realized gain / loss by ticker.</t>
  </si>
  <si>
    <t>Detail tracker</t>
  </si>
  <si>
    <t>Realized gain / loss, wash-sale detection, candidate matches, basis adjustments, and adjusted basis per lot.</t>
  </si>
  <si>
    <t>Wash Basis Adjustments tab</t>
  </si>
  <si>
    <t>An optional helper tab that centralizes manual wash-sale lot assignment only when multiple replacement buy lots exist.</t>
  </si>
  <si>
    <t>Important limitations</t>
  </si>
  <si>
    <t>Workbook-only logic</t>
  </si>
  <si>
    <t>The workbook only tests the documented rows in this file. It does not automatically know about other brokerages, IRAs, 401(k)s, or substantially identical ETF judgment calls.</t>
  </si>
  <si>
    <t>Same-ticker matching</t>
  </si>
  <si>
    <t>The wash-sale workflow assumes same-ticker matching inside the workbook unless you manually review and override a lot selection.</t>
  </si>
  <si>
    <t>Reference Lists tab</t>
  </si>
  <si>
    <t>This is reference-only and does not drive formulas on the tracker tab.</t>
  </si>
  <si>
    <t>Source and methodology notes</t>
  </si>
  <si>
    <t>Workbook scope</t>
  </si>
  <si>
    <t>This workbook tracks the documented lots from the files you provided and calculates summary metrics from those rows.</t>
  </si>
  <si>
    <t>Summary logic</t>
  </si>
  <si>
    <t>Shares Owned = total shares bought minus shares sold across the documented rows. Latest Loss Sale Date is the most recent documented sale date for that ticker where realized gain/loss is below zero.</t>
  </si>
  <si>
    <t>Rebuy logic</t>
  </si>
  <si>
    <t>Earliest Conservative Rebuy Date = Latest Loss Sale Date + 31 calendar days. Days Until Rebuy = MAX(0, Rebuy Date - TODAY()).</t>
  </si>
  <si>
    <t>Source support</t>
  </si>
  <si>
    <t>EPD, ITOT, and IXUS sold lots are supported by your detailed closed-position reports. VTI, SCHB, VOO, and VXUS open lots are supported by trade and open-position reports.</t>
  </si>
  <si>
    <t>Derived open-lot cost/share</t>
  </si>
  <si>
    <t>For open lots supported by trade plus open-position reports, cost/share is derived from documented lot cost basis and share quantity rather than the original trade-confirmation fill price.</t>
  </si>
  <si>
    <t>Workbook health note</t>
  </si>
  <si>
    <t>Base file</t>
  </si>
  <si>
    <t>This version uses your Excel-repaired workbook as the clean base to avoid the earlier repair-warning issues.</t>
  </si>
  <si>
    <t>Helper tab</t>
  </si>
  <si>
    <t>Wash Basis Adjustments remains optional; the main tracker should be used for routine entry and review.</t>
  </si>
  <si>
    <t>Reference Lists</t>
  </si>
  <si>
    <t>Reference-only sheet for your current brokerage lineup, Roth IRA sleeve, and backup tax-loss-harvesting ETFs. This tab does not feed formulas on the tracker tab.</t>
  </si>
  <si>
    <t>Current Brokerage Lineup</t>
  </si>
  <si>
    <t>Account</t>
  </si>
  <si>
    <t>Notes</t>
  </si>
  <si>
    <t>Brokerage</t>
  </si>
  <si>
    <t>Vanguard S&amp;P 500 ETF</t>
  </si>
  <si>
    <t>Current / legacy U.S. sleeve holding</t>
  </si>
  <si>
    <t>Vanguard Total Stock Market ETF</t>
  </si>
  <si>
    <t>Current U.S. core candidate</t>
  </si>
  <si>
    <t>iShares Core S&amp;P Total U.S. Stock Market ETF</t>
  </si>
  <si>
    <t>Used as TLH alternate</t>
  </si>
  <si>
    <t>Schwab U.S. Broad Market ETF</t>
  </si>
  <si>
    <t>Used as TLH alternate / legacy holding</t>
  </si>
  <si>
    <t>Vanguard Total International Stock ETF</t>
  </si>
  <si>
    <t>Current international core candidate</t>
  </si>
  <si>
    <t>iShares Core MSCI Total International Stock ETF</t>
  </si>
  <si>
    <t>Proposed Roth IRA Sleeve</t>
  </si>
  <si>
    <t>Role</t>
  </si>
  <si>
    <t>Roth IRA</t>
  </si>
  <si>
    <t>QQQM</t>
  </si>
  <si>
    <t>Invesco NASDAQ 100 ETF</t>
  </si>
  <si>
    <t>Large-cap growth tilt</t>
  </si>
  <si>
    <t>AVUV</t>
  </si>
  <si>
    <t>Avantis U.S. Small Cap Value ETF</t>
  </si>
  <si>
    <t>Small-cap value tilt</t>
  </si>
  <si>
    <t>QUAL</t>
  </si>
  <si>
    <t>iShares MSCI USA Quality Factor ETF</t>
  </si>
  <si>
    <t>Quality factor tilt</t>
  </si>
  <si>
    <t>Backup / Tax-Loss-Harvesting ETFs</t>
  </si>
  <si>
    <t>Category</t>
  </si>
  <si>
    <t>Fund / ETF Name</t>
  </si>
  <si>
    <t>Good Supplement For</t>
  </si>
  <si>
    <t>Brokerage Backup</t>
  </si>
  <si>
    <t>Invesco S&amp;P 500 Equal Weight ETF</t>
  </si>
  <si>
    <t>VOO; VTI; ITOT; SCHB</t>
  </si>
  <si>
    <t>Less tax-efficient than plain vanilla cap-weighted core ETFs</t>
  </si>
  <si>
    <t>Schwab U.S. Large-Cap ETF</t>
  </si>
  <si>
    <t>Large-cap substitute</t>
  </si>
  <si>
    <t>iShares Russell 1000 ETF</t>
  </si>
  <si>
    <t>Large-/mid-cap substitute</t>
  </si>
  <si>
    <t>Schwab International Equity ETF</t>
  </si>
  <si>
    <t>VXUS; IXUS</t>
  </si>
  <si>
    <t>Developed international substitute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</si>
</sst>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m/dd/yyyy"/>
    <numFmt numFmtId="165" formatCode="0.000"/>
    <numFmt numFmtId="166" formatCode="m/d/yyyy"/>
    <numFmt numFmtId="167" formatCode="\$#,##0.00;[Red]\-\$#,##0.00"/>
    <numFmt numFmtId="168" formatCode="\$#,##0.00;[Red]\(\$#,##0.00\);\-"/>
    <numFmt numFmtId="169" formatCode="0.000000"/>
  </numFmts>
  <fonts count="15" x14ac:knownFonts="1">
    <font>
      <sz val="11"/>
      <color theme="1"/>
      <name val="Calibri"/>
    </font>
    <font>
      <b/>
      <sz val="12"/>
      <color rgb="FFFFFFFF"/>
      <name val="Calibri"/>
    </font>
    <font>
      <b/>
      <sz val="10"/>
      <color rgb="FF000000"/>
      <name val="Calibri"/>
    </font>
    <font>
      <b/>
      <sz val="10"/>
      <name val="Calibri"/>
    </font>
    <font>
      <b/>
      <sz val="11"/>
      <color rgb="FFFFFFFF"/>
      <name val="Calibri"/>
    </font>
    <font>
      <sz val="10"/>
      <name val="Calibri"/>
    </font>
    <font>
      <b/>
      <sz val="11"/>
      <color rgb="FF000000"/>
      <name val="Calibri"/>
    </font>
    <font>
      <sz val="10"/>
      <color rgb="FFFFFFFF"/>
      <name val="Calibri"/>
    </font>
    <font>
      <b/>
      <sz val="10"/>
      <color rgb="FFFFFFFF"/>
      <name val="Calibri"/>
    </font>
    <font>
      <b/>
      <sz val="14"/>
      <color rgb="FFFFFFFF"/>
      <name val="Calibri"/>
    </font>
    <font>
      <b/>
      <sz val="10"/>
      <color rgb="FF1F1F1F"/>
      <name val="Calibri"/>
    </font>
    <font>
      <b/>
      <sz val="11"/>
      <color rgb="FF1F1F1F"/>
      <name val="Calibri"/>
    </font>
    <font>
      <i/>
      <sz val="10"/>
      <color rgb="FF444444"/>
      <name val="Calibri"/>
    </font>
    <font>
      <b/>
      <sz val="11"/>
      <color theme="1"/>
      <name val="Calibri"/>
    </font>
    <font>
      <b/>
      <sz val="8"/>
      <color rgb="FF000000"/>
      <name val="Calibri"/>
    </font>
  </fonts>
  <fills count="15">
    <fill>
      <patternFill patternType="none"/>
    </fill>
    <fill>
      <patternFill patternType="gray125"/>
    </fill>
    <fill>
      <patternFill patternType="solid">
        <fgColor rgb="FF1F4E78"/>
      </patternFill>
    </fill>
    <fill>
      <patternFill patternType="solid">
        <fgColor rgb="FFF3F5F7"/>
      </patternFill>
    </fill>
    <fill>
      <patternFill patternType="solid">
        <fgColor rgb="FFD9EAF7"/>
      </patternFill>
    </fill>
    <fill>
      <patternFill patternType="solid">
        <fgColor rgb="FFFFF2CC"/>
      </patternFill>
    </fill>
    <fill>
      <patternFill patternType="solid">
        <fgColor rgb="FF1F5E50"/>
      </patternFill>
    </fill>
    <fill>
      <patternFill patternType="solid">
        <fgColor rgb="FFF2F2F2"/>
      </patternFill>
    </fill>
    <fill>
      <patternFill patternType="solid">
        <fgColor rgb="FF1F4E78"/>
      </patternFill>
    </fill>
    <fill>
      <patternFill patternType="solid">
        <fgColor rgb="FFD9EAF7"/>
      </patternFill>
    </fill>
    <fill>
      <patternFill patternType="solid">
        <fgColor rgb="FFEEF4F8"/>
      </patternFill>
    </fill>
    <fill>
      <patternFill patternType="solid">
        <fgColor rgb="FFE8E8E8"/>
      </patternFill>
    </fill>
    <fill>
      <patternFill patternType="solid">
        <fgColor rgb="FFFFF2CC"/>
      </patternFill>
    </fill>
    <fill>
      <patternFill patternType="solid">
        <fgColor rgb="FF00B050"/>
        <bgColor indexed="64"/>
      </patternFill>
    </fill>
    <fill>
      <patternFill patternType="solid">
        <fgColor theme="0"/>
        <bgColor indexed="64"/>
      </patternFill>
    </fill>
  </fills>
  <borders count="29">
    <border>
      <left/>
      <right/>
      <top/>
      <bottom/>
      <diagonal/>
    </border>
    <border>
      <left/>
      <right/>
      <top style="medium">
        <color rgb="FF1F4E78"/>
      </top>
      <bottom style="thin">
        <color rgb="FFD0D0D0"/>
      </bottom>
      <diagonal/>
    </border>
    <border>
      <left/>
      <right/>
      <top/>
      <bottom style="thin">
        <color rgb="FFD0D0D0"/>
      </bottom>
      <diagonal/>
    </border>
    <border>
      <left/>
      <right/>
      <top/>
      <bottom/>
      <diagonal/>
    </border>
    <border>
      <left style="thin">
        <color rgb="FFD1D5DB"/>
      </left>
      <right/>
      <top style="thin">
        <color rgb="FFD1D5DB"/>
      </top>
      <bottom style="thin">
        <color rgb="FFD0D0D0"/>
      </bottom>
      <diagonal/>
    </border>
    <border>
      <left/>
      <right/>
      <top style="thin">
        <color rgb="FFD1D5DB"/>
      </top>
      <bottom style="thin">
        <color rgb="FFD0D0D0"/>
      </bottom>
      <diagonal/>
    </border>
    <border>
      <left/>
      <right style="thin">
        <color rgb="FFD1D5DB"/>
      </right>
      <top style="thin">
        <color rgb="FFD1D5DB"/>
      </top>
      <bottom style="thin">
        <color rgb="FFD0D0D0"/>
      </bottom>
      <diagonal/>
    </border>
    <border>
      <left style="thin">
        <color rgb="FFD1D5DB"/>
      </left>
      <right/>
      <top/>
      <bottom style="thin">
        <color rgb="FFD0D0D0"/>
      </bottom>
      <diagonal/>
    </border>
    <border>
      <left/>
      <right style="thin">
        <color rgb="FFD1D5DB"/>
      </right>
      <top/>
      <bottom style="thin">
        <color rgb="FFD0D0D0"/>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
      <left/>
      <right/>
      <top style="medium">
        <color rgb="FF505050"/>
      </top>
      <bottom/>
      <diagonal/>
    </border>
    <border>
      <left/>
      <right style="medium">
        <color rgb="FF505050"/>
      </right>
      <top style="medium">
        <color rgb="FF505050"/>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medium">
        <color rgb="FF505050"/>
      </left>
      <right style="medium">
        <color rgb="FF505050"/>
      </right>
      <top style="medium">
        <color rgb="FF505050"/>
      </top>
      <bottom/>
      <diagonal/>
    </border>
    <border>
      <left style="medium">
        <color rgb="FF505050"/>
      </left>
      <right style="medium">
        <color rgb="FF505050"/>
      </right>
      <top/>
      <bottom/>
      <diagonal/>
    </border>
    <border>
      <left style="medium">
        <color rgb="FF505050"/>
      </left>
      <right style="medium">
        <color rgb="FF505050"/>
      </right>
      <top/>
      <bottom style="medium">
        <color rgb="FF505050"/>
      </bottom>
      <diagonal/>
    </border>
    <border>
      <left style="medium">
        <color rgb="FF505050"/>
      </left>
      <right/>
      <top style="thin">
        <color rgb="FFD1D5DB"/>
      </top>
      <bottom style="thin">
        <color rgb="FFD0D0D0"/>
      </bottom>
      <diagonal/>
    </border>
    <border>
      <left/>
      <right style="medium">
        <color rgb="FF505050"/>
      </right>
      <top style="thin">
        <color rgb="FFD1D5DB"/>
      </top>
      <bottom style="thin">
        <color rgb="FFD0D0D0"/>
      </bottom>
      <diagonal/>
    </border>
    <border>
      <left style="medium">
        <color rgb="FF505050"/>
      </left>
      <right/>
      <top/>
      <bottom style="thin">
        <color rgb="FFD0D0D0"/>
      </bottom>
      <diagonal/>
    </border>
    <border>
      <left/>
      <right style="medium">
        <color rgb="FF505050"/>
      </right>
      <top/>
      <bottom style="thin">
        <color rgb="FFD0D0D0"/>
      </bottom>
      <diagonal/>
    </border>
    <border>
      <left/>
      <right/>
      <top/>
      <bottom/>
      <diagonal/>
    </border>
    <border>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rgb="FF505050"/>
      </left>
      <right style="medium">
        <color rgb="FF505050"/>
      </right>
      <top style="medium">
        <color rgb="FF505050"/>
      </top>
      <bottom style="medium">
        <color rgb="FF505050"/>
      </bottom>
      <diagonal/>
    </border>
  </borders>
  <cellStyleXfs count="1">
    <xf numFmtId="0" fontId="0" fillId="0" borderId="25"/>
  </cellStyleXfs>
  <cellXfs count="105">
    <xf numFmtId="0" fontId="0" fillId="0" borderId="0" xfId="0" applyBorder="1"/>
    <xf numFmtId="0" fontId="5" fillId="0" borderId="0" xfId="0" applyFont="1" applyBorder="1" applyAlignment="1">
      <alignment wrapText="1"/>
    </xf>
    <xf numFmtId="0" fontId="2" fillId="0" borderId="3" xfId="0" applyFont="1" applyBorder="1" applyAlignment="1">
      <alignment horizontal="center" vertical="center" wrapText="1"/>
    </xf>
    <xf numFmtId="0" fontId="7" fillId="6" borderId="0" xfId="0" applyFont="1" applyFill="1" applyBorder="1" applyAlignment="1">
      <alignment horizontal="center" vertical="center" wrapText="1"/>
    </xf>
    <xf numFmtId="0" fontId="6" fillId="0" borderId="5" xfId="0" applyFont="1" applyBorder="1" applyAlignment="1">
      <alignment horizontal="center" vertical="center" wrapText="1"/>
    </xf>
    <xf numFmtId="0" fontId="6" fillId="0" borderId="2" xfId="0" applyFont="1" applyBorder="1" applyAlignment="1">
      <alignment horizontal="center" vertical="center" wrapText="1"/>
    </xf>
    <xf numFmtId="0" fontId="8" fillId="6"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6" xfId="0" applyFont="1" applyFill="1" applyBorder="1" applyAlignment="1">
      <alignment horizontal="center" vertical="center" wrapText="1"/>
    </xf>
    <xf numFmtId="0" fontId="0" fillId="0" borderId="7" xfId="0" applyBorder="1" applyAlignment="1">
      <alignment horizontal="center" vertical="center" wrapText="1"/>
    </xf>
    <xf numFmtId="0" fontId="0" fillId="0" borderId="9" xfId="0" applyBorder="1" applyAlignment="1">
      <alignment horizontal="center" vertical="center" wrapText="1"/>
    </xf>
    <xf numFmtId="0" fontId="0" fillId="7" borderId="8" xfId="0" applyFill="1" applyBorder="1" applyAlignment="1">
      <alignment horizontal="left" vertical="center" wrapText="1"/>
    </xf>
    <xf numFmtId="0" fontId="0" fillId="7" borderId="11" xfId="0" applyFill="1" applyBorder="1" applyAlignment="1">
      <alignment horizontal="left" vertical="center" wrapText="1"/>
    </xf>
    <xf numFmtId="0" fontId="0" fillId="0" borderId="0" xfId="0" applyBorder="1" applyAlignment="1">
      <alignment wrapText="1"/>
    </xf>
    <xf numFmtId="0" fontId="0" fillId="0" borderId="0" xfId="0" applyBorder="1" applyAlignment="1">
      <alignment vertical="top" wrapText="1"/>
    </xf>
    <xf numFmtId="0" fontId="3" fillId="0" borderId="0" xfId="0" applyFont="1" applyBorder="1" applyAlignment="1">
      <alignment vertical="top" wrapText="1"/>
    </xf>
    <xf numFmtId="0" fontId="3" fillId="11"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13" fillId="11" borderId="0" xfId="0" applyFont="1" applyFill="1" applyBorder="1" applyAlignment="1">
      <alignment wrapText="1"/>
    </xf>
    <xf numFmtId="0" fontId="3" fillId="4" borderId="1" xfId="0" applyFont="1" applyFill="1" applyBorder="1" applyAlignment="1">
      <alignment horizontal="center" vertical="center" wrapText="1"/>
    </xf>
    <xf numFmtId="0" fontId="5" fillId="0" borderId="2" xfId="0" applyFont="1" applyBorder="1"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center" vertical="center" wrapText="1"/>
    </xf>
    <xf numFmtId="1" fontId="0" fillId="0" borderId="2" xfId="0" applyNumberFormat="1" applyBorder="1" applyAlignment="1">
      <alignment horizontal="center" vertical="center" wrapText="1"/>
    </xf>
    <xf numFmtId="0" fontId="0" fillId="0" borderId="2" xfId="0" applyBorder="1" applyAlignment="1">
      <alignment horizontal="left" vertical="center" wrapText="1"/>
    </xf>
    <xf numFmtId="0" fontId="0" fillId="12" borderId="2" xfId="0" applyFill="1" applyBorder="1" applyAlignment="1">
      <alignment horizontal="left" vertical="center" wrapText="1"/>
    </xf>
    <xf numFmtId="0" fontId="0" fillId="5" borderId="2" xfId="0" applyFill="1" applyBorder="1" applyAlignment="1">
      <alignment horizontal="left" vertical="center" wrapText="1"/>
    </xf>
    <xf numFmtId="2" fontId="0" fillId="7" borderId="5" xfId="0" applyNumberFormat="1" applyFill="1" applyBorder="1" applyAlignment="1">
      <alignment horizontal="center" vertical="center" wrapText="1"/>
    </xf>
    <xf numFmtId="2" fontId="0" fillId="7" borderId="2" xfId="0" applyNumberFormat="1" applyFill="1" applyBorder="1" applyAlignment="1">
      <alignment horizontal="center" vertical="center" wrapText="1"/>
    </xf>
    <xf numFmtId="2" fontId="0" fillId="7" borderId="10" xfId="0" applyNumberFormat="1" applyFill="1" applyBorder="1" applyAlignment="1">
      <alignment horizontal="center" vertical="center" wrapText="1"/>
    </xf>
    <xf numFmtId="2" fontId="0" fillId="0" borderId="2" xfId="0" applyNumberFormat="1" applyBorder="1" applyAlignment="1">
      <alignment horizontal="center" vertical="center" wrapText="1"/>
    </xf>
    <xf numFmtId="2" fontId="0" fillId="7" borderId="2" xfId="0" applyNumberFormat="1" applyFill="1" applyBorder="1" applyAlignment="1">
      <alignment horizontal="left" vertical="center" wrapText="1"/>
    </xf>
    <xf numFmtId="2" fontId="0" fillId="0" borderId="2" xfId="0" applyNumberFormat="1" applyBorder="1" applyAlignment="1">
      <alignment horizontal="left" vertical="center" wrapText="1"/>
    </xf>
    <xf numFmtId="2" fontId="0" fillId="0" borderId="10" xfId="0" applyNumberFormat="1" applyBorder="1" applyAlignment="1">
      <alignment horizontal="center" vertical="center" wrapText="1"/>
    </xf>
    <xf numFmtId="2" fontId="0" fillId="7" borderId="10" xfId="0" applyNumberFormat="1" applyFill="1" applyBorder="1" applyAlignment="1">
      <alignment horizontal="left" vertical="center" wrapText="1"/>
    </xf>
    <xf numFmtId="2" fontId="0" fillId="0" borderId="10" xfId="0" applyNumberFormat="1" applyBorder="1" applyAlignment="1">
      <alignment horizontal="left" vertical="center" wrapText="1"/>
    </xf>
    <xf numFmtId="0" fontId="0" fillId="0" borderId="3" xfId="0" applyBorder="1"/>
    <xf numFmtId="0" fontId="0" fillId="7" borderId="14" xfId="0" applyFill="1" applyBorder="1" applyAlignment="1">
      <alignment horizontal="center" vertical="center" wrapText="1"/>
    </xf>
    <xf numFmtId="0" fontId="0" fillId="7" borderId="17" xfId="0" applyFill="1" applyBorder="1" applyAlignment="1">
      <alignment horizontal="center" vertical="center" wrapText="1"/>
    </xf>
    <xf numFmtId="0" fontId="8" fillId="6" borderId="21" xfId="0" applyFont="1" applyFill="1" applyBorder="1" applyAlignment="1">
      <alignment horizontal="center" vertical="center" wrapText="1"/>
    </xf>
    <xf numFmtId="0" fontId="8" fillId="6" borderId="22" xfId="0" applyFont="1" applyFill="1" applyBorder="1" applyAlignment="1">
      <alignment horizontal="center" vertical="center" wrapText="1"/>
    </xf>
    <xf numFmtId="0" fontId="0" fillId="0" borderId="21" xfId="0" applyBorder="1" applyAlignment="1">
      <alignment horizontal="center" vertical="center" wrapText="1"/>
    </xf>
    <xf numFmtId="1" fontId="0" fillId="7" borderId="22" xfId="0" applyNumberFormat="1" applyFill="1" applyBorder="1" applyAlignment="1">
      <alignment horizontal="center" vertical="center" wrapText="1"/>
    </xf>
    <xf numFmtId="0" fontId="0" fillId="0" borderId="23" xfId="0" applyBorder="1" applyAlignment="1">
      <alignment horizontal="center" vertical="center" wrapText="1"/>
    </xf>
    <xf numFmtId="1" fontId="0" fillId="7" borderId="24" xfId="0" applyNumberFormat="1" applyFill="1" applyBorder="1" applyAlignment="1">
      <alignment horizontal="center" vertical="center" wrapText="1"/>
    </xf>
    <xf numFmtId="0" fontId="0" fillId="0" borderId="15" xfId="0" applyBorder="1" applyAlignment="1">
      <alignment horizontal="center" vertical="center" wrapText="1"/>
    </xf>
    <xf numFmtId="0" fontId="6" fillId="0" borderId="16" xfId="0" applyFont="1" applyBorder="1" applyAlignment="1">
      <alignment horizontal="center" vertical="center" wrapText="1"/>
    </xf>
    <xf numFmtId="2" fontId="0" fillId="7" borderId="16" xfId="0" applyNumberFormat="1" applyFill="1" applyBorder="1" applyAlignment="1">
      <alignment horizontal="center" vertical="center" wrapText="1"/>
    </xf>
    <xf numFmtId="1" fontId="0" fillId="7" borderId="17" xfId="0" applyNumberFormat="1" applyFill="1" applyBorder="1" applyAlignment="1">
      <alignment horizontal="center" vertical="center" wrapText="1"/>
    </xf>
    <xf numFmtId="0" fontId="0" fillId="0" borderId="3" xfId="0" applyBorder="1" applyAlignment="1">
      <alignment wrapText="1"/>
    </xf>
    <xf numFmtId="0" fontId="0" fillId="0" borderId="25" xfId="0" applyAlignment="1">
      <alignment vertical="center" wrapText="1"/>
    </xf>
    <xf numFmtId="4" fontId="0" fillId="0" borderId="2" xfId="0" applyNumberFormat="1" applyBorder="1" applyAlignment="1">
      <alignment horizontal="center" vertical="center" wrapText="1"/>
    </xf>
    <xf numFmtId="0" fontId="1" fillId="0" borderId="25" xfId="0" applyFont="1" applyAlignment="1">
      <alignment horizontal="left" vertical="center"/>
    </xf>
    <xf numFmtId="0" fontId="0" fillId="0" borderId="0" xfId="0" applyBorder="1"/>
    <xf numFmtId="0" fontId="0" fillId="0" borderId="0" xfId="0" applyBorder="1" applyAlignment="1">
      <alignment vertical="center"/>
    </xf>
    <xf numFmtId="0" fontId="0" fillId="0" borderId="25" xfId="0"/>
    <xf numFmtId="168" fontId="14" fillId="4" borderId="19" xfId="0" applyNumberFormat="1" applyFont="1" applyFill="1" applyBorder="1" applyAlignment="1">
      <alignment horizontal="center" vertical="center" wrapText="1"/>
    </xf>
    <xf numFmtId="167" fontId="0" fillId="7" borderId="14" xfId="0" applyNumberFormat="1" applyFill="1" applyBorder="1" applyAlignment="1">
      <alignment horizontal="center" vertical="center" wrapText="1"/>
    </xf>
    <xf numFmtId="165" fontId="0" fillId="7" borderId="5" xfId="0" applyNumberFormat="1" applyFill="1" applyBorder="1" applyAlignment="1">
      <alignment horizontal="center" vertical="center" wrapText="1"/>
    </xf>
    <xf numFmtId="166" fontId="0" fillId="7" borderId="5" xfId="0" applyNumberFormat="1" applyFill="1" applyBorder="1" applyAlignment="1">
      <alignment horizontal="center" vertical="center" wrapText="1"/>
    </xf>
    <xf numFmtId="167" fontId="0" fillId="7" borderId="5" xfId="0" applyNumberFormat="1" applyFill="1" applyBorder="1" applyAlignment="1">
      <alignment horizontal="center" vertical="center" wrapText="1"/>
    </xf>
    <xf numFmtId="165" fontId="0" fillId="7" borderId="2" xfId="0" applyNumberFormat="1" applyFill="1" applyBorder="1" applyAlignment="1">
      <alignment horizontal="center" vertical="center" wrapText="1"/>
    </xf>
    <xf numFmtId="166" fontId="0" fillId="7" borderId="2" xfId="0" applyNumberFormat="1" applyFill="1" applyBorder="1" applyAlignment="1">
      <alignment horizontal="center" vertical="center" wrapText="1"/>
    </xf>
    <xf numFmtId="167" fontId="0" fillId="7" borderId="2" xfId="0" applyNumberFormat="1" applyFill="1" applyBorder="1" applyAlignment="1">
      <alignment horizontal="center" vertical="center" wrapText="1"/>
    </xf>
    <xf numFmtId="168" fontId="14" fillId="4" borderId="20" xfId="0" applyNumberFormat="1" applyFont="1" applyFill="1" applyBorder="1" applyAlignment="1">
      <alignment horizontal="center" vertical="center" wrapText="1"/>
    </xf>
    <xf numFmtId="167" fontId="0" fillId="7" borderId="17" xfId="0" applyNumberFormat="1" applyFill="1" applyBorder="1" applyAlignment="1">
      <alignment horizontal="center" vertical="center" wrapText="1"/>
    </xf>
    <xf numFmtId="165" fontId="0" fillId="7" borderId="16" xfId="0" applyNumberFormat="1" applyFill="1" applyBorder="1" applyAlignment="1">
      <alignment horizontal="center" vertical="center" wrapText="1"/>
    </xf>
    <xf numFmtId="166" fontId="0" fillId="7" borderId="16" xfId="0" applyNumberFormat="1" applyFill="1" applyBorder="1" applyAlignment="1">
      <alignment horizontal="center" vertical="center" wrapText="1"/>
    </xf>
    <xf numFmtId="167" fontId="0" fillId="7" borderId="16" xfId="0" applyNumberFormat="1" applyFill="1" applyBorder="1" applyAlignment="1">
      <alignment horizontal="center" vertical="center" wrapText="1"/>
    </xf>
    <xf numFmtId="166" fontId="0" fillId="0" borderId="2" xfId="0" applyNumberFormat="1" applyBorder="1" applyAlignment="1">
      <alignment horizontal="center" vertical="center" wrapText="1"/>
    </xf>
    <xf numFmtId="167" fontId="0" fillId="0" borderId="2" xfId="0" applyNumberFormat="1" applyBorder="1" applyAlignment="1">
      <alignment horizontal="center" vertical="center" wrapText="1"/>
    </xf>
    <xf numFmtId="166" fontId="0" fillId="0" borderId="10" xfId="0" applyNumberFormat="1" applyBorder="1" applyAlignment="1">
      <alignment horizontal="center" vertical="center" wrapText="1"/>
    </xf>
    <xf numFmtId="167" fontId="0" fillId="0" borderId="10" xfId="0" applyNumberFormat="1" applyBorder="1" applyAlignment="1">
      <alignment horizontal="center" vertical="center" wrapText="1"/>
    </xf>
    <xf numFmtId="167" fontId="0" fillId="7" borderId="10" xfId="0" applyNumberFormat="1" applyFill="1" applyBorder="1" applyAlignment="1">
      <alignment horizontal="center" vertical="center" wrapText="1"/>
    </xf>
    <xf numFmtId="168" fontId="0" fillId="0" borderId="2" xfId="0" applyNumberFormat="1" applyBorder="1" applyAlignment="1">
      <alignment horizontal="center" vertical="center" wrapText="1"/>
    </xf>
    <xf numFmtId="164" fontId="0" fillId="0" borderId="2" xfId="0" applyNumberFormat="1" applyBorder="1" applyAlignment="1">
      <alignment horizontal="center" vertical="center" wrapText="1"/>
    </xf>
    <xf numFmtId="169" fontId="0" fillId="0" borderId="2" xfId="0" applyNumberFormat="1" applyBorder="1" applyAlignment="1">
      <alignment horizontal="center" vertical="center" wrapText="1"/>
    </xf>
    <xf numFmtId="0" fontId="1" fillId="6" borderId="25" xfId="0" applyFont="1" applyFill="1" applyAlignment="1">
      <alignment horizontal="left" vertical="center"/>
    </xf>
    <xf numFmtId="0" fontId="0" fillId="0" borderId="0" xfId="0" applyBorder="1"/>
    <xf numFmtId="0" fontId="1" fillId="13" borderId="25" xfId="0" applyFont="1" applyFill="1" applyAlignment="1">
      <alignment horizontal="left" vertical="center" wrapText="1"/>
    </xf>
    <xf numFmtId="0" fontId="0" fillId="0" borderId="14" xfId="0" applyBorder="1" applyAlignment="1">
      <alignment horizontal="left" vertical="center" wrapText="1"/>
    </xf>
    <xf numFmtId="0" fontId="0" fillId="0" borderId="14" xfId="0" applyBorder="1"/>
    <xf numFmtId="0" fontId="1" fillId="13" borderId="18" xfId="0" applyFont="1" applyFill="1" applyBorder="1" applyAlignment="1">
      <alignment horizontal="center" vertical="center"/>
    </xf>
    <xf numFmtId="0" fontId="0" fillId="0" borderId="12" xfId="0" applyBorder="1"/>
    <xf numFmtId="0" fontId="0" fillId="0" borderId="13" xfId="0" applyBorder="1"/>
    <xf numFmtId="0" fontId="0" fillId="0" borderId="17" xfId="0" applyBorder="1" applyAlignment="1">
      <alignment horizontal="left" vertical="center" wrapText="1"/>
    </xf>
    <xf numFmtId="0" fontId="0" fillId="0" borderId="16" xfId="0" applyBorder="1"/>
    <xf numFmtId="0" fontId="0" fillId="0" borderId="17" xfId="0" applyBorder="1"/>
    <xf numFmtId="0" fontId="1" fillId="13" borderId="28" xfId="0" applyFont="1" applyFill="1" applyBorder="1" applyAlignment="1">
      <alignment horizontal="center" vertical="center"/>
    </xf>
    <xf numFmtId="0" fontId="0" fillId="0" borderId="26" xfId="0" applyBorder="1"/>
    <xf numFmtId="0" fontId="0" fillId="0" borderId="27" xfId="0" applyBorder="1"/>
    <xf numFmtId="168" fontId="14" fillId="14" borderId="18" xfId="0" applyNumberFormat="1" applyFont="1" applyFill="1" applyBorder="1" applyAlignment="1">
      <alignment horizontal="left" vertical="center" wrapText="1"/>
    </xf>
    <xf numFmtId="168" fontId="14" fillId="14" borderId="19" xfId="0" applyNumberFormat="1" applyFont="1" applyFill="1" applyBorder="1" applyAlignment="1">
      <alignment horizontal="left" vertical="center" wrapText="1"/>
    </xf>
    <xf numFmtId="0" fontId="0" fillId="0" borderId="0" xfId="0" applyBorder="1" applyAlignment="1">
      <alignment vertical="center"/>
    </xf>
    <xf numFmtId="0" fontId="11" fillId="9" borderId="25" xfId="0" applyFont="1" applyFill="1" applyAlignment="1">
      <alignment horizontal="left" vertical="top" wrapText="1"/>
    </xf>
    <xf numFmtId="0" fontId="9" fillId="8" borderId="25" xfId="0" applyFont="1" applyFill="1" applyAlignment="1">
      <alignment horizontal="left" vertical="center"/>
    </xf>
    <xf numFmtId="0" fontId="1" fillId="2" borderId="25" xfId="0" applyFont="1" applyFill="1" applyAlignment="1">
      <alignment horizontal="left" vertical="top" wrapText="1"/>
    </xf>
    <xf numFmtId="0" fontId="10" fillId="9" borderId="25" xfId="0" applyFont="1" applyFill="1" applyAlignment="1">
      <alignment horizontal="left" vertical="top" wrapText="1"/>
    </xf>
    <xf numFmtId="0" fontId="9" fillId="8" borderId="25" xfId="0" applyFont="1" applyFill="1" applyAlignment="1">
      <alignment horizontal="left" vertical="center" wrapText="1"/>
    </xf>
    <xf numFmtId="0" fontId="0" fillId="3" borderId="25" xfId="0" applyFill="1" applyAlignment="1">
      <alignment vertical="center" wrapText="1"/>
    </xf>
    <xf numFmtId="0" fontId="4" fillId="2" borderId="25" xfId="0" applyFont="1" applyFill="1" applyAlignment="1">
      <alignment wrapText="1"/>
    </xf>
    <xf numFmtId="0" fontId="13" fillId="9" borderId="25" xfId="0" applyFont="1" applyFill="1" applyAlignment="1">
      <alignment wrapText="1"/>
    </xf>
    <xf numFmtId="0" fontId="4" fillId="11" borderId="25" xfId="0" applyFont="1" applyFill="1" applyAlignment="1">
      <alignment horizontal="left" wrapText="1"/>
    </xf>
    <xf numFmtId="0" fontId="12" fillId="10" borderId="25" xfId="0" applyFont="1" applyFill="1" applyAlignment="1">
      <alignment vertical="top" wrapText="1"/>
    </xf>
    <xf numFmtId="0" fontId="1" fillId="9" borderId="25" xfId="0" applyFont="1" applyFill="1" applyAlignment="1">
      <alignment horizontal="left" vertical="center" wrapText="1"/>
    </xf>
  </cellXfs>
  <cellStyles count="1">
    <cellStyle name="Normal" xfId="0" builtinId="0"/>
  </cellStyles>
  <dxfs count="4">
    <dxf>
      <font>
        <color rgb="FFB91C1C"/>
      </font>
      <fill>
        <patternFill>
          <bgColor rgb="FFFDE2E2"/>
        </patternFill>
      </fill>
    </dxf>
    <dxf>
      <font>
        <color rgb="FFB91C1C"/>
      </font>
      <fill>
        <patternFill>
          <bgColor rgb="FFFDE2E2"/>
        </patternFill>
      </fill>
    </dxf>
    <dxf>
      <font>
        <color rgb="FFB91C1C"/>
      </font>
      <fill>
        <patternFill>
          <bgColor rgb="FFFDE2E2"/>
        </patternFill>
      </fill>
    </dxf>
    <dxf>
      <font>
        <color rgb="FFB91C1C"/>
      </font>
      <fill>
        <patternFill>
          <bgColor rgb="FFFD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8"/>
  <sheetViews>
    <sheetView showGridLines="0" tabSelected="1" topLeftCell="G1" workbookViewId="0">
      <selection activeCell="G40" sqref="G40"/>
    </sheetView>
  </sheetViews>
  <sheetFormatPr defaultRowHeight="15" x14ac:dyDescent="0.2"/>
  <cols>
    <col min="1" max="3" width="11.97265625" style="53" customWidth="1"/>
    <col min="4" max="4" width="11.02734375" style="53" customWidth="1"/>
    <col min="5" max="6" width="11.97265625" style="53" customWidth="1"/>
    <col min="7" max="7" width="13.98828125" style="53" customWidth="1"/>
    <col min="8" max="9" width="11.97265625" style="53" customWidth="1"/>
    <col min="10" max="10" width="14.9296875" style="53" customWidth="1"/>
    <col min="11" max="11" width="9.953125" style="53" customWidth="1"/>
    <col min="12" max="12" width="18.0234375" style="53" customWidth="1"/>
    <col min="13" max="14" width="11.02734375" style="53" customWidth="1"/>
    <col min="15" max="15" width="16.0078125" style="53" customWidth="1"/>
    <col min="16" max="16" width="13.98828125" style="53" customWidth="1"/>
    <col min="17" max="19" width="20.04296875" style="53" customWidth="1"/>
    <col min="20" max="20" width="16.0078125" style="53" customWidth="1"/>
    <col min="21" max="21" width="11.97265625" style="53" customWidth="1"/>
    <col min="22" max="23" width="16.0078125" style="53" customWidth="1"/>
    <col min="24" max="24" width="22.05859375" style="53" customWidth="1"/>
    <col min="26" max="26" width="13.046875" style="53" hidden="1" customWidth="1"/>
  </cols>
  <sheetData>
    <row r="1" spans="1:24" ht="24" customHeight="1" x14ac:dyDescent="0.2">
      <c r="A1" s="77" t="s">
        <v>0</v>
      </c>
      <c r="B1" s="78"/>
      <c r="C1" s="78"/>
      <c r="D1" s="78"/>
      <c r="E1" s="78"/>
      <c r="F1" s="78"/>
      <c r="G1" s="78"/>
      <c r="H1" s="78"/>
      <c r="I1" s="78"/>
      <c r="J1" s="78"/>
      <c r="K1" s="78"/>
      <c r="L1" s="78"/>
      <c r="M1" s="78"/>
      <c r="N1" s="78"/>
      <c r="O1" s="78"/>
      <c r="P1" s="78"/>
      <c r="Q1" s="78"/>
      <c r="R1" s="78"/>
      <c r="S1" s="78"/>
      <c r="T1" s="78"/>
      <c r="U1" s="78"/>
      <c r="V1" s="78"/>
      <c r="W1" s="78"/>
      <c r="X1" s="78"/>
    </row>
    <row r="2" spans="1:24" ht="18" customHeight="1" x14ac:dyDescent="0.2">
      <c r="A2" s="3"/>
      <c r="B2" s="3"/>
      <c r="C2" s="3"/>
      <c r="D2" s="3"/>
      <c r="E2" s="3"/>
      <c r="F2" s="3"/>
      <c r="G2" s="3"/>
      <c r="H2" s="3"/>
      <c r="I2" s="3"/>
      <c r="J2" s="3"/>
      <c r="K2" s="3"/>
      <c r="L2" s="3"/>
      <c r="M2" s="3"/>
      <c r="N2" s="3"/>
      <c r="O2" s="3"/>
      <c r="P2" s="3"/>
      <c r="Q2" s="3"/>
      <c r="R2" s="3"/>
      <c r="S2" s="3"/>
      <c r="T2" s="3"/>
      <c r="U2" s="3"/>
      <c r="V2" s="3"/>
      <c r="W2" s="3"/>
      <c r="X2" s="3"/>
    </row>
    <row r="3" spans="1:24" ht="18" customHeight="1" thickBot="1" x14ac:dyDescent="0.25">
      <c r="A3" s="36"/>
      <c r="B3" s="36"/>
      <c r="C3" s="36"/>
      <c r="D3" s="36"/>
      <c r="E3" s="36"/>
      <c r="F3" s="36"/>
      <c r="G3" s="36"/>
      <c r="H3" s="36"/>
      <c r="I3" s="36"/>
      <c r="K3" s="55"/>
      <c r="L3" s="55"/>
      <c r="M3" s="55"/>
      <c r="N3" s="55"/>
      <c r="O3" s="55"/>
      <c r="P3" s="55"/>
    </row>
    <row r="4" spans="1:24" ht="51" customHeight="1" thickBot="1" x14ac:dyDescent="0.25">
      <c r="A4" s="82" t="s">
        <v>1</v>
      </c>
      <c r="B4" s="83"/>
      <c r="C4" s="83"/>
      <c r="D4" s="83"/>
      <c r="E4" s="83"/>
      <c r="F4" s="83"/>
      <c r="G4" s="83"/>
      <c r="H4" s="83"/>
      <c r="I4" s="84"/>
      <c r="J4" s="52"/>
      <c r="K4" s="88" t="s">
        <v>2</v>
      </c>
      <c r="L4" s="89"/>
      <c r="M4" s="89"/>
      <c r="N4" s="89"/>
      <c r="O4" s="89"/>
      <c r="P4" s="90"/>
      <c r="Q4" s="55"/>
    </row>
    <row r="5" spans="1:24" ht="37.5" customHeight="1" x14ac:dyDescent="0.2">
      <c r="A5" s="39" t="s">
        <v>3</v>
      </c>
      <c r="B5" s="7" t="s">
        <v>4</v>
      </c>
      <c r="C5" s="7" t="s">
        <v>5</v>
      </c>
      <c r="D5" s="7" t="s">
        <v>6</v>
      </c>
      <c r="E5" s="7" t="s">
        <v>7</v>
      </c>
      <c r="F5" s="7" t="s">
        <v>8</v>
      </c>
      <c r="G5" s="7" t="s">
        <v>9</v>
      </c>
      <c r="H5" s="7" t="s">
        <v>10</v>
      </c>
      <c r="I5" s="40" t="s">
        <v>11</v>
      </c>
      <c r="J5" s="2"/>
      <c r="K5" s="56" t="s">
        <v>12</v>
      </c>
      <c r="L5" s="57">
        <f>SUMIF($J$18:$J$498,"&gt;0",$J$18:$J$498)</f>
        <v>32927.599999999999</v>
      </c>
      <c r="M5" s="80" t="s">
        <v>13</v>
      </c>
      <c r="N5" s="78"/>
      <c r="O5" s="78"/>
      <c r="P5" s="81"/>
      <c r="Q5" s="36"/>
    </row>
    <row r="6" spans="1:24" ht="37.5" customHeight="1" x14ac:dyDescent="0.2">
      <c r="A6" s="41" t="s">
        <v>14</v>
      </c>
      <c r="B6" s="4" t="s">
        <v>15</v>
      </c>
      <c r="C6" s="27">
        <f>SUMIF($A$18:$A$498,$B6,$G$18:$G$498)</f>
        <v>75.128</v>
      </c>
      <c r="D6" s="58" t="str">
        <f ca="1">IF($B6="","",IF(COUNTIFS($A$18:$A$498,$B6,$B$18:$B$498,"&gt;="&amp;TODAY()-30,$C$18:$C$498,"&gt;0")&gt;0,"Yes","No"))</f>
        <v>Yes</v>
      </c>
      <c r="E6" s="59">
        <f ca="1">IF(D6&lt;&gt;"Yes","N/A",LOOKUP(2,1/(($A$18:$A$498=$B6)*($B$18:$B$498&gt;=TODAY()-30)*($C$18:$C$498&gt;0)),$B$18:$B$498)+31)</f>
        <v>46132</v>
      </c>
      <c r="F6" s="60">
        <f>SUMIF($A$18:$A$498,$B6,$J$18:$J$498)</f>
        <v>0</v>
      </c>
      <c r="G6" s="59" t="str">
        <f>IFERROR(LOOKUP(2,1/(($A$18:$A$498=$B6)*($J$18:$J$498&lt;0)*($E$18:$E$498&lt;&gt;"")),$E$18:$E$498),"")</f>
        <v/>
      </c>
      <c r="H6" s="59" t="str">
        <f>IF(G6="","",G6+31)</f>
        <v/>
      </c>
      <c r="I6" s="42" t="str">
        <f ca="1">IF(H6="","",MAX(0,H6-TODAY()))</f>
        <v/>
      </c>
      <c r="J6" s="2"/>
      <c r="K6" s="56" t="s">
        <v>16</v>
      </c>
      <c r="L6" s="57">
        <f>ABS(SUMIF($J$18:$J$498,"&lt;0",$J$18:$J$498))</f>
        <v>2447.9640699999954</v>
      </c>
      <c r="M6" s="80" t="s">
        <v>17</v>
      </c>
      <c r="N6" s="78"/>
      <c r="O6" s="78"/>
      <c r="P6" s="81"/>
      <c r="Q6" s="36"/>
    </row>
    <row r="7" spans="1:24" ht="37.5" customHeight="1" thickBot="1" x14ac:dyDescent="0.25">
      <c r="A7" s="43" t="s">
        <v>14</v>
      </c>
      <c r="B7" s="5" t="s">
        <v>18</v>
      </c>
      <c r="C7" s="28">
        <f>SUMIF($A$18:$A$498,$B7,$G$18:$G$498)</f>
        <v>275.98699999999997</v>
      </c>
      <c r="D7" s="61" t="str">
        <f ca="1">IF($B7="","",IF(COUNTIFS($A$18:$A$498,$B7,$B$18:$B$498,"&gt;="&amp;TODAY()-30,$C$18:$C$498,"&gt;0")&gt;0,"Yes","No"))</f>
        <v>Yes</v>
      </c>
      <c r="E7" s="62">
        <f ca="1">IF(D7&lt;&gt;"Yes","N/A",LOOKUP(2,1/(($A$18:$A$498=$B7)*($B$18:$B$498&gt;=TODAY()-30)*($C$18:$C$498&gt;0)),$B$18:$B$498)+31)</f>
        <v>46139</v>
      </c>
      <c r="F7" s="63">
        <f>SUMIF($A$18:$A$498,$B7,$J$18:$J$498)</f>
        <v>0</v>
      </c>
      <c r="G7" s="62" t="str">
        <f>IFERROR(LOOKUP(2,1/(($A$18:$A$498=$B7)*($J$18:$J$498&lt;0)*($E$18:$E$498&lt;&gt;"")),$E$18:$E$498),"")</f>
        <v/>
      </c>
      <c r="H7" s="62" t="str">
        <f>IF(G7="","",G7+31)</f>
        <v/>
      </c>
      <c r="I7" s="44" t="str">
        <f ca="1">IF(H7="","",MAX(0,H7-TODAY()))</f>
        <v/>
      </c>
      <c r="J7" s="2"/>
      <c r="K7" s="64" t="s">
        <v>19</v>
      </c>
      <c r="L7" s="65">
        <f>L5-L6</f>
        <v>30479.635930000004</v>
      </c>
      <c r="M7" s="85" t="s">
        <v>20</v>
      </c>
      <c r="N7" s="86"/>
      <c r="O7" s="86"/>
      <c r="P7" s="87"/>
      <c r="Q7" s="36"/>
    </row>
    <row r="8" spans="1:24" ht="37.5" customHeight="1" x14ac:dyDescent="0.2">
      <c r="A8" s="43" t="s">
        <v>14</v>
      </c>
      <c r="B8" s="5" t="s">
        <v>21</v>
      </c>
      <c r="C8" s="28">
        <f>SUMIF($A$18:$A$498,$B8,$G$18:$G$498)</f>
        <v>0</v>
      </c>
      <c r="D8" s="61" t="str">
        <f ca="1">IF($B8="","",IF(COUNTIFS($A$18:$A$498,$B8,$B$18:$B$498,"&gt;="&amp;TODAY()-30,$C$18:$C$498,"&gt;0")&gt;0,"Yes","No"))</f>
        <v>Yes</v>
      </c>
      <c r="E8" s="62">
        <f ca="1">IF(D8&lt;&gt;"Yes","N/A",LOOKUP(2,1/(($A$18:$A$498=$B8)*($B$18:$B$498&gt;=TODAY()-30)*($C$18:$C$498&gt;0)),$B$18:$B$498)+31)</f>
        <v>46129</v>
      </c>
      <c r="F8" s="63">
        <f>SUMIF($A$18:$A$498,$B8,$J$18:$J$498)</f>
        <v>-1098.4799999999977</v>
      </c>
      <c r="G8" s="62">
        <f>IFERROR(LOOKUP(2,1/(($A$18:$A$498=$B8)*($J$18:$J$498&lt;0)*($E$18:$E$498&lt;&gt;"")),$E$18:$E$498),"")</f>
        <v>46108</v>
      </c>
      <c r="H8" s="62">
        <f>IF(G8="","",G8+31)</f>
        <v>46139</v>
      </c>
      <c r="I8" s="44">
        <f ca="1">IF(H8="","",MAX(0,H8-TODAY()))</f>
        <v>30</v>
      </c>
      <c r="J8" s="36"/>
      <c r="K8" s="56" t="s">
        <v>22</v>
      </c>
      <c r="L8" s="37">
        <f>COUNTIFS($A$18:$A$378,"&lt;&gt;",$G$18:$G$378,"&gt;0")</f>
        <v>9</v>
      </c>
      <c r="M8" s="80" t="s">
        <v>23</v>
      </c>
      <c r="N8" s="78"/>
      <c r="O8" s="78"/>
      <c r="P8" s="81"/>
      <c r="Q8" s="36"/>
    </row>
    <row r="9" spans="1:24" ht="37.5" customHeight="1" x14ac:dyDescent="0.2">
      <c r="A9" s="43" t="s">
        <v>14</v>
      </c>
      <c r="B9" s="5" t="s">
        <v>24</v>
      </c>
      <c r="C9" s="28">
        <f>SUMIF($A$18:$A$498,$B9,$G$18:$G$498)</f>
        <v>0</v>
      </c>
      <c r="D9" s="61" t="str">
        <f ca="1">IF($B9="","",IF(COUNTIFS($A$18:$A$498,$B9,$B$18:$B$498,"&gt;="&amp;TODAY()-30,$C$18:$C$498,"&gt;0")&gt;0,"Yes","No"))</f>
        <v>Yes</v>
      </c>
      <c r="E9" s="62">
        <f ca="1">IF(D9&lt;&gt;"Yes","N/A",LOOKUP(2,1/(($A$18:$A$498=$B9)*($B$18:$B$498&gt;=TODAY()-30)*($C$18:$C$498&gt;0)),$B$18:$B$498)+31)</f>
        <v>46129</v>
      </c>
      <c r="F9" s="63">
        <f>SUMIF($A$18:$A$498,$B9,$J$18:$J$498)</f>
        <v>-554.48909999999864</v>
      </c>
      <c r="G9" s="62">
        <f>IFERROR(LOOKUP(2,1/(($A$18:$A$498=$B9)*($J$18:$J$498&lt;0)*($E$18:$E$498&lt;&gt;"")),$E$18:$E$498),"")</f>
        <v>46101</v>
      </c>
      <c r="H9" s="62">
        <f>IF(G9="","",G9+31)</f>
        <v>46132</v>
      </c>
      <c r="I9" s="44">
        <f ca="1">IF(H9="","",MAX(0,H9-TODAY()))</f>
        <v>23</v>
      </c>
      <c r="J9" s="36"/>
      <c r="K9" s="56" t="s">
        <v>25</v>
      </c>
      <c r="L9" s="37">
        <f>COUNTIFS($A$18:$A$378,"&lt;&gt;",$K$18:$K$378,"Yes")</f>
        <v>0</v>
      </c>
      <c r="M9" s="80" t="s">
        <v>26</v>
      </c>
      <c r="N9" s="78"/>
      <c r="O9" s="78"/>
      <c r="P9" s="81"/>
      <c r="Q9" s="36"/>
    </row>
    <row r="10" spans="1:24" ht="37.5" customHeight="1" x14ac:dyDescent="0.2">
      <c r="A10" s="43" t="s">
        <v>27</v>
      </c>
      <c r="B10" s="5" t="s">
        <v>28</v>
      </c>
      <c r="C10" s="28">
        <f>SUMIF($A$18:$A$498,$B10,$G$18:$G$498)</f>
        <v>356.16200000000003</v>
      </c>
      <c r="D10" s="61" t="str">
        <f ca="1">IF($B10="","",IF(COUNTIFS($A$18:$A$498,$B10,$B$18:$B$498,"&gt;="&amp;TODAY()-30,$C$18:$C$498,"&gt;0")&gt;0,"Yes","No"))</f>
        <v>Yes</v>
      </c>
      <c r="E10" s="62">
        <f ca="1">IF(D10&lt;&gt;"Yes","N/A",LOOKUP(2,1/(($A$18:$A$498=$B10)*($B$18:$B$498&gt;=TODAY()-30)*($C$18:$C$498&gt;0)),$B$18:$B$498)+31)</f>
        <v>46132</v>
      </c>
      <c r="F10" s="63">
        <f>SUMIF($A$18:$A$498,$B10,$J$18:$J$498)</f>
        <v>0</v>
      </c>
      <c r="G10" s="62" t="str">
        <f>IFERROR(LOOKUP(2,1/(($A$18:$A$498=$B10)*($J$18:$J$498&lt;0)*($E$18:$E$498&lt;&gt;"")),$E$18:$E$498),"")</f>
        <v/>
      </c>
      <c r="H10" s="62" t="str">
        <f>IF(G10="","",G10+31)</f>
        <v/>
      </c>
      <c r="I10" s="44" t="str">
        <f ca="1">IF(H10="","",MAX(0,H10-TODAY()))</f>
        <v/>
      </c>
      <c r="J10" s="36"/>
      <c r="K10" s="56" t="s">
        <v>29</v>
      </c>
      <c r="L10" s="37">
        <f>COUNTIFS($A$380:$A$796,"&lt;&gt;",$G$380:$G$796,"&gt;0")</f>
        <v>4</v>
      </c>
      <c r="M10" s="80" t="s">
        <v>30</v>
      </c>
      <c r="N10" s="78"/>
      <c r="O10" s="78"/>
      <c r="P10" s="81"/>
      <c r="Q10" s="36"/>
    </row>
    <row r="11" spans="1:24" ht="37.5" customHeight="1" thickBot="1" x14ac:dyDescent="0.25">
      <c r="A11" s="43" t="s">
        <v>27</v>
      </c>
      <c r="B11" s="5" t="s">
        <v>31</v>
      </c>
      <c r="C11" s="28">
        <f>SUMIF($A$18:$A$498,$B11,$G$18:$G$498)</f>
        <v>0</v>
      </c>
      <c r="D11" s="61" t="str">
        <f ca="1">IF($B11="","",IF(COUNTIFS($A$18:$A$498,$B11,$B$18:$B$498,"&gt;="&amp;TODAY()-30,$C$18:$C$498,"&gt;0")&gt;0,"Yes","No"))</f>
        <v>Yes</v>
      </c>
      <c r="E11" s="62">
        <f ca="1">IF(D11&lt;&gt;"Yes","N/A",LOOKUP(2,1/(($A$18:$A$498=$B11)*($B$18:$B$498&gt;=TODAY()-30)*($C$18:$C$498&gt;0)),$B$18:$B$498)+31)</f>
        <v>46129</v>
      </c>
      <c r="F11" s="63">
        <f>SUMIF($A$18:$A$498,$B11,$J$18:$J$498)</f>
        <v>-794.9949699999994</v>
      </c>
      <c r="G11" s="62">
        <f>IFERROR(LOOKUP(2,1/(($A$18:$A$498=$B11)*($J$18:$J$498&lt;0)*($E$18:$E$498&lt;&gt;"")),$E$18:$E$498),"")</f>
        <v>46101</v>
      </c>
      <c r="H11" s="62">
        <f>IF(G11="","",G11+31)</f>
        <v>46132</v>
      </c>
      <c r="I11" s="44">
        <f ca="1">IF(H11="","",MAX(0,H11-TODAY()))</f>
        <v>23</v>
      </c>
      <c r="J11" s="36"/>
      <c r="K11" s="64" t="s">
        <v>32</v>
      </c>
      <c r="L11" s="38">
        <f>COUNTIFS($A$380:$A$796,"&lt;&gt;",$K$380:$K$796,"Yes")</f>
        <v>0</v>
      </c>
      <c r="M11" s="85" t="s">
        <v>33</v>
      </c>
      <c r="N11" s="86"/>
      <c r="O11" s="86"/>
      <c r="P11" s="87"/>
      <c r="Q11" s="36"/>
    </row>
    <row r="12" spans="1:24" ht="37.5" customHeight="1" x14ac:dyDescent="0.2">
      <c r="A12" s="43" t="s">
        <v>14</v>
      </c>
      <c r="B12" s="5" t="s">
        <v>34</v>
      </c>
      <c r="C12" s="28">
        <f>SUMIF($A$18:$A$498,$B12,$G$18:$G$498)</f>
        <v>0</v>
      </c>
      <c r="D12" s="61" t="str">
        <f ca="1">IF($B12="","",IF(COUNTIFS($A$18:$A$498,$B12,$B$18:$B$498,"&gt;="&amp;TODAY()-30,$C$18:$C$498,"&gt;0")&gt;0,"Yes","No"))</f>
        <v>No</v>
      </c>
      <c r="E12" s="62" t="str">
        <f ca="1">IF(D12&lt;&gt;"Yes","N/A",LOOKUP(2,1/(($A$18:$A$498=$B12)*($B$18:$B$498&gt;=TODAY()-30)*($C$18:$C$498&gt;0)),$B$18:$B$498)+31)</f>
        <v>N/A</v>
      </c>
      <c r="F12" s="63">
        <f>SUMIF($A$18:$A$498,$B12,$J$18:$J$498)</f>
        <v>0</v>
      </c>
      <c r="G12" s="62" t="str">
        <f>IFERROR(LOOKUP(2,1/(($A$18:$A$498=$B12)*($J$18:$J$498&lt;0)*($E$18:$E$498&lt;&gt;"")),$E$18:$E$498),"")</f>
        <v/>
      </c>
      <c r="H12" s="62" t="str">
        <f>IF(G12="","",G12+31)</f>
        <v/>
      </c>
      <c r="I12" s="44" t="str">
        <f ca="1">IF(H12="","",MAX(0,H12-TODAY()))</f>
        <v/>
      </c>
      <c r="J12" s="36"/>
      <c r="K12" s="36"/>
      <c r="L12" s="36"/>
      <c r="M12" s="36"/>
      <c r="N12" s="36"/>
      <c r="O12" s="36"/>
      <c r="P12" s="36"/>
      <c r="Q12" s="36"/>
    </row>
    <row r="13" spans="1:24" ht="37.5" customHeight="1" x14ac:dyDescent="0.2">
      <c r="A13" s="43" t="s">
        <v>14</v>
      </c>
      <c r="B13" s="5" t="s">
        <v>35</v>
      </c>
      <c r="C13" s="28">
        <f>SUMIF($A$18:$A$498,$B13,$G$18:$G$498)</f>
        <v>0</v>
      </c>
      <c r="D13" s="61" t="str">
        <f ca="1">IF($B13="","",IF(COUNTIFS($A$18:$A$498,$B13,$B$18:$B$498,"&gt;="&amp;TODAY()-30,$C$18:$C$498,"&gt;0")&gt;0,"Yes","No"))</f>
        <v>No</v>
      </c>
      <c r="E13" s="62" t="str">
        <f ca="1">IF(D13&lt;&gt;"Yes","N/A",LOOKUP(2,1/(($A$18:$A$498=$B13)*($B$18:$B$498&gt;=TODAY()-30)*($C$18:$C$498&gt;0)),$B$18:$B$498)+31)</f>
        <v>N/A</v>
      </c>
      <c r="F13" s="63">
        <f>SUMIF($A$18:$A$498,$B13,$J$18:$J$498)</f>
        <v>0</v>
      </c>
      <c r="G13" s="62" t="str">
        <f>IFERROR(LOOKUP(2,1/(($A$18:$A$498=$B13)*($J$18:$J$498&lt;0)*($E$18:$E$498&lt;&gt;"")),$E$18:$E$498),"")</f>
        <v/>
      </c>
      <c r="H13" s="62" t="str">
        <f>IF(G13="","",G13+31)</f>
        <v/>
      </c>
      <c r="I13" s="44" t="str">
        <f ca="1">IF(H13="","",MAX(0,H13-TODAY()))</f>
        <v/>
      </c>
      <c r="J13" s="36"/>
      <c r="L13" s="36"/>
      <c r="M13" s="36"/>
      <c r="N13" s="36"/>
      <c r="O13" s="36"/>
      <c r="P13" s="36"/>
      <c r="Q13" s="36"/>
    </row>
    <row r="14" spans="1:24" ht="37.5" customHeight="1" x14ac:dyDescent="0.2">
      <c r="A14" s="43" t="s">
        <v>14</v>
      </c>
      <c r="B14" s="5" t="s">
        <v>36</v>
      </c>
      <c r="C14" s="28">
        <f>SUMIF($A$18:$A$498,$B14,$G$18:$G$498)</f>
        <v>0</v>
      </c>
      <c r="D14" s="61" t="str">
        <f ca="1">IF($B14="","",IF(COUNTIFS($A$18:$A$498,$B14,$B$18:$B$498,"&gt;="&amp;TODAY()-30,$C$18:$C$498,"&gt;0")&gt;0,"Yes","No"))</f>
        <v>No</v>
      </c>
      <c r="E14" s="62" t="str">
        <f ca="1">IF(D14&lt;&gt;"Yes","N/A",LOOKUP(2,1/(($A$18:$A$498=$B14)*($B$18:$B$498&gt;=TODAY()-30)*($C$18:$C$498&gt;0)),$B$18:$B$498)+31)</f>
        <v>N/A</v>
      </c>
      <c r="F14" s="63">
        <f>SUMIF($A$18:$A$498,$B14,$J$18:$J$498)</f>
        <v>0</v>
      </c>
      <c r="G14" s="62" t="str">
        <f>IFERROR(LOOKUP(2,1/(($A$18:$A$498=$B14)*($J$18:$J$498&lt;0)*($E$18:$E$498&lt;&gt;"")),$E$18:$E$498),"")</f>
        <v/>
      </c>
      <c r="H14" s="62" t="str">
        <f>IF(G14="","",G14+31)</f>
        <v/>
      </c>
      <c r="I14" s="44" t="str">
        <f ca="1">IF(H14="","",MAX(0,H14-TODAY()))</f>
        <v/>
      </c>
      <c r="J14" s="36"/>
      <c r="L14" s="36"/>
      <c r="M14" s="36"/>
      <c r="N14" s="36"/>
      <c r="O14" s="36"/>
      <c r="P14" s="36"/>
      <c r="Q14" s="36"/>
    </row>
    <row r="15" spans="1:24" ht="37.5" customHeight="1" thickBot="1" x14ac:dyDescent="0.25">
      <c r="A15" s="45" t="s">
        <v>27</v>
      </c>
      <c r="B15" s="46" t="s">
        <v>37</v>
      </c>
      <c r="C15" s="47">
        <f>SUMIF($A$18:$A$498,$B15,$G$18:$G$498)</f>
        <v>0</v>
      </c>
      <c r="D15" s="66" t="str">
        <f ca="1">IF($B15="","",IF(COUNTIFS($A$18:$A$498,$B15,$B$18:$B$498,"&gt;="&amp;TODAY()-30,$C$18:$C$498,"&gt;0")&gt;0,"Yes","No"))</f>
        <v>No</v>
      </c>
      <c r="E15" s="67" t="str">
        <f ca="1">IF(D15&lt;&gt;"Yes","N/A",LOOKUP(2,1/(($A$18:$A$498=$B15)*($B$18:$B$498&gt;=TODAY()-30)*($C$18:$C$498&gt;0)),$B$18:$B$498)+31)</f>
        <v>N/A</v>
      </c>
      <c r="F15" s="68">
        <f>SUMIF($A$18:$A$498,$B15,$J$18:$J$498)</f>
        <v>0</v>
      </c>
      <c r="G15" s="67" t="str">
        <f>IFERROR(LOOKUP(2,1/(($A$18:$A$498=$B15)*($J$18:$J$498&lt;0)*($E$18:$E$498&lt;&gt;"")),$E$18:$E$498),"")</f>
        <v/>
      </c>
      <c r="H15" s="67" t="str">
        <f>IF(G15="","",G15+31)</f>
        <v/>
      </c>
      <c r="I15" s="48" t="str">
        <f ca="1">IF(H15="","",MAX(0,H15-TODAY()))</f>
        <v/>
      </c>
      <c r="J15" s="49"/>
      <c r="K15" s="13"/>
      <c r="L15" s="13"/>
      <c r="M15" s="13"/>
      <c r="N15" s="13"/>
      <c r="O15" s="13"/>
      <c r="P15" s="13"/>
      <c r="Q15" s="13"/>
      <c r="R15" s="13"/>
      <c r="S15" s="13"/>
      <c r="T15" s="13"/>
      <c r="U15" s="13"/>
      <c r="V15" s="13"/>
      <c r="W15" s="13"/>
      <c r="X15" s="13"/>
    </row>
    <row r="16" spans="1:24" ht="51" customHeight="1" x14ac:dyDescent="0.2">
      <c r="A16" s="79" t="s">
        <v>38</v>
      </c>
      <c r="B16" s="78"/>
      <c r="C16" s="78"/>
      <c r="D16" s="78"/>
      <c r="E16" s="78"/>
      <c r="F16" s="78"/>
      <c r="G16" s="78"/>
      <c r="H16" s="78"/>
      <c r="I16" s="78"/>
      <c r="J16" s="78"/>
      <c r="K16" s="78"/>
      <c r="L16" s="78"/>
      <c r="M16" s="78"/>
      <c r="N16" s="78"/>
      <c r="O16" s="78"/>
      <c r="P16" s="78"/>
      <c r="Q16" s="78"/>
      <c r="R16" s="78"/>
      <c r="S16" s="78"/>
      <c r="T16" s="78"/>
      <c r="U16" s="78"/>
      <c r="V16" s="78"/>
      <c r="W16" s="78"/>
      <c r="X16" s="78"/>
    </row>
    <row r="17" spans="1:26" ht="51.2" customHeight="1" x14ac:dyDescent="0.2">
      <c r="A17" s="6" t="s">
        <v>4</v>
      </c>
      <c r="B17" s="7" t="s">
        <v>39</v>
      </c>
      <c r="C17" s="7" t="s">
        <v>40</v>
      </c>
      <c r="D17" s="7" t="s">
        <v>41</v>
      </c>
      <c r="E17" s="7" t="s">
        <v>42</v>
      </c>
      <c r="F17" s="7" t="s">
        <v>43</v>
      </c>
      <c r="G17" s="7" t="s">
        <v>44</v>
      </c>
      <c r="H17" s="7" t="s">
        <v>45</v>
      </c>
      <c r="I17" s="7" t="s">
        <v>46</v>
      </c>
      <c r="J17" s="7" t="s">
        <v>47</v>
      </c>
      <c r="K17" s="7" t="s">
        <v>48</v>
      </c>
      <c r="L17" s="7" t="s">
        <v>49</v>
      </c>
      <c r="M17" s="7" t="s">
        <v>50</v>
      </c>
      <c r="N17" s="7" t="s">
        <v>51</v>
      </c>
      <c r="O17" s="7" t="s">
        <v>52</v>
      </c>
      <c r="P17" s="7" t="s">
        <v>53</v>
      </c>
      <c r="Q17" s="7" t="s">
        <v>54</v>
      </c>
      <c r="R17" s="7" t="s">
        <v>55</v>
      </c>
      <c r="S17" s="7" t="s">
        <v>56</v>
      </c>
      <c r="T17" s="7" t="s">
        <v>57</v>
      </c>
      <c r="U17" s="7" t="s">
        <v>58</v>
      </c>
      <c r="V17" s="7" t="s">
        <v>59</v>
      </c>
      <c r="W17" s="7" t="s">
        <v>60</v>
      </c>
      <c r="X17" s="8" t="s">
        <v>61</v>
      </c>
      <c r="Z17" s="8" t="s">
        <v>62</v>
      </c>
    </row>
    <row r="18" spans="1:26" ht="34.15" customHeight="1" x14ac:dyDescent="0.2">
      <c r="A18" s="9" t="s">
        <v>63</v>
      </c>
      <c r="B18" s="69">
        <v>45338</v>
      </c>
      <c r="C18" s="30">
        <v>580</v>
      </c>
      <c r="D18" s="70">
        <v>27.25</v>
      </c>
      <c r="E18" s="69">
        <v>46090</v>
      </c>
      <c r="F18" s="70">
        <v>38.15</v>
      </c>
      <c r="G18" s="30">
        <v>0</v>
      </c>
      <c r="H18" s="63">
        <f>IF(OR(C18="",D18=""),"",C18*D18)</f>
        <v>15805</v>
      </c>
      <c r="I18" s="63">
        <f>IF(OR(E18="",F18="",M18&lt;=0),"",M18*F18)</f>
        <v>22127</v>
      </c>
      <c r="J18" s="63">
        <f>IF(I18="","",I18-(M18*D18))</f>
        <v>6322</v>
      </c>
      <c r="K18" s="28" t="str">
        <f>IF(A18="","",IF(T18&gt;0,"Yes","No"))</f>
        <v>No</v>
      </c>
      <c r="L18" s="28" t="str">
        <f>IF(A18="","",A18&amp;"-"&amp;TEXT(B18,"yyyymmdd")&amp;"-R"&amp;ROW())</f>
        <v>EPD-20240216-R18</v>
      </c>
      <c r="M18" s="28">
        <f>IF(OR(C18="",G18=""),"",C18-G18)</f>
        <v>580</v>
      </c>
      <c r="N18" s="63" t="str">
        <f>IF(OR(M18&lt;=0,J18&gt;=0),"",ABS(J18)/M18)</f>
        <v/>
      </c>
      <c r="O18" s="63" t="str">
        <f>IF(OR(A18="",M18&lt;=0,J18&gt;=0),"",MIN(M18,SUMPRODUCT(($A$18:$A$379=A18)*(IFERROR($B$18:$B$379&gt;=E18-30,0))*(IFERROR($B$18:$B$379&lt;=E18+30,0))*($G$18:$G$379&gt;0)*($L$18:$L$379&lt;&gt;L18)*($G$18:$G$379))+SUMPRODUCT(($A$381:$A$498=A18)*(IFERROR($B$381:$B$498&gt;=E18-30,0))*(IFERROR($B$381:$B$498&lt;=E18+30,0))*($G$381:$G$498&gt;0)*($L$381:$L$498&lt;&gt;L18)*($G$381:$G$498))))</f>
        <v/>
      </c>
      <c r="P18" s="28" t="str">
        <f>IF(OR(A18="",M18&lt;=0,J18&gt;=0),"",SUMPRODUCT(($A$18:$A$379=A18)*(IFERROR($B$18:$B$379&gt;=E18-30,0))*(IFERROR($B$18:$B$379&lt;=E18+30,0))*($G$18:$G$379&gt;0)*($L$18:$L$379&lt;&gt;L18))+SUMPRODUCT(($A$381:$A$498=A18)*(IFERROR($B$381:$B$498&gt;=E18-30,0))*(IFERROR($B$381:$B$498&lt;=E18+30,0))*($G$381:$G$498&gt;0)*($L$381:$L$498&lt;&gt;L18)))</f>
        <v/>
      </c>
      <c r="Q18" s="31" t="str">
        <f>IF(P18=1,IFERROR(INDEX($L$18:$L$379,MATCH(1,INDEX(($A$18:$A$379=A18)*(IFERROR($B$18:$B$379&gt;=E18-30,0))*(IFERROR($B$18:$B$379&lt;=E18+30,0))*($G$18:$G$379&gt;0)*($L$18:$L$379&lt;&gt;L18),0),0)),IFERROR(INDEX($L$381:$L$498,MATCH(1,INDEX(($A$381:$A$498=A18)*(IFERROR($B$381:$B$498&gt;=E18-30,0))*(IFERROR($B$381:$B$498&lt;=E18+30,0))*($G$381:$G$498&gt;0)*($L$381:$L$498&lt;&gt;L18),0),0)),"")),"")</f>
        <v/>
      </c>
      <c r="R18" s="32"/>
      <c r="S18" s="31" t="str">
        <f>IF(R18&lt;&gt;"",R18,Q18)</f>
        <v/>
      </c>
      <c r="T18" s="63">
        <f>IF(OR(N18="",O18=0),0,N18*O18)</f>
        <v>0</v>
      </c>
      <c r="U18" s="63" t="str">
        <f>IF(COUNTIF($S$18:$S$498,L18)=0,"",SUMIF($S$18:$S$498,L18,$T$18:$T$498))</f>
        <v/>
      </c>
      <c r="V18" s="63">
        <f>IF(H18="","",IFERROR(H18+U18,H18))</f>
        <v>15805</v>
      </c>
      <c r="W18" s="63">
        <f>IF(OR(V18="",C18=""),"",V18/C18)</f>
        <v>27.25</v>
      </c>
      <c r="X18" s="11" t="str">
        <f>IF(A18="","",IF(AND(U18&lt;&gt;"",U18&lt;&gt;0,M18=0),"Replacement lot receiving wash basis",IF(J18="","",IF(J18&gt;=0,"",IF(O18=0,"No replacement buy found",IF(P18&gt;1,"Manual selection needed","Auto matched"))))))</f>
        <v/>
      </c>
      <c r="Z18" t="str">
        <f>IF(K18="Yes",COUNTIF($K$18:K18,"Yes"),"")</f>
        <v/>
      </c>
    </row>
    <row r="19" spans="1:26" ht="34.15" customHeight="1" x14ac:dyDescent="0.2">
      <c r="A19" s="9" t="s">
        <v>63</v>
      </c>
      <c r="B19" s="69">
        <v>45338</v>
      </c>
      <c r="C19" s="30">
        <v>615</v>
      </c>
      <c r="D19" s="70">
        <v>27.25</v>
      </c>
      <c r="E19" s="69">
        <v>46090</v>
      </c>
      <c r="F19" s="70">
        <v>38.15</v>
      </c>
      <c r="G19" s="30">
        <v>0</v>
      </c>
      <c r="H19" s="63">
        <f>IF(OR(C19="",D19=""),"",C19*D19)</f>
        <v>16758.75</v>
      </c>
      <c r="I19" s="63">
        <f>IF(OR(E19="",F19="",M19&lt;=0),"",M19*F19)</f>
        <v>23462.25</v>
      </c>
      <c r="J19" s="63">
        <f>IF(I19="","",I19-(M19*D19))</f>
        <v>6703.5</v>
      </c>
      <c r="K19" s="28" t="str">
        <f>IF(A19="","",IF(T19&gt;0,"Yes","No"))</f>
        <v>No</v>
      </c>
      <c r="L19" s="28" t="str">
        <f>IF(A19="","",A19&amp;"-"&amp;TEXT(B19,"yyyymmdd")&amp;"-R"&amp;ROW())</f>
        <v>EPD-20240216-R19</v>
      </c>
      <c r="M19" s="28">
        <f>IF(OR(C19="",G19=""),"",C19-G19)</f>
        <v>615</v>
      </c>
      <c r="N19" s="63" t="str">
        <f>IF(OR(M19&lt;=0,J19&gt;=0),"",ABS(J19)/M19)</f>
        <v/>
      </c>
      <c r="O19" s="63" t="str">
        <f>IF(OR(A19="",M19&lt;=0,J19&gt;=0),"",MIN(M19,SUMPRODUCT(($A$18:$A$379=A19)*(IFERROR($B$18:$B$379&gt;=E19-30,0))*(IFERROR($B$18:$B$379&lt;=E19+30,0))*($G$18:$G$379&gt;0)*($L$18:$L$379&lt;&gt;L19)*($G$18:$G$379))+SUMPRODUCT(($A$381:$A$498=A19)*(IFERROR($B$381:$B$498&gt;=E19-30,0))*(IFERROR($B$381:$B$498&lt;=E19+30,0))*($G$381:$G$498&gt;0)*($L$381:$L$498&lt;&gt;L19)*($G$381:$G$498))))</f>
        <v/>
      </c>
      <c r="P19" s="28" t="str">
        <f>IF(OR(A19="",M19&lt;=0,J19&gt;=0),"",SUMPRODUCT(($A$18:$A$379=A19)*(IFERROR($B$18:$B$379&gt;=E19-30,0))*(IFERROR($B$18:$B$379&lt;=E19+30,0))*($G$18:$G$379&gt;0)*($L$18:$L$379&lt;&gt;L19))+SUMPRODUCT(($A$381:$A$498=A19)*(IFERROR($B$381:$B$498&gt;=E19-30,0))*(IFERROR($B$381:$B$498&lt;=E19+30,0))*($G$381:$G$498&gt;0)*($L$381:$L$498&lt;&gt;L19)))</f>
        <v/>
      </c>
      <c r="Q19" s="31" t="str">
        <f>IF(P19=1,IFERROR(INDEX($L$18:$L$379,MATCH(1,INDEX(($A$18:$A$379=A19)*(IFERROR($B$18:$B$379&gt;=E19-30,0))*(IFERROR($B$18:$B$379&lt;=E19+30,0))*($G$18:$G$379&gt;0)*($L$18:$L$379&lt;&gt;L19),0),0)),IFERROR(INDEX($L$381:$L$498,MATCH(1,INDEX(($A$381:$A$498=A19)*(IFERROR($B$381:$B$498&gt;=E19-30,0))*(IFERROR($B$381:$B$498&lt;=E19+30,0))*($G$381:$G$498&gt;0)*($L$381:$L$498&lt;&gt;L19),0),0)),"")),"")</f>
        <v/>
      </c>
      <c r="R19" s="32"/>
      <c r="S19" s="31" t="str">
        <f>IF(R19&lt;&gt;"",R19,Q19)</f>
        <v/>
      </c>
      <c r="T19" s="63">
        <f>IF(OR(N19="",O19=0),0,N19*O19)</f>
        <v>0</v>
      </c>
      <c r="U19" s="63" t="str">
        <f>IF(COUNTIF($S$18:$S$498,L19)=0,"",SUMIF($S$18:$S$498,L19,$T$18:$T$498))</f>
        <v/>
      </c>
      <c r="V19" s="63">
        <f>IF(H19="","",IFERROR(H19+U19,H19))</f>
        <v>16758.75</v>
      </c>
      <c r="W19" s="63">
        <f>IF(OR(V19="",C19=""),"",V19/C19)</f>
        <v>27.25</v>
      </c>
      <c r="X19" s="11" t="str">
        <f>IF(A19="","",IF(AND(U19&lt;&gt;"",U19&lt;&gt;0,M19=0),"Replacement lot receiving wash basis",IF(J19="","",IF(J19&gt;=0,"",IF(O19=0,"No replacement buy found",IF(P19&gt;1,"Manual selection needed","Auto matched"))))))</f>
        <v/>
      </c>
      <c r="Z19" t="str">
        <f>IF(K19="Yes",COUNTIF($K$18:K19,"Yes"),"")</f>
        <v/>
      </c>
    </row>
    <row r="20" spans="1:26" ht="34.15" customHeight="1" x14ac:dyDescent="0.2">
      <c r="A20" s="9" t="s">
        <v>63</v>
      </c>
      <c r="B20" s="69">
        <v>45706</v>
      </c>
      <c r="C20" s="30">
        <v>580</v>
      </c>
      <c r="D20" s="70">
        <v>33.72</v>
      </c>
      <c r="E20" s="69">
        <v>46090</v>
      </c>
      <c r="F20" s="70">
        <v>38.15</v>
      </c>
      <c r="G20" s="30">
        <v>0</v>
      </c>
      <c r="H20" s="63">
        <f>IF(OR(C20="",D20=""),"",C20*D20)</f>
        <v>19557.599999999999</v>
      </c>
      <c r="I20" s="63">
        <f>IF(OR(E20="",F20="",M20&lt;=0),"",M20*F20)</f>
        <v>22127</v>
      </c>
      <c r="J20" s="63">
        <f>IF(I20="","",I20-(M20*D20))</f>
        <v>2569.4000000000015</v>
      </c>
      <c r="K20" s="28" t="str">
        <f>IF(A20="","",IF(T20&gt;0,"Yes","No"))</f>
        <v>No</v>
      </c>
      <c r="L20" s="28" t="str">
        <f>IF(A20="","",A20&amp;"-"&amp;TEXT(B20,"yyyymmdd")&amp;"-R"&amp;ROW())</f>
        <v>EPD-20250218-R20</v>
      </c>
      <c r="M20" s="28">
        <f>IF(OR(C20="",G20=""),"",C20-G20)</f>
        <v>580</v>
      </c>
      <c r="N20" s="63" t="str">
        <f>IF(OR(M20&lt;=0,J20&gt;=0),"",ABS(J20)/M20)</f>
        <v/>
      </c>
      <c r="O20" s="63" t="str">
        <f>IF(OR(A20="",M20&lt;=0,J20&gt;=0),"",MIN(M20,SUMPRODUCT(($A$18:$A$379=A20)*(IFERROR($B$18:$B$379&gt;=E20-30,0))*(IFERROR($B$18:$B$379&lt;=E20+30,0))*($G$18:$G$379&gt;0)*($L$18:$L$379&lt;&gt;L20)*($G$18:$G$379))+SUMPRODUCT(($A$381:$A$498=A20)*(IFERROR($B$381:$B$498&gt;=E20-30,0))*(IFERROR($B$381:$B$498&lt;=E20+30,0))*($G$381:$G$498&gt;0)*($L$381:$L$498&lt;&gt;L20)*($G$381:$G$498))))</f>
        <v/>
      </c>
      <c r="P20" s="28" t="str">
        <f>IF(OR(A20="",M20&lt;=0,J20&gt;=0),"",SUMPRODUCT(($A$18:$A$379=A20)*(IFERROR($B$18:$B$379&gt;=E20-30,0))*(IFERROR($B$18:$B$379&lt;=E20+30,0))*($G$18:$G$379&gt;0)*($L$18:$L$379&lt;&gt;L20))+SUMPRODUCT(($A$381:$A$498=A20)*(IFERROR($B$381:$B$498&gt;=E20-30,0))*(IFERROR($B$381:$B$498&lt;=E20+30,0))*($G$381:$G$498&gt;0)*($L$381:$L$498&lt;&gt;L20)))</f>
        <v/>
      </c>
      <c r="Q20" s="31" t="str">
        <f>IF(P20=1,IFERROR(INDEX($L$18:$L$379,MATCH(1,INDEX(($A$18:$A$379=A20)*(IFERROR($B$18:$B$379&gt;=E20-30,0))*(IFERROR($B$18:$B$379&lt;=E20+30,0))*($G$18:$G$379&gt;0)*($L$18:$L$379&lt;&gt;L20),0),0)),IFERROR(INDEX($L$381:$L$498,MATCH(1,INDEX(($A$381:$A$498=A20)*(IFERROR($B$381:$B$498&gt;=E20-30,0))*(IFERROR($B$381:$B$498&lt;=E20+30,0))*($G$381:$G$498&gt;0)*($L$381:$L$498&lt;&gt;L20),0),0)),"")),"")</f>
        <v/>
      </c>
      <c r="R20" s="32"/>
      <c r="S20" s="31" t="str">
        <f>IF(R20&lt;&gt;"",R20,Q20)</f>
        <v/>
      </c>
      <c r="T20" s="63">
        <f>IF(OR(N20="",O20=0),0,N20*O20)</f>
        <v>0</v>
      </c>
      <c r="U20" s="63" t="str">
        <f>IF(COUNTIF($S$18:$S$498,L20)=0,"",SUMIF($S$18:$S$498,L20,$T$18:$T$498))</f>
        <v/>
      </c>
      <c r="V20" s="63">
        <f>IF(H20="","",IFERROR(H20+U20,H20))</f>
        <v>19557.599999999999</v>
      </c>
      <c r="W20" s="63">
        <f>IF(OR(V20="",C20=""),"",V20/C20)</f>
        <v>33.72</v>
      </c>
      <c r="X20" s="11" t="str">
        <f>IF(A20="","",IF(AND(U20&lt;&gt;"",U20&lt;&gt;0,M20=0),"Replacement lot receiving wash basis",IF(J20="","",IF(J20&gt;=0,"",IF(O20=0,"No replacement buy found",IF(P20&gt;1,"Manual selection needed","Auto matched"))))))</f>
        <v/>
      </c>
      <c r="Z20" t="str">
        <f>IF(K20="Yes",COUNTIF($K$18:K20,"Yes"),"")</f>
        <v/>
      </c>
    </row>
    <row r="21" spans="1:26" ht="34.15" customHeight="1" x14ac:dyDescent="0.2">
      <c r="A21" s="9" t="s">
        <v>63</v>
      </c>
      <c r="B21" s="69">
        <v>45706</v>
      </c>
      <c r="C21" s="30">
        <v>30</v>
      </c>
      <c r="D21" s="70">
        <v>33.72</v>
      </c>
      <c r="E21" s="69">
        <v>46090</v>
      </c>
      <c r="F21" s="70">
        <v>38</v>
      </c>
      <c r="G21" s="30">
        <v>0</v>
      </c>
      <c r="H21" s="63">
        <f>IF(OR(C21="",D21=""),"",C21*D21)</f>
        <v>1011.5999999999999</v>
      </c>
      <c r="I21" s="63">
        <f>IF(OR(E21="",F21="",M21&lt;=0),"",M21*F21)</f>
        <v>1140</v>
      </c>
      <c r="J21" s="63">
        <f>IF(I21="","",I21-(M21*D21))</f>
        <v>128.40000000000009</v>
      </c>
      <c r="K21" s="28" t="str">
        <f>IF(A21="","",IF(T21&gt;0,"Yes","No"))</f>
        <v>No</v>
      </c>
      <c r="L21" s="28" t="str">
        <f>IF(A21="","",A21&amp;"-"&amp;TEXT(B21,"yyyymmdd")&amp;"-R"&amp;ROW())</f>
        <v>EPD-20250218-R21</v>
      </c>
      <c r="M21" s="28">
        <f>IF(OR(C21="",G21=""),"",C21-G21)</f>
        <v>30</v>
      </c>
      <c r="N21" s="63" t="str">
        <f>IF(OR(M21&lt;=0,J21&gt;=0),"",ABS(J21)/M21)</f>
        <v/>
      </c>
      <c r="O21" s="63" t="str">
        <f>IF(OR(A21="",M21&lt;=0,J21&gt;=0),"",MIN(M21,SUMPRODUCT(($A$18:$A$379=A21)*(IFERROR($B$18:$B$379&gt;=E21-30,0))*(IFERROR($B$18:$B$379&lt;=E21+30,0))*($G$18:$G$379&gt;0)*($L$18:$L$379&lt;&gt;L21)*($G$18:$G$379))+SUMPRODUCT(($A$381:$A$498=A21)*(IFERROR($B$381:$B$498&gt;=E21-30,0))*(IFERROR($B$381:$B$498&lt;=E21+30,0))*($G$381:$G$498&gt;0)*($L$381:$L$498&lt;&gt;L21)*($G$381:$G$498))))</f>
        <v/>
      </c>
      <c r="P21" s="28" t="str">
        <f>IF(OR(A21="",M21&lt;=0,J21&gt;=0),"",SUMPRODUCT(($A$18:$A$379=A21)*(IFERROR($B$18:$B$379&gt;=E21-30,0))*(IFERROR($B$18:$B$379&lt;=E21+30,0))*($G$18:$G$379&gt;0)*($L$18:$L$379&lt;&gt;L21))+SUMPRODUCT(($A$381:$A$498=A21)*(IFERROR($B$381:$B$498&gt;=E21-30,0))*(IFERROR($B$381:$B$498&lt;=E21+30,0))*($G$381:$G$498&gt;0)*($L$381:$L$498&lt;&gt;L21)))</f>
        <v/>
      </c>
      <c r="Q21" s="31" t="str">
        <f>IF(P21=1,IFERROR(INDEX($L$18:$L$379,MATCH(1,INDEX(($A$18:$A$379=A21)*(IFERROR($B$18:$B$379&gt;=E21-30,0))*(IFERROR($B$18:$B$379&lt;=E21+30,0))*($G$18:$G$379&gt;0)*($L$18:$L$379&lt;&gt;L21),0),0)),IFERROR(INDEX($L$381:$L$498,MATCH(1,INDEX(($A$381:$A$498=A21)*(IFERROR($B$381:$B$498&gt;=E21-30,0))*(IFERROR($B$381:$B$498&lt;=E21+30,0))*($G$381:$G$498&gt;0)*($L$381:$L$498&lt;&gt;L21),0),0)),"")),"")</f>
        <v/>
      </c>
      <c r="R21" s="32"/>
      <c r="S21" s="31" t="str">
        <f>IF(R21&lt;&gt;"",R21,Q21)</f>
        <v/>
      </c>
      <c r="T21" s="63">
        <f>IF(OR(N21="",O21=0),0,N21*O21)</f>
        <v>0</v>
      </c>
      <c r="U21" s="63" t="str">
        <f>IF(COUNTIF($S$18:$S$498,L21)=0,"",SUMIF($S$18:$S$498,L21,$T$18:$T$498))</f>
        <v/>
      </c>
      <c r="V21" s="63">
        <f>IF(H21="","",IFERROR(H21+U21,H21))</f>
        <v>1011.5999999999999</v>
      </c>
      <c r="W21" s="63">
        <f>IF(OR(V21="",C21=""),"",V21/C21)</f>
        <v>33.72</v>
      </c>
      <c r="X21" s="11" t="str">
        <f>IF(A21="","",IF(AND(U21&lt;&gt;"",U21&lt;&gt;0,M21=0),"Replacement lot receiving wash basis",IF(J21="","",IF(J21&gt;=0,"",IF(O21=0,"No replacement buy found",IF(P21&gt;1,"Manual selection needed","Auto matched"))))))</f>
        <v/>
      </c>
      <c r="Z21" t="str">
        <f>IF(K21="Yes",COUNTIF($K$18:K21,"Yes"),"")</f>
        <v/>
      </c>
    </row>
    <row r="22" spans="1:26" ht="34.15" customHeight="1" x14ac:dyDescent="0.2">
      <c r="A22" s="9" t="s">
        <v>63</v>
      </c>
      <c r="B22" s="69">
        <v>45706</v>
      </c>
      <c r="C22" s="30">
        <v>585</v>
      </c>
      <c r="D22" s="70">
        <v>33.72</v>
      </c>
      <c r="E22" s="69">
        <v>46090</v>
      </c>
      <c r="F22" s="70">
        <v>38</v>
      </c>
      <c r="G22" s="30">
        <v>0</v>
      </c>
      <c r="H22" s="63">
        <f>IF(OR(C22="",D22=""),"",C22*D22)</f>
        <v>19726.2</v>
      </c>
      <c r="I22" s="63">
        <f>IF(OR(E22="",F22="",M22&lt;=0),"",M22*F22)</f>
        <v>22230</v>
      </c>
      <c r="J22" s="63">
        <f>IF(I22="","",I22-(M22*D22))</f>
        <v>2503.7999999999993</v>
      </c>
      <c r="K22" s="28" t="str">
        <f>IF(A22="","",IF(T22&gt;0,"Yes","No"))</f>
        <v>No</v>
      </c>
      <c r="L22" s="28" t="str">
        <f>IF(A22="","",A22&amp;"-"&amp;TEXT(B22,"yyyymmdd")&amp;"-R"&amp;ROW())</f>
        <v>EPD-20250218-R22</v>
      </c>
      <c r="M22" s="28">
        <f>IF(OR(C22="",G22=""),"",C22-G22)</f>
        <v>585</v>
      </c>
      <c r="N22" s="63" t="str">
        <f>IF(OR(M22&lt;=0,J22&gt;=0),"",ABS(J22)/M22)</f>
        <v/>
      </c>
      <c r="O22" s="63" t="str">
        <f>IF(OR(A22="",M22&lt;=0,J22&gt;=0),"",MIN(M22,SUMPRODUCT(($A$18:$A$379=A22)*(IFERROR($B$18:$B$379&gt;=E22-30,0))*(IFERROR($B$18:$B$379&lt;=E22+30,0))*($G$18:$G$379&gt;0)*($L$18:$L$379&lt;&gt;L22)*($G$18:$G$379))+SUMPRODUCT(($A$381:$A$498=A22)*(IFERROR($B$381:$B$498&gt;=E22-30,0))*(IFERROR($B$381:$B$498&lt;=E22+30,0))*($G$381:$G$498&gt;0)*($L$381:$L$498&lt;&gt;L22)*($G$381:$G$498))))</f>
        <v/>
      </c>
      <c r="P22" s="28" t="str">
        <f>IF(OR(A22="",M22&lt;=0,J22&gt;=0),"",SUMPRODUCT(($A$18:$A$379=A22)*(IFERROR($B$18:$B$379&gt;=E22-30,0))*(IFERROR($B$18:$B$379&lt;=E22+30,0))*($G$18:$G$379&gt;0)*($L$18:$L$379&lt;&gt;L22))+SUMPRODUCT(($A$381:$A$498=A22)*(IFERROR($B$381:$B$498&gt;=E22-30,0))*(IFERROR($B$381:$B$498&lt;=E22+30,0))*($G$381:$G$498&gt;0)*($L$381:$L$498&lt;&gt;L22)))</f>
        <v/>
      </c>
      <c r="Q22" s="31" t="str">
        <f>IF(P22=1,IFERROR(INDEX($L$18:$L$379,MATCH(1,INDEX(($A$18:$A$379=A22)*(IFERROR($B$18:$B$379&gt;=E22-30,0))*(IFERROR($B$18:$B$379&lt;=E22+30,0))*($G$18:$G$379&gt;0)*($L$18:$L$379&lt;&gt;L22),0),0)),IFERROR(INDEX($L$381:$L$498,MATCH(1,INDEX(($A$381:$A$498=A22)*(IFERROR($B$381:$B$498&gt;=E22-30,0))*(IFERROR($B$381:$B$498&lt;=E22+30,0))*($G$381:$G$498&gt;0)*($L$381:$L$498&lt;&gt;L22),0),0)),"")),"")</f>
        <v/>
      </c>
      <c r="R22" s="32"/>
      <c r="S22" s="31" t="str">
        <f>IF(R22&lt;&gt;"",R22,Q22)</f>
        <v/>
      </c>
      <c r="T22" s="63">
        <f>IF(OR(N22="",O22=0),0,N22*O22)</f>
        <v>0</v>
      </c>
      <c r="U22" s="63" t="str">
        <f>IF(COUNTIF($S$18:$S$498,L22)=0,"",SUMIF($S$18:$S$498,L22,$T$18:$T$498))</f>
        <v/>
      </c>
      <c r="V22" s="63">
        <f>IF(H22="","",IFERROR(H22+U22,H22))</f>
        <v>19726.2</v>
      </c>
      <c r="W22" s="63">
        <f>IF(OR(V22="",C22=""),"",V22/C22)</f>
        <v>33.72</v>
      </c>
      <c r="X22" s="11" t="str">
        <f>IF(A22="","",IF(AND(U22&lt;&gt;"",U22&lt;&gt;0,M22=0),"Replacement lot receiving wash basis",IF(J22="","",IF(J22&gt;=0,"",IF(O22=0,"No replacement buy found",IF(P22&gt;1,"Manual selection needed","Auto matched"))))))</f>
        <v/>
      </c>
      <c r="Z22" t="str">
        <f>IF(K22="Yes",COUNTIF($K$18:K22,"Yes"),"")</f>
        <v/>
      </c>
    </row>
    <row r="23" spans="1:26" ht="34.15" customHeight="1" x14ac:dyDescent="0.2">
      <c r="A23" s="9" t="s">
        <v>63</v>
      </c>
      <c r="B23" s="69">
        <v>45706</v>
      </c>
      <c r="C23" s="30">
        <v>562</v>
      </c>
      <c r="D23" s="70">
        <v>33.72</v>
      </c>
      <c r="E23" s="69">
        <v>46090</v>
      </c>
      <c r="F23" s="70">
        <v>38</v>
      </c>
      <c r="G23" s="30">
        <v>0</v>
      </c>
      <c r="H23" s="63">
        <f>IF(OR(C23="",D23=""),"",C23*D23)</f>
        <v>18950.64</v>
      </c>
      <c r="I23" s="63">
        <f>IF(OR(E23="",F23="",M23&lt;=0),"",M23*F23)</f>
        <v>21356</v>
      </c>
      <c r="J23" s="63">
        <f>IF(I23="","",I23-(M23*D23))</f>
        <v>2405.3600000000006</v>
      </c>
      <c r="K23" s="28" t="str">
        <f>IF(A23="","",IF(T23&gt;0,"Yes","No"))</f>
        <v>No</v>
      </c>
      <c r="L23" s="28" t="str">
        <f>IF(A23="","",A23&amp;"-"&amp;TEXT(B23,"yyyymmdd")&amp;"-R"&amp;ROW())</f>
        <v>EPD-20250218-R23</v>
      </c>
      <c r="M23" s="28">
        <f>IF(OR(C23="",G23=""),"",C23-G23)</f>
        <v>562</v>
      </c>
      <c r="N23" s="63" t="str">
        <f>IF(OR(M23&lt;=0,J23&gt;=0),"",ABS(J23)/M23)</f>
        <v/>
      </c>
      <c r="O23" s="63" t="str">
        <f>IF(OR(A23="",M23&lt;=0,J23&gt;=0),"",MIN(M23,SUMPRODUCT(($A$18:$A$379=A23)*(IFERROR($B$18:$B$379&gt;=E23-30,0))*(IFERROR($B$18:$B$379&lt;=E23+30,0))*($G$18:$G$379&gt;0)*($L$18:$L$379&lt;&gt;L23)*($G$18:$G$379))+SUMPRODUCT(($A$381:$A$498=A23)*(IFERROR($B$381:$B$498&gt;=E23-30,0))*(IFERROR($B$381:$B$498&lt;=E23+30,0))*($G$381:$G$498&gt;0)*($L$381:$L$498&lt;&gt;L23)*($G$381:$G$498))))</f>
        <v/>
      </c>
      <c r="P23" s="28" t="str">
        <f>IF(OR(A23="",M23&lt;=0,J23&gt;=0),"",SUMPRODUCT(($A$18:$A$379=A23)*(IFERROR($B$18:$B$379&gt;=E23-30,0))*(IFERROR($B$18:$B$379&lt;=E23+30,0))*($G$18:$G$379&gt;0)*($L$18:$L$379&lt;&gt;L23))+SUMPRODUCT(($A$381:$A$498=A23)*(IFERROR($B$381:$B$498&gt;=E23-30,0))*(IFERROR($B$381:$B$498&lt;=E23+30,0))*($G$381:$G$498&gt;0)*($L$381:$L$498&lt;&gt;L23)))</f>
        <v/>
      </c>
      <c r="Q23" s="31" t="str">
        <f>IF(P23=1,IFERROR(INDEX($L$18:$L$379,MATCH(1,INDEX(($A$18:$A$379=A23)*(IFERROR($B$18:$B$379&gt;=E23-30,0))*(IFERROR($B$18:$B$379&lt;=E23+30,0))*($G$18:$G$379&gt;0)*($L$18:$L$379&lt;&gt;L23),0),0)),IFERROR(INDEX($L$381:$L$498,MATCH(1,INDEX(($A$381:$A$498=A23)*(IFERROR($B$381:$B$498&gt;=E23-30,0))*(IFERROR($B$381:$B$498&lt;=E23+30,0))*($G$381:$G$498&gt;0)*($L$381:$L$498&lt;&gt;L23),0),0)),"")),"")</f>
        <v/>
      </c>
      <c r="R23" s="32"/>
      <c r="S23" s="31" t="str">
        <f>IF(R23&lt;&gt;"",R23,Q23)</f>
        <v/>
      </c>
      <c r="T23" s="63">
        <f>IF(OR(N23="",O23=0),0,N23*O23)</f>
        <v>0</v>
      </c>
      <c r="U23" s="63" t="str">
        <f>IF(COUNTIF($S$18:$S$498,L23)=0,"",SUMIF($S$18:$S$498,L23,$T$18:$T$498))</f>
        <v/>
      </c>
      <c r="V23" s="63">
        <f>IF(H23="","",IFERROR(H23+U23,H23))</f>
        <v>18950.64</v>
      </c>
      <c r="W23" s="63">
        <f>IF(OR(V23="",C23=""),"",V23/C23)</f>
        <v>33.72</v>
      </c>
      <c r="X23" s="11" t="str">
        <f>IF(A23="","",IF(AND(U23&lt;&gt;"",U23&lt;&gt;0,M23=0),"Replacement lot receiving wash basis",IF(J23="","",IF(J23&gt;=0,"",IF(O23=0,"No replacement buy found",IF(P23&gt;1,"Manual selection needed","Auto matched"))))))</f>
        <v/>
      </c>
      <c r="Z23" t="str">
        <f>IF(K23="Yes",COUNTIF($K$18:K23,"Yes"),"")</f>
        <v/>
      </c>
    </row>
    <row r="24" spans="1:26" ht="34.15" customHeight="1" x14ac:dyDescent="0.2">
      <c r="A24" s="9" t="s">
        <v>63</v>
      </c>
      <c r="B24" s="69">
        <v>45706</v>
      </c>
      <c r="C24" s="30">
        <v>580</v>
      </c>
      <c r="D24" s="70">
        <v>33.72</v>
      </c>
      <c r="E24" s="69">
        <v>46090</v>
      </c>
      <c r="F24" s="70">
        <v>38</v>
      </c>
      <c r="G24" s="30">
        <v>0</v>
      </c>
      <c r="H24" s="63">
        <f>IF(OR(C24="",D24=""),"",C24*D24)</f>
        <v>19557.599999999999</v>
      </c>
      <c r="I24" s="63">
        <f>IF(OR(E24="",F24="",M24&lt;=0),"",M24*F24)</f>
        <v>22040</v>
      </c>
      <c r="J24" s="63">
        <f>IF(I24="","",I24-(M24*D24))</f>
        <v>2482.4000000000015</v>
      </c>
      <c r="K24" s="28" t="str">
        <f>IF(A24="","",IF(T24&gt;0,"Yes","No"))</f>
        <v>No</v>
      </c>
      <c r="L24" s="28" t="str">
        <f>IF(A24="","",A24&amp;"-"&amp;TEXT(B24,"yyyymmdd")&amp;"-R"&amp;ROW())</f>
        <v>EPD-20250218-R24</v>
      </c>
      <c r="M24" s="28">
        <f>IF(OR(C24="",G24=""),"",C24-G24)</f>
        <v>580</v>
      </c>
      <c r="N24" s="63" t="str">
        <f>IF(OR(M24&lt;=0,J24&gt;=0),"",ABS(J24)/M24)</f>
        <v/>
      </c>
      <c r="O24" s="63" t="str">
        <f>IF(OR(A24="",M24&lt;=0,J24&gt;=0),"",MIN(M24,SUMPRODUCT(($A$18:$A$379=A24)*(IFERROR($B$18:$B$379&gt;=E24-30,0))*(IFERROR($B$18:$B$379&lt;=E24+30,0))*($G$18:$G$379&gt;0)*($L$18:$L$379&lt;&gt;L24)*($G$18:$G$379))+SUMPRODUCT(($A$381:$A$498=A24)*(IFERROR($B$381:$B$498&gt;=E24-30,0))*(IFERROR($B$381:$B$498&lt;=E24+30,0))*($G$381:$G$498&gt;0)*($L$381:$L$498&lt;&gt;L24)*($G$381:$G$498))))</f>
        <v/>
      </c>
      <c r="P24" s="28" t="str">
        <f>IF(OR(A24="",M24&lt;=0,J24&gt;=0),"",SUMPRODUCT(($A$18:$A$379=A24)*(IFERROR($B$18:$B$379&gt;=E24-30,0))*(IFERROR($B$18:$B$379&lt;=E24+30,0))*($G$18:$G$379&gt;0)*($L$18:$L$379&lt;&gt;L24))+SUMPRODUCT(($A$381:$A$498=A24)*(IFERROR($B$381:$B$498&gt;=E24-30,0))*(IFERROR($B$381:$B$498&lt;=E24+30,0))*($G$381:$G$498&gt;0)*($L$381:$L$498&lt;&gt;L24)))</f>
        <v/>
      </c>
      <c r="Q24" s="31" t="str">
        <f>IF(P24=1,IFERROR(INDEX($L$18:$L$379,MATCH(1,INDEX(($A$18:$A$379=A24)*(IFERROR($B$18:$B$379&gt;=E24-30,0))*(IFERROR($B$18:$B$379&lt;=E24+30,0))*($G$18:$G$379&gt;0)*($L$18:$L$379&lt;&gt;L24),0),0)),IFERROR(INDEX($L$381:$L$498,MATCH(1,INDEX(($A$381:$A$498=A24)*(IFERROR($B$381:$B$498&gt;=E24-30,0))*(IFERROR($B$381:$B$498&lt;=E24+30,0))*($G$381:$G$498&gt;0)*($L$381:$L$498&lt;&gt;L24),0),0)),"")),"")</f>
        <v/>
      </c>
      <c r="R24" s="32"/>
      <c r="S24" s="31" t="str">
        <f>IF(R24&lt;&gt;"",R24,Q24)</f>
        <v/>
      </c>
      <c r="T24" s="63">
        <f>IF(OR(N24="",O24=0),0,N24*O24)</f>
        <v>0</v>
      </c>
      <c r="U24" s="63" t="str">
        <f>IF(COUNTIF($S$18:$S$498,L24)=0,"",SUMIF($S$18:$S$498,L24,$T$18:$T$498))</f>
        <v/>
      </c>
      <c r="V24" s="63">
        <f>IF(H24="","",IFERROR(H24+U24,H24))</f>
        <v>19557.599999999999</v>
      </c>
      <c r="W24" s="63">
        <f>IF(OR(V24="",C24=""),"",V24/C24)</f>
        <v>33.72</v>
      </c>
      <c r="X24" s="11" t="str">
        <f>IF(A24="","",IF(AND(U24&lt;&gt;"",U24&lt;&gt;0,M24=0),"Replacement lot receiving wash basis",IF(J24="","",IF(J24&gt;=0,"",IF(O24=0,"No replacement buy found",IF(P24&gt;1,"Manual selection needed","Auto matched"))))))</f>
        <v/>
      </c>
      <c r="Z24" t="str">
        <f>IF(K24="Yes",COUNTIF($K$18:K24,"Yes"),"")</f>
        <v/>
      </c>
    </row>
    <row r="25" spans="1:26" ht="34.15" customHeight="1" x14ac:dyDescent="0.2">
      <c r="A25" s="9" t="s">
        <v>63</v>
      </c>
      <c r="B25" s="69">
        <v>45338</v>
      </c>
      <c r="C25" s="30">
        <v>580</v>
      </c>
      <c r="D25" s="70">
        <v>27.25</v>
      </c>
      <c r="E25" s="69">
        <v>46098</v>
      </c>
      <c r="F25" s="70">
        <v>37.79</v>
      </c>
      <c r="G25" s="30">
        <v>0</v>
      </c>
      <c r="H25" s="63">
        <f>IF(OR(C25="",D25=""),"",C25*D25)</f>
        <v>15805</v>
      </c>
      <c r="I25" s="63">
        <f>IF(OR(E25="",F25="",M25&lt;=0),"",M25*F25)</f>
        <v>21918.2</v>
      </c>
      <c r="J25" s="63">
        <f>IF(I25="","",I25-(M25*D25))</f>
        <v>6113.2000000000007</v>
      </c>
      <c r="K25" s="28" t="str">
        <f>IF(A25="","",IF(T25&gt;0,"Yes","No"))</f>
        <v>No</v>
      </c>
      <c r="L25" s="28" t="str">
        <f>IF(A25="","",A25&amp;"-"&amp;TEXT(B25,"yyyymmdd")&amp;"-R"&amp;ROW())</f>
        <v>EPD-20240216-R25</v>
      </c>
      <c r="M25" s="28">
        <f>IF(OR(C25="",G25=""),"",C25-G25)</f>
        <v>580</v>
      </c>
      <c r="N25" s="63" t="str">
        <f>IF(OR(M25&lt;=0,J25&gt;=0),"",ABS(J25)/M25)</f>
        <v/>
      </c>
      <c r="O25" s="63" t="str">
        <f>IF(OR(A25="",M25&lt;=0,J25&gt;=0),"",MIN(M25,SUMPRODUCT(($A$18:$A$379=A25)*(IFERROR($B$18:$B$379&gt;=E25-30,0))*(IFERROR($B$18:$B$379&lt;=E25+30,0))*($G$18:$G$379&gt;0)*($L$18:$L$379&lt;&gt;L25)*($G$18:$G$379))+SUMPRODUCT(($A$381:$A$498=A25)*(IFERROR($B$381:$B$498&gt;=E25-30,0))*(IFERROR($B$381:$B$498&lt;=E25+30,0))*($G$381:$G$498&gt;0)*($L$381:$L$498&lt;&gt;L25)*($G$381:$G$498))))</f>
        <v/>
      </c>
      <c r="P25" s="28" t="str">
        <f>IF(OR(A25="",M25&lt;=0,J25&gt;=0),"",SUMPRODUCT(($A$18:$A$379=A25)*(IFERROR($B$18:$B$379&gt;=E25-30,0))*(IFERROR($B$18:$B$379&lt;=E25+30,0))*($G$18:$G$379&gt;0)*($L$18:$L$379&lt;&gt;L25))+SUMPRODUCT(($A$381:$A$498=A25)*(IFERROR($B$381:$B$498&gt;=E25-30,0))*(IFERROR($B$381:$B$498&lt;=E25+30,0))*($G$381:$G$498&gt;0)*($L$381:$L$498&lt;&gt;L25)))</f>
        <v/>
      </c>
      <c r="Q25" s="31" t="str">
        <f>IF(P25=1,IFERROR(INDEX($L$18:$L$379,MATCH(1,INDEX(($A$18:$A$379=A25)*(IFERROR($B$18:$B$379&gt;=E25-30,0))*(IFERROR($B$18:$B$379&lt;=E25+30,0))*($G$18:$G$379&gt;0)*($L$18:$L$379&lt;&gt;L25),0),0)),IFERROR(INDEX($L$381:$L$498,MATCH(1,INDEX(($A$381:$A$498=A25)*(IFERROR($B$381:$B$498&gt;=E25-30,0))*(IFERROR($B$381:$B$498&lt;=E25+30,0))*($G$381:$G$498&gt;0)*($L$381:$L$498&lt;&gt;L25),0),0)),"")),"")</f>
        <v/>
      </c>
      <c r="R25" s="32"/>
      <c r="S25" s="31" t="str">
        <f>IF(R25&lt;&gt;"",R25,Q25)</f>
        <v/>
      </c>
      <c r="T25" s="63">
        <f>IF(OR(N25="",O25=0),0,N25*O25)</f>
        <v>0</v>
      </c>
      <c r="U25" s="63" t="str">
        <f>IF(COUNTIF($S$18:$S$498,L25)=0,"",SUMIF($S$18:$S$498,L25,$T$18:$T$498))</f>
        <v/>
      </c>
      <c r="V25" s="63">
        <f>IF(H25="","",IFERROR(H25+U25,H25))</f>
        <v>15805</v>
      </c>
      <c r="W25" s="63">
        <f>IF(OR(V25="",C25=""),"",V25/C25)</f>
        <v>27.25</v>
      </c>
      <c r="X25" s="11" t="str">
        <f>IF(A25="","",IF(AND(U25&lt;&gt;"",U25&lt;&gt;0,M25=0),"Replacement lot receiving wash basis",IF(J25="","",IF(J25&gt;=0,"",IF(O25=0,"No replacement buy found",IF(P25&gt;1,"Manual selection needed","Auto matched"))))))</f>
        <v/>
      </c>
      <c r="Z25" t="str">
        <f>IF(K25="Yes",COUNTIF($K$18:K25,"Yes"),"")</f>
        <v/>
      </c>
    </row>
    <row r="26" spans="1:26" ht="34.15" customHeight="1" x14ac:dyDescent="0.2">
      <c r="A26" s="9" t="s">
        <v>63</v>
      </c>
      <c r="B26" s="69">
        <v>45338</v>
      </c>
      <c r="C26" s="30">
        <v>351</v>
      </c>
      <c r="D26" s="70">
        <v>27.25</v>
      </c>
      <c r="E26" s="69">
        <v>46098</v>
      </c>
      <c r="F26" s="70">
        <v>37.79</v>
      </c>
      <c r="G26" s="30">
        <v>0</v>
      </c>
      <c r="H26" s="63">
        <f>IF(OR(C26="",D26=""),"",C26*D26)</f>
        <v>9564.75</v>
      </c>
      <c r="I26" s="63">
        <f>IF(OR(E26="",F26="",M26&lt;=0),"",M26*F26)</f>
        <v>13264.289999999999</v>
      </c>
      <c r="J26" s="63">
        <f>IF(I26="","",I26-(M26*D26))</f>
        <v>3699.5399999999991</v>
      </c>
      <c r="K26" s="28" t="str">
        <f>IF(A26="","",IF(T26&gt;0,"Yes","No"))</f>
        <v>No</v>
      </c>
      <c r="L26" s="28" t="str">
        <f>IF(A26="","",A26&amp;"-"&amp;TEXT(B26,"yyyymmdd")&amp;"-R"&amp;ROW())</f>
        <v>EPD-20240216-R26</v>
      </c>
      <c r="M26" s="28">
        <f>IF(OR(C26="",G26=""),"",C26-G26)</f>
        <v>351</v>
      </c>
      <c r="N26" s="63" t="str">
        <f>IF(OR(M26&lt;=0,J26&gt;=0),"",ABS(J26)/M26)</f>
        <v/>
      </c>
      <c r="O26" s="63" t="str">
        <f>IF(OR(A26="",M26&lt;=0,J26&gt;=0),"",MIN(M26,SUMPRODUCT(($A$18:$A$379=A26)*(IFERROR($B$18:$B$379&gt;=E26-30,0))*(IFERROR($B$18:$B$379&lt;=E26+30,0))*($G$18:$G$379&gt;0)*($L$18:$L$379&lt;&gt;L26)*($G$18:$G$379))+SUMPRODUCT(($A$381:$A$498=A26)*(IFERROR($B$381:$B$498&gt;=E26-30,0))*(IFERROR($B$381:$B$498&lt;=E26+30,0))*($G$381:$G$498&gt;0)*($L$381:$L$498&lt;&gt;L26)*($G$381:$G$498))))</f>
        <v/>
      </c>
      <c r="P26" s="28" t="str">
        <f>IF(OR(A26="",M26&lt;=0,J26&gt;=0),"",SUMPRODUCT(($A$18:$A$379=A26)*(IFERROR($B$18:$B$379&gt;=E26-30,0))*(IFERROR($B$18:$B$379&lt;=E26+30,0))*($G$18:$G$379&gt;0)*($L$18:$L$379&lt;&gt;L26))+SUMPRODUCT(($A$381:$A$498=A26)*(IFERROR($B$381:$B$498&gt;=E26-30,0))*(IFERROR($B$381:$B$498&lt;=E26+30,0))*($G$381:$G$498&gt;0)*($L$381:$L$498&lt;&gt;L26)))</f>
        <v/>
      </c>
      <c r="Q26" s="31" t="str">
        <f>IF(P26=1,IFERROR(INDEX($L$18:$L$379,MATCH(1,INDEX(($A$18:$A$379=A26)*(IFERROR($B$18:$B$379&gt;=E26-30,0))*(IFERROR($B$18:$B$379&lt;=E26+30,0))*($G$18:$G$379&gt;0)*($L$18:$L$379&lt;&gt;L26),0),0)),IFERROR(INDEX($L$381:$L$498,MATCH(1,INDEX(($A$381:$A$498=A26)*(IFERROR($B$381:$B$498&gt;=E26-30,0))*(IFERROR($B$381:$B$498&lt;=E26+30,0))*($G$381:$G$498&gt;0)*($L$381:$L$498&lt;&gt;L26),0),0)),"")),"")</f>
        <v/>
      </c>
      <c r="R26" s="32"/>
      <c r="S26" s="31" t="str">
        <f>IF(R26&lt;&gt;"",R26,Q26)</f>
        <v/>
      </c>
      <c r="T26" s="63">
        <f>IF(OR(N26="",O26=0),0,N26*O26)</f>
        <v>0</v>
      </c>
      <c r="U26" s="63" t="str">
        <f>IF(COUNTIF($S$18:$S$498,L26)=0,"",SUMIF($S$18:$S$498,L26,$T$18:$T$498))</f>
        <v/>
      </c>
      <c r="V26" s="63">
        <f>IF(H26="","",IFERROR(H26+U26,H26))</f>
        <v>9564.75</v>
      </c>
      <c r="W26" s="63">
        <f>IF(OR(V26="",C26=""),"",V26/C26)</f>
        <v>27.25</v>
      </c>
      <c r="X26" s="11" t="str">
        <f>IF(A26="","",IF(AND(U26&lt;&gt;"",U26&lt;&gt;0,M26=0),"Replacement lot receiving wash basis",IF(J26="","",IF(J26&gt;=0,"",IF(O26=0,"No replacement buy found",IF(P26&gt;1,"Manual selection needed","Auto matched"))))))</f>
        <v/>
      </c>
      <c r="Z26" t="str">
        <f>IF(K26="Yes",COUNTIF($K$18:K26,"Yes"),"")</f>
        <v/>
      </c>
    </row>
    <row r="27" spans="1:26" ht="34.15" customHeight="1" x14ac:dyDescent="0.2">
      <c r="A27" s="9" t="s">
        <v>24</v>
      </c>
      <c r="B27" s="69">
        <v>46098</v>
      </c>
      <c r="C27" s="30">
        <v>0.88300000000000001</v>
      </c>
      <c r="D27" s="70">
        <v>150.63</v>
      </c>
      <c r="E27" s="69">
        <v>46101</v>
      </c>
      <c r="F27" s="70">
        <v>142.93</v>
      </c>
      <c r="G27" s="30">
        <v>0</v>
      </c>
      <c r="H27" s="63">
        <f>IF(OR(C27="",D27=""),"",C27*D27)</f>
        <v>133.00629000000001</v>
      </c>
      <c r="I27" s="63">
        <f>IF(OR(E27="",F27="",M27&lt;=0),"",M27*F27)</f>
        <v>126.20719000000001</v>
      </c>
      <c r="J27" s="63">
        <f>IF(I27="","",I27-(M27*D27))</f>
        <v>-6.7990999999999957</v>
      </c>
      <c r="K27" s="28" t="str">
        <f>IF(A27="","",IF(T27&gt;0,"Yes","No"))</f>
        <v>No</v>
      </c>
      <c r="L27" s="28" t="str">
        <f>IF(A27="","",A27&amp;"-"&amp;TEXT(B27,"yyyymmdd")&amp;"-R"&amp;ROW())</f>
        <v>ITOT-20260317-R27</v>
      </c>
      <c r="M27" s="28">
        <f>IF(OR(C27="",G27=""),"",C27-G27)</f>
        <v>0.88300000000000001</v>
      </c>
      <c r="N27" s="63">
        <f>IF(OR(M27&lt;=0,J27&gt;=0),"",ABS(J27)/M27)</f>
        <v>7.6999999999999948</v>
      </c>
      <c r="O27" s="63">
        <f>IF(OR(A27="",M27&lt;=0,J27&gt;=0),"",MIN(M27,SUMPRODUCT(($A$18:$A$379=A27)*(IFERROR($B$18:$B$379&gt;=E27-30,0))*(IFERROR($B$18:$B$379&lt;=E27+30,0))*($G$18:$G$379&gt;0)*($L$18:$L$379&lt;&gt;L27)*($G$18:$G$379))+SUMPRODUCT(($A$381:$A$498=A27)*(IFERROR($B$381:$B$498&gt;=E27-30,0))*(IFERROR($B$381:$B$498&lt;=E27+30,0))*($G$381:$G$498&gt;0)*($L$381:$L$498&lt;&gt;L27)*($G$381:$G$498))))</f>
        <v>0</v>
      </c>
      <c r="P27" s="28">
        <f>IF(OR(A27="",M27&lt;=0,J27&gt;=0),"",SUMPRODUCT(($A$18:$A$379=A27)*(IFERROR($B$18:$B$379&gt;=E27-30,0))*(IFERROR($B$18:$B$379&lt;=E27+30,0))*($G$18:$G$379&gt;0)*($L$18:$L$379&lt;&gt;L27))+SUMPRODUCT(($A$381:$A$498=A27)*(IFERROR($B$381:$B$498&gt;=E27-30,0))*(IFERROR($B$381:$B$498&lt;=E27+30,0))*($G$381:$G$498&gt;0)*($L$381:$L$498&lt;&gt;L27)))</f>
        <v>0</v>
      </c>
      <c r="Q27" s="31" t="str">
        <f>IF(P27=1,IFERROR(INDEX($L$18:$L$379,MATCH(1,INDEX(($A$18:$A$379=A27)*(IFERROR($B$18:$B$379&gt;=E27-30,0))*(IFERROR($B$18:$B$379&lt;=E27+30,0))*($G$18:$G$379&gt;0)*($L$18:$L$379&lt;&gt;L27),0),0)),IFERROR(INDEX($L$381:$L$498,MATCH(1,INDEX(($A$381:$A$498=A27)*(IFERROR($B$381:$B$498&gt;=E27-30,0))*(IFERROR($B$381:$B$498&lt;=E27+30,0))*($G$381:$G$498&gt;0)*($L$381:$L$498&lt;&gt;L27),0),0)),"")),"")</f>
        <v/>
      </c>
      <c r="R27" s="32"/>
      <c r="S27" s="31" t="str">
        <f>IF(R27&lt;&gt;"",R27,Q27)</f>
        <v/>
      </c>
      <c r="T27" s="63">
        <f>IF(OR(N27="",O27=0),0,N27*O27)</f>
        <v>0</v>
      </c>
      <c r="U27" s="63" t="str">
        <f>IF(COUNTIF($S$18:$S$498,L27)=0,"",SUMIF($S$18:$S$498,L27,$T$18:$T$498))</f>
        <v/>
      </c>
      <c r="V27" s="63">
        <f>IF(H27="","",IFERROR(H27+U27,H27))</f>
        <v>133.00629000000001</v>
      </c>
      <c r="W27" s="63">
        <f>IF(OR(V27="",C27=""),"",V27/C27)</f>
        <v>150.63</v>
      </c>
      <c r="X27" s="11" t="str">
        <f>IF(A27="","",IF(AND(U27&lt;&gt;"",U27&lt;&gt;0,M27=0),"Replacement lot receiving wash basis",IF(J27="","",IF(J27&gt;=0,"",IF(O27=0,"No replacement buy found",IF(P27&gt;1,"Manual selection needed","Auto matched"))))))</f>
        <v>No replacement buy found</v>
      </c>
      <c r="Z27" t="str">
        <f>IF(K27="Yes",COUNTIF($K$18:K27,"Yes"),"")</f>
        <v/>
      </c>
    </row>
    <row r="28" spans="1:26" ht="34.15" customHeight="1" x14ac:dyDescent="0.2">
      <c r="A28" s="9" t="s">
        <v>24</v>
      </c>
      <c r="B28" s="69">
        <v>46098</v>
      </c>
      <c r="C28" s="30">
        <v>143</v>
      </c>
      <c r="D28" s="70">
        <v>146.76</v>
      </c>
      <c r="E28" s="69">
        <v>46101</v>
      </c>
      <c r="F28" s="70">
        <v>142.93</v>
      </c>
      <c r="G28" s="30">
        <v>0</v>
      </c>
      <c r="H28" s="63">
        <f>IF(OR(C28="",D28=""),"",C28*D28)</f>
        <v>20986.68</v>
      </c>
      <c r="I28" s="63">
        <f>IF(OR(E28="",F28="",M28&lt;=0),"",M28*F28)</f>
        <v>20438.990000000002</v>
      </c>
      <c r="J28" s="63">
        <f>IF(I28="","",I28-(M28*D28))</f>
        <v>-547.68999999999869</v>
      </c>
      <c r="K28" s="28" t="str">
        <f>IF(A28="","",IF(T28&gt;0,"Yes","No"))</f>
        <v>No</v>
      </c>
      <c r="L28" s="28" t="str">
        <f>IF(A28="","",A28&amp;"-"&amp;TEXT(B28,"yyyymmdd")&amp;"-R"&amp;ROW())</f>
        <v>ITOT-20260317-R28</v>
      </c>
      <c r="M28" s="28">
        <f>IF(OR(C28="",G28=""),"",C28-G28)</f>
        <v>143</v>
      </c>
      <c r="N28" s="63">
        <f>IF(OR(M28&lt;=0,J28&gt;=0),"",ABS(J28)/M28)</f>
        <v>3.8299999999999907</v>
      </c>
      <c r="O28" s="63">
        <f>IF(OR(A28="",M28&lt;=0,J28&gt;=0),"",MIN(M28,SUMPRODUCT(($A$18:$A$379=A28)*(IFERROR($B$18:$B$379&gt;=E28-30,0))*(IFERROR($B$18:$B$379&lt;=E28+30,0))*($G$18:$G$379&gt;0)*($L$18:$L$379&lt;&gt;L28)*($G$18:$G$379))+SUMPRODUCT(($A$381:$A$498=A28)*(IFERROR($B$381:$B$498&gt;=E28-30,0))*(IFERROR($B$381:$B$498&lt;=E28+30,0))*($G$381:$G$498&gt;0)*($L$381:$L$498&lt;&gt;L28)*($G$381:$G$498))))</f>
        <v>0</v>
      </c>
      <c r="P28" s="28">
        <f>IF(OR(A28="",M28&lt;=0,J28&gt;=0),"",SUMPRODUCT(($A$18:$A$379=A28)*(IFERROR($B$18:$B$379&gt;=E28-30,0))*(IFERROR($B$18:$B$379&lt;=E28+30,0))*($G$18:$G$379&gt;0)*($L$18:$L$379&lt;&gt;L28))+SUMPRODUCT(($A$381:$A$498=A28)*(IFERROR($B$381:$B$498&gt;=E28-30,0))*(IFERROR($B$381:$B$498&lt;=E28+30,0))*($G$381:$G$498&gt;0)*($L$381:$L$498&lt;&gt;L28)))</f>
        <v>0</v>
      </c>
      <c r="Q28" s="31" t="str">
        <f>IF(P28=1,IFERROR(INDEX($L$18:$L$379,MATCH(1,INDEX(($A$18:$A$379=A28)*(IFERROR($B$18:$B$379&gt;=E28-30,0))*(IFERROR($B$18:$B$379&lt;=E28+30,0))*($G$18:$G$379&gt;0)*($L$18:$L$379&lt;&gt;L28),0),0)),IFERROR(INDEX($L$381:$L$498,MATCH(1,INDEX(($A$381:$A$498=A28)*(IFERROR($B$381:$B$498&gt;=E28-30,0))*(IFERROR($B$381:$B$498&lt;=E28+30,0))*($G$381:$G$498&gt;0)*($L$381:$L$498&lt;&gt;L28),0),0)),"")),"")</f>
        <v/>
      </c>
      <c r="R28" s="32"/>
      <c r="S28" s="31" t="str">
        <f>IF(R28&lt;&gt;"",R28,Q28)</f>
        <v/>
      </c>
      <c r="T28" s="63">
        <f>IF(OR(N28="",O28=0),0,N28*O28)</f>
        <v>0</v>
      </c>
      <c r="U28" s="63" t="str">
        <f>IF(COUNTIF($S$18:$S$498,L28)=0,"",SUMIF($S$18:$S$498,L28,$T$18:$T$498))</f>
        <v/>
      </c>
      <c r="V28" s="63">
        <f>IF(H28="","",IFERROR(H28+U28,H28))</f>
        <v>20986.68</v>
      </c>
      <c r="W28" s="63">
        <f>IF(OR(V28="",C28=""),"",V28/C28)</f>
        <v>146.76</v>
      </c>
      <c r="X28" s="11" t="str">
        <f>IF(A28="","",IF(AND(U28&lt;&gt;"",U28&lt;&gt;0,M28=0),"Replacement lot receiving wash basis",IF(J28="","",IF(J28&gt;=0,"",IF(O28=0,"No replacement buy found",IF(P28&gt;1,"Manual selection needed","Auto matched"))))))</f>
        <v>No replacement buy found</v>
      </c>
      <c r="Z28" t="str">
        <f>IF(K28="Yes",COUNTIF($K$18:K28,"Yes"),"")</f>
        <v/>
      </c>
    </row>
    <row r="29" spans="1:26" ht="34.15" customHeight="1" x14ac:dyDescent="0.2">
      <c r="A29" s="9" t="s">
        <v>21</v>
      </c>
      <c r="B29" s="69">
        <v>46098</v>
      </c>
      <c r="C29" s="30">
        <v>0.872</v>
      </c>
      <c r="D29" s="70">
        <v>25.951834862385319</v>
      </c>
      <c r="E29" s="69">
        <v>46108</v>
      </c>
      <c r="F29" s="70">
        <v>24.61009174311927</v>
      </c>
      <c r="G29" s="30">
        <v>0</v>
      </c>
      <c r="H29" s="63">
        <f>IF(OR(C29="",D29=""),"",C29*D29)</f>
        <v>22.63</v>
      </c>
      <c r="I29" s="63">
        <f>IF(OR(E29="",F29="",M29&lt;=0),"",M29*F29)</f>
        <v>21.460000000000004</v>
      </c>
      <c r="J29" s="63">
        <f>IF(I29="","",I29-(M29*D29))</f>
        <v>-1.1699999999999946</v>
      </c>
      <c r="K29" s="28" t="str">
        <f>IF(A29="","",IF(T29&gt;0,"Yes","No"))</f>
        <v>No</v>
      </c>
      <c r="L29" s="28" t="str">
        <f>IF(A29="","",A29&amp;"-"&amp;TEXT(B29,"yyyymmdd")&amp;"-R"&amp;ROW())</f>
        <v>SCHB-20260317-R29</v>
      </c>
      <c r="M29" s="28">
        <f>IF(OR(C29="",G29=""),"",C29-G29)</f>
        <v>0.872</v>
      </c>
      <c r="N29" s="63">
        <f>IF(OR(M29&lt;=0,J29&gt;=0),"",ABS(J29)/M29)</f>
        <v>1.3417431192660489</v>
      </c>
      <c r="O29" s="63">
        <f>IF(OR(A29="",M29&lt;=0,J29&gt;=0),"",MIN(M29,SUMPRODUCT(($A$18:$A$379=A29)*(IFERROR($B$18:$B$379&gt;=E29-30,0))*(IFERROR($B$18:$B$379&lt;=E29+30,0))*($G$18:$G$379&gt;0)*($L$18:$L$379&lt;&gt;L29)*($G$18:$G$379))+SUMPRODUCT(($A$381:$A$498=A29)*(IFERROR($B$381:$B$498&gt;=E29-30,0))*(IFERROR($B$381:$B$498&lt;=E29+30,0))*($G$381:$G$498&gt;0)*($L$381:$L$498&lt;&gt;L29)*($G$381:$G$498))))</f>
        <v>0</v>
      </c>
      <c r="P29" s="28">
        <f>IF(OR(A29="",M29&lt;=0,J29&gt;=0),"",SUMPRODUCT(($A$18:$A$379=A29)*(IFERROR($B$18:$B$379&gt;=E29-30,0))*(IFERROR($B$18:$B$379&lt;=E29+30,0))*($G$18:$G$379&gt;0)*($L$18:$L$379&lt;&gt;L29))+SUMPRODUCT(($A$381:$A$498=A29)*(IFERROR($B$381:$B$498&gt;=E29-30,0))*(IFERROR($B$381:$B$498&lt;=E29+30,0))*($G$381:$G$498&gt;0)*($L$381:$L$498&lt;&gt;L29)))</f>
        <v>0</v>
      </c>
      <c r="Q29" s="31" t="str">
        <f>IF(P29=1,IFERROR(INDEX($L$18:$L$379,MATCH(1,INDEX(($A$18:$A$379=A29)*(IFERROR($B$18:$B$379&gt;=E29-30,0))*(IFERROR($B$18:$B$379&lt;=E29+30,0))*($G$18:$G$379&gt;0)*($L$18:$L$379&lt;&gt;L29),0),0)),IFERROR(INDEX($L$381:$L$498,MATCH(1,INDEX(($A$381:$A$498=A29)*(IFERROR($B$381:$B$498&gt;=E29-30,0))*(IFERROR($B$381:$B$498&lt;=E29+30,0))*($G$381:$G$498&gt;0)*($L$381:$L$498&lt;&gt;L29),0),0)),"")),"")</f>
        <v/>
      </c>
      <c r="R29" s="32"/>
      <c r="S29" s="31" t="str">
        <f>IF(R29&lt;&gt;"",R29,Q29)</f>
        <v/>
      </c>
      <c r="T29" s="63">
        <f>IF(OR(N29="",O29=0),0,N29*O29)</f>
        <v>0</v>
      </c>
      <c r="U29" s="63" t="str">
        <f>IF(COUNTIF($S$18:$S$498,L29)=0,"",SUMIF($S$18:$S$498,L29,$T$18:$T$498))</f>
        <v/>
      </c>
      <c r="V29" s="63">
        <f>IF(H29="","",IFERROR(H29+U29,H29))</f>
        <v>22.63</v>
      </c>
      <c r="W29" s="63">
        <f>IF(OR(V29="",C29=""),"",V29/C29)</f>
        <v>25.951834862385319</v>
      </c>
      <c r="X29" s="11" t="str">
        <f>IF(A29="","",IF(AND(U29&lt;&gt;"",U29&lt;&gt;0,M29=0),"Replacement lot receiving wash basis",IF(J29="","",IF(J29&gt;=0,"",IF(O29=0,"No replacement buy found",IF(P29&gt;1,"Manual selection needed","Auto matched"))))))</f>
        <v>No replacement buy found</v>
      </c>
      <c r="Z29" t="str">
        <f>IF(K29="Yes",COUNTIF($K$18:K29,"Yes"),"")</f>
        <v/>
      </c>
    </row>
    <row r="30" spans="1:26" ht="34.15" customHeight="1" x14ac:dyDescent="0.2">
      <c r="A30" s="9" t="s">
        <v>21</v>
      </c>
      <c r="B30" s="69">
        <v>46098</v>
      </c>
      <c r="C30" s="30">
        <v>813</v>
      </c>
      <c r="D30" s="70">
        <v>25.95</v>
      </c>
      <c r="E30" s="69">
        <v>46108</v>
      </c>
      <c r="F30" s="70">
        <v>24.600295202952029</v>
      </c>
      <c r="G30" s="30">
        <v>0</v>
      </c>
      <c r="H30" s="63">
        <f>IF(OR(C30="",D30=""),"",C30*D30)</f>
        <v>21097.35</v>
      </c>
      <c r="I30" s="63">
        <f>IF(OR(E30="",F30="",M30&lt;=0),"",M30*F30)</f>
        <v>20000.04</v>
      </c>
      <c r="J30" s="63">
        <f>IF(I30="","",I30-(M30*D30))</f>
        <v>-1097.3099999999977</v>
      </c>
      <c r="K30" s="28" t="str">
        <f>IF(A30="","",IF(T30&gt;0,"Yes","No"))</f>
        <v>No</v>
      </c>
      <c r="L30" s="28" t="str">
        <f>IF(A30="","",A30&amp;"-"&amp;TEXT(B30,"yyyymmdd")&amp;"-R"&amp;ROW())</f>
        <v>SCHB-20260317-R30</v>
      </c>
      <c r="M30" s="28">
        <f>IF(OR(C30="",G30=""),"",C30-G30)</f>
        <v>813</v>
      </c>
      <c r="N30" s="63">
        <f>IF(OR(M30&lt;=0,J30&gt;=0),"",ABS(J30)/M30)</f>
        <v>1.3497047970479676</v>
      </c>
      <c r="O30" s="63">
        <f>IF(OR(A30="",M30&lt;=0,J30&gt;=0),"",MIN(M30,SUMPRODUCT(($A$18:$A$379=A30)*(IFERROR($B$18:$B$379&gt;=E30-30,0))*(IFERROR($B$18:$B$379&lt;=E30+30,0))*($G$18:$G$379&gt;0)*($L$18:$L$379&lt;&gt;L30)*($G$18:$G$379))+SUMPRODUCT(($A$381:$A$498=A30)*(IFERROR($B$381:$B$498&gt;=E30-30,0))*(IFERROR($B$381:$B$498&lt;=E30+30,0))*($G$381:$G$498&gt;0)*($L$381:$L$498&lt;&gt;L30)*($G$381:$G$498))))</f>
        <v>0</v>
      </c>
      <c r="P30" s="28">
        <f>IF(OR(A30="",M30&lt;=0,J30&gt;=0),"",SUMPRODUCT(($A$18:$A$379=A30)*(IFERROR($B$18:$B$379&gt;=E30-30,0))*(IFERROR($B$18:$B$379&lt;=E30+30,0))*($G$18:$G$379&gt;0)*($L$18:$L$379&lt;&gt;L30))+SUMPRODUCT(($A$381:$A$498=A30)*(IFERROR($B$381:$B$498&gt;=E30-30,0))*(IFERROR($B$381:$B$498&lt;=E30+30,0))*($G$381:$G$498&gt;0)*($L$381:$L$498&lt;&gt;L30)))</f>
        <v>0</v>
      </c>
      <c r="Q30" s="31" t="str">
        <f>IF(P30=1,IFERROR(INDEX($L$18:$L$379,MATCH(1,INDEX(($A$18:$A$379=A30)*(IFERROR($B$18:$B$379&gt;=E30-30,0))*(IFERROR($B$18:$B$379&lt;=E30+30,0))*($G$18:$G$379&gt;0)*($L$18:$L$379&lt;&gt;L30),0),0)),IFERROR(INDEX($L$381:$L$498,MATCH(1,INDEX(($A$381:$A$498=A30)*(IFERROR($B$381:$B$498&gt;=E30-30,0))*(IFERROR($B$381:$B$498&lt;=E30+30,0))*($G$381:$G$498&gt;0)*($L$381:$L$498&lt;&gt;L30),0),0)),"")),"")</f>
        <v/>
      </c>
      <c r="R30" s="32"/>
      <c r="S30" s="31" t="str">
        <f>IF(R30&lt;&gt;"",R30,Q30)</f>
        <v/>
      </c>
      <c r="T30" s="63">
        <f>IF(OR(N30="",O30=0),0,N30*O30)</f>
        <v>0</v>
      </c>
      <c r="U30" s="63" t="str">
        <f>IF(COUNTIF($S$18:$S$498,L30)=0,"",SUMIF($S$18:$S$498,L30,$T$18:$T$498))</f>
        <v/>
      </c>
      <c r="V30" s="63">
        <f>IF(H30="","",IFERROR(H30+U30,H30))</f>
        <v>21097.35</v>
      </c>
      <c r="W30" s="63">
        <f>IF(OR(V30="",C30=""),"",V30/C30)</f>
        <v>25.95</v>
      </c>
      <c r="X30" s="11" t="str">
        <f>IF(A30="","",IF(AND(U30&lt;&gt;"",U30&lt;&gt;0,M30=0),"Replacement lot receiving wash basis",IF(J30="","",IF(J30&gt;=0,"",IF(O30=0,"No replacement buy found",IF(P30&gt;1,"Manual selection needed","Auto matched"))))))</f>
        <v>No replacement buy found</v>
      </c>
      <c r="Z30" t="str">
        <f>IF(K30="Yes",COUNTIF($K$18:K30,"Yes"),"")</f>
        <v/>
      </c>
    </row>
    <row r="31" spans="1:26" ht="34.15" customHeight="1" x14ac:dyDescent="0.2">
      <c r="A31" s="9" t="s">
        <v>63</v>
      </c>
      <c r="B31" s="69">
        <v>45960</v>
      </c>
      <c r="C31" s="30">
        <v>1110</v>
      </c>
      <c r="D31" s="70">
        <v>30.53</v>
      </c>
      <c r="E31" s="69"/>
      <c r="F31" s="70"/>
      <c r="G31" s="30">
        <v>1110</v>
      </c>
      <c r="H31" s="63">
        <f>IF(OR(C31="",D31=""),"",C31*D31)</f>
        <v>33888.300000000003</v>
      </c>
      <c r="I31" s="63" t="str">
        <f>IF(OR(E31="",F31="",M31&lt;=0),"",M31*F31)</f>
        <v/>
      </c>
      <c r="J31" s="63" t="str">
        <f>IF(I31="","",I31-(M31*D31))</f>
        <v/>
      </c>
      <c r="K31" s="28" t="str">
        <f>IF(A31="","",IF(T31&gt;0,"Yes","No"))</f>
        <v>No</v>
      </c>
      <c r="L31" s="28" t="str">
        <f>IF(A31="","",A31&amp;"-"&amp;TEXT(B31,"yyyymmdd")&amp;"-R"&amp;ROW())</f>
        <v>EPD-20251030-R31</v>
      </c>
      <c r="M31" s="28">
        <f>IF(OR(C31="",G31=""),"",C31-G31)</f>
        <v>0</v>
      </c>
      <c r="N31" s="63" t="str">
        <f>IF(OR(M31&lt;=0,J31&gt;=0),"",ABS(J31)/M31)</f>
        <v/>
      </c>
      <c r="O31" s="63" t="str">
        <f>IF(OR(A31="",M31&lt;=0,J31&gt;=0),"",MIN(M31,SUMPRODUCT(($A$18:$A$379=A31)*(IFERROR($B$18:$B$379&gt;=E31-30,0))*(IFERROR($B$18:$B$379&lt;=E31+30,0))*($G$18:$G$379&gt;0)*($L$18:$L$379&lt;&gt;L31)*($G$18:$G$379))+SUMPRODUCT(($A$381:$A$498=A31)*(IFERROR($B$381:$B$498&gt;=E31-30,0))*(IFERROR($B$381:$B$498&lt;=E31+30,0))*($G$381:$G$498&gt;0)*($L$381:$L$498&lt;&gt;L31)*($G$381:$G$498))))</f>
        <v/>
      </c>
      <c r="P31" s="28" t="str">
        <f>IF(OR(A31="",M31&lt;=0,J31&gt;=0),"",SUMPRODUCT(($A$18:$A$379=A31)*(IFERROR($B$18:$B$379&gt;=E31-30,0))*(IFERROR($B$18:$B$379&lt;=E31+30,0))*($G$18:$G$379&gt;0)*($L$18:$L$379&lt;&gt;L31))+SUMPRODUCT(($A$381:$A$498=A31)*(IFERROR($B$381:$B$498&gt;=E31-30,0))*(IFERROR($B$381:$B$498&lt;=E31+30,0))*($G$381:$G$498&gt;0)*($L$381:$L$498&lt;&gt;L31)))</f>
        <v/>
      </c>
      <c r="Q31" s="31" t="str">
        <f>IF(P31=1,IFERROR(INDEX($L$18:$L$379,MATCH(1,INDEX(($A$18:$A$379=A31)*(IFERROR($B$18:$B$379&gt;=E31-30,0))*(IFERROR($B$18:$B$379&lt;=E31+30,0))*($G$18:$G$379&gt;0)*($L$18:$L$379&lt;&gt;L31),0),0)),IFERROR(INDEX($L$381:$L$498,MATCH(1,INDEX(($A$381:$A$498=A31)*(IFERROR($B$381:$B$498&gt;=E31-30,0))*(IFERROR($B$381:$B$498&lt;=E31+30,0))*($G$381:$G$498&gt;0)*($L$381:$L$498&lt;&gt;L31),0),0)),"")),"")</f>
        <v/>
      </c>
      <c r="R31" s="32"/>
      <c r="S31" s="31" t="str">
        <f>IF(R31&lt;&gt;"",R31,Q31)</f>
        <v/>
      </c>
      <c r="T31" s="63">
        <f>IF(OR(N31="",O31=0),0,N31*O31)</f>
        <v>0</v>
      </c>
      <c r="U31" s="63" t="str">
        <f>IF(COUNTIF($S$18:$S$498,L31)=0,"",SUMIF($S$18:$S$498,L31,$T$18:$T$498))</f>
        <v/>
      </c>
      <c r="V31" s="63">
        <f>IF(H31="","",IFERROR(H31+U31,H31))</f>
        <v>33888.300000000003</v>
      </c>
      <c r="W31" s="63">
        <f>IF(OR(V31="",C31=""),"",V31/C31)</f>
        <v>30.53</v>
      </c>
      <c r="X31" s="11" t="str">
        <f>IF(A31="","",IF(AND(U31&lt;&gt;"",U31&lt;&gt;0,M31=0),"Replacement lot receiving wash basis",IF(J31="","",IF(J31&gt;=0,"",IF(O31=0,"No replacement buy found",IF(P31&gt;1,"Manual selection needed","Auto matched"))))))</f>
        <v/>
      </c>
      <c r="Z31" t="str">
        <f>IF(K31="Yes",COUNTIF($K$18:K31,"Yes"),"")</f>
        <v/>
      </c>
    </row>
    <row r="32" spans="1:26" ht="34.15" customHeight="1" x14ac:dyDescent="0.2">
      <c r="A32" s="9" t="s">
        <v>18</v>
      </c>
      <c r="B32" s="69">
        <v>46098</v>
      </c>
      <c r="C32" s="30">
        <v>0.251</v>
      </c>
      <c r="D32" s="70">
        <v>331.83266932270919</v>
      </c>
      <c r="E32" s="69"/>
      <c r="F32" s="70"/>
      <c r="G32" s="30">
        <v>0.251</v>
      </c>
      <c r="H32" s="63">
        <f>IF(OR(C32="",D32=""),"",C32*D32)</f>
        <v>83.29</v>
      </c>
      <c r="I32" s="63" t="str">
        <f>IF(OR(E32="",F32="",M32&lt;=0),"",M32*F32)</f>
        <v/>
      </c>
      <c r="J32" s="63" t="str">
        <f>IF(I32="","",I32-(M32*D32))</f>
        <v/>
      </c>
      <c r="K32" s="28" t="str">
        <f>IF(A32="","",IF(T32&gt;0,"Yes","No"))</f>
        <v>No</v>
      </c>
      <c r="L32" s="28" t="str">
        <f>IF(A32="","",A32&amp;"-"&amp;TEXT(B32,"yyyymmdd")&amp;"-R"&amp;ROW())</f>
        <v>VTI-20260317-R32</v>
      </c>
      <c r="M32" s="28">
        <f>IF(OR(C32="",G32=""),"",C32-G32)</f>
        <v>0</v>
      </c>
      <c r="N32" s="63" t="str">
        <f>IF(OR(M32&lt;=0,J32&gt;=0),"",ABS(J32)/M32)</f>
        <v/>
      </c>
      <c r="O32" s="63" t="str">
        <f>IF(OR(A32="",M32&lt;=0,J32&gt;=0),"",MIN(M32,SUMPRODUCT(($A$18:$A$379=A32)*(IFERROR($B$18:$B$379&gt;=E32-30,0))*(IFERROR($B$18:$B$379&lt;=E32+30,0))*($G$18:$G$379&gt;0)*($L$18:$L$379&lt;&gt;L32)*($G$18:$G$379))+SUMPRODUCT(($A$381:$A$498=A32)*(IFERROR($B$381:$B$498&gt;=E32-30,0))*(IFERROR($B$381:$B$498&lt;=E32+30,0))*($G$381:$G$498&gt;0)*($L$381:$L$498&lt;&gt;L32)*($G$381:$G$498))))</f>
        <v/>
      </c>
      <c r="P32" s="28" t="str">
        <f>IF(OR(A32="",M32&lt;=0,J32&gt;=0),"",SUMPRODUCT(($A$18:$A$379=A32)*(IFERROR($B$18:$B$379&gt;=E32-30,0))*(IFERROR($B$18:$B$379&lt;=E32+30,0))*($G$18:$G$379&gt;0)*($L$18:$L$379&lt;&gt;L32))+SUMPRODUCT(($A$381:$A$498=A32)*(IFERROR($B$381:$B$498&gt;=E32-30,0))*(IFERROR($B$381:$B$498&lt;=E32+30,0))*($G$381:$G$498&gt;0)*($L$381:$L$498&lt;&gt;L32)))</f>
        <v/>
      </c>
      <c r="Q32" s="31" t="str">
        <f>IF(P32=1,IFERROR(INDEX($L$18:$L$379,MATCH(1,INDEX(($A$18:$A$379=A32)*(IFERROR($B$18:$B$379&gt;=E32-30,0))*(IFERROR($B$18:$B$379&lt;=E32+30,0))*($G$18:$G$379&gt;0)*($L$18:$L$379&lt;&gt;L32),0),0)),IFERROR(INDEX($L$381:$L$498,MATCH(1,INDEX(($A$381:$A$498=A32)*(IFERROR($B$381:$B$498&gt;=E32-30,0))*(IFERROR($B$381:$B$498&lt;=E32+30,0))*($G$381:$G$498&gt;0)*($L$381:$L$498&lt;&gt;L32),0),0)),"")),"")</f>
        <v/>
      </c>
      <c r="R32" s="32"/>
      <c r="S32" s="31" t="str">
        <f>IF(R32&lt;&gt;"",R32,Q32)</f>
        <v/>
      </c>
      <c r="T32" s="63">
        <f>IF(OR(N32="",O32=0),0,N32*O32)</f>
        <v>0</v>
      </c>
      <c r="U32" s="63" t="str">
        <f>IF(COUNTIF($S$18:$S$498,L32)=0,"",SUMIF($S$18:$S$498,L32,$T$18:$T$498))</f>
        <v/>
      </c>
      <c r="V32" s="63">
        <f>IF(H32="","",IFERROR(H32+U32,H32))</f>
        <v>83.29</v>
      </c>
      <c r="W32" s="63">
        <f>IF(OR(V32="",C32=""),"",V32/C32)</f>
        <v>331.83266932270919</v>
      </c>
      <c r="X32" s="11" t="str">
        <f>IF(A32="","",IF(AND(U32&lt;&gt;"",U32&lt;&gt;0,M32=0),"Replacement lot receiving wash basis",IF(J32="","",IF(J32&gt;=0,"",IF(O32=0,"No replacement buy found",IF(P32&gt;1,"Manual selection needed","Auto matched"))))))</f>
        <v/>
      </c>
      <c r="Z32" t="str">
        <f>IF(K32="Yes",COUNTIF($K$18:K32,"Yes"),"")</f>
        <v/>
      </c>
    </row>
    <row r="33" spans="1:26" ht="34.15" customHeight="1" x14ac:dyDescent="0.2">
      <c r="A33" s="9" t="s">
        <v>18</v>
      </c>
      <c r="B33" s="69">
        <v>46098</v>
      </c>
      <c r="C33" s="30">
        <v>212</v>
      </c>
      <c r="D33" s="70">
        <v>331.8</v>
      </c>
      <c r="E33" s="69"/>
      <c r="F33" s="70"/>
      <c r="G33" s="30">
        <v>212</v>
      </c>
      <c r="H33" s="63">
        <f>IF(OR(C33="",D33=""),"",C33*D33)</f>
        <v>70341.600000000006</v>
      </c>
      <c r="I33" s="63" t="str">
        <f>IF(OR(E33="",F33="",M33&lt;=0),"",M33*F33)</f>
        <v/>
      </c>
      <c r="J33" s="63" t="str">
        <f>IF(I33="","",I33-(M33*D33))</f>
        <v/>
      </c>
      <c r="K33" s="28" t="str">
        <f>IF(A33="","",IF(T33&gt;0,"Yes","No"))</f>
        <v>No</v>
      </c>
      <c r="L33" s="28" t="str">
        <f>IF(A33="","",A33&amp;"-"&amp;TEXT(B33,"yyyymmdd")&amp;"-R"&amp;ROW())</f>
        <v>VTI-20260317-R33</v>
      </c>
      <c r="M33" s="28">
        <f>IF(OR(C33="",G33=""),"",C33-G33)</f>
        <v>0</v>
      </c>
      <c r="N33" s="63" t="str">
        <f>IF(OR(M33&lt;=0,J33&gt;=0),"",ABS(J33)/M33)</f>
        <v/>
      </c>
      <c r="O33" s="63" t="str">
        <f>IF(OR(A33="",M33&lt;=0,J33&gt;=0),"",MIN(M33,SUMPRODUCT(($A$18:$A$379=A33)*(IFERROR($B$18:$B$379&gt;=E33-30,0))*(IFERROR($B$18:$B$379&lt;=E33+30,0))*($G$18:$G$379&gt;0)*($L$18:$L$379&lt;&gt;L33)*($G$18:$G$379))+SUMPRODUCT(($A$381:$A$498=A33)*(IFERROR($B$381:$B$498&gt;=E33-30,0))*(IFERROR($B$381:$B$498&lt;=E33+30,0))*($G$381:$G$498&gt;0)*($L$381:$L$498&lt;&gt;L33)*($G$381:$G$498))))</f>
        <v/>
      </c>
      <c r="P33" s="28" t="str">
        <f>IF(OR(A33="",M33&lt;=0,J33&gt;=0),"",SUMPRODUCT(($A$18:$A$379=A33)*(IFERROR($B$18:$B$379&gt;=E33-30,0))*(IFERROR($B$18:$B$379&lt;=E33+30,0))*($G$18:$G$379&gt;0)*($L$18:$L$379&lt;&gt;L33))+SUMPRODUCT(($A$381:$A$498=A33)*(IFERROR($B$381:$B$498&gt;=E33-30,0))*(IFERROR($B$381:$B$498&lt;=E33+30,0))*($G$381:$G$498&gt;0)*($L$381:$L$498&lt;&gt;L33)))</f>
        <v/>
      </c>
      <c r="Q33" s="31" t="str">
        <f>IF(P33=1,IFERROR(INDEX($L$18:$L$379,MATCH(1,INDEX(($A$18:$A$379=A33)*(IFERROR($B$18:$B$379&gt;=E33-30,0))*(IFERROR($B$18:$B$379&lt;=E33+30,0))*($G$18:$G$379&gt;0)*($L$18:$L$379&lt;&gt;L33),0),0)),IFERROR(INDEX($L$381:$L$498,MATCH(1,INDEX(($A$381:$A$498=A33)*(IFERROR($B$381:$B$498&gt;=E33-30,0))*(IFERROR($B$381:$B$498&lt;=E33+30,0))*($G$381:$G$498&gt;0)*($L$381:$L$498&lt;&gt;L33),0),0)),"")),"")</f>
        <v/>
      </c>
      <c r="R33" s="32"/>
      <c r="S33" s="31" t="str">
        <f>IF(R33&lt;&gt;"",R33,Q33)</f>
        <v/>
      </c>
      <c r="T33" s="63">
        <f>IF(OR(N33="",O33=0),0,N33*O33)</f>
        <v>0</v>
      </c>
      <c r="U33" s="63" t="str">
        <f>IF(COUNTIF($S$18:$S$498,L33)=0,"",SUMIF($S$18:$S$498,L33,$T$18:$T$498))</f>
        <v/>
      </c>
      <c r="V33" s="63">
        <f>IF(H33="","",IFERROR(H33+U33,H33))</f>
        <v>70341.600000000006</v>
      </c>
      <c r="W33" s="63">
        <f>IF(OR(V33="",C33=""),"",V33/C33)</f>
        <v>331.8</v>
      </c>
      <c r="X33" s="11" t="str">
        <f>IF(A33="","",IF(AND(U33&lt;&gt;"",U33&lt;&gt;0,M33=0),"Replacement lot receiving wash basis",IF(J33="","",IF(J33&gt;=0,"",IF(O33=0,"No replacement buy found",IF(P33&gt;1,"Manual selection needed","Auto matched"))))))</f>
        <v/>
      </c>
      <c r="Z33" t="str">
        <f>IF(K33="Yes",COUNTIF($K$18:K33,"Yes"),"")</f>
        <v/>
      </c>
    </row>
    <row r="34" spans="1:26" ht="34.15" customHeight="1" x14ac:dyDescent="0.2">
      <c r="A34" s="9" t="s">
        <v>15</v>
      </c>
      <c r="B34" s="69">
        <v>46099</v>
      </c>
      <c r="C34" s="30">
        <v>0.99299999999999999</v>
      </c>
      <c r="D34" s="70">
        <v>614.73313192346416</v>
      </c>
      <c r="E34" s="69"/>
      <c r="F34" s="70"/>
      <c r="G34" s="30">
        <v>0.99299999999999999</v>
      </c>
      <c r="H34" s="63">
        <f>IF(OR(C34="",D34=""),"",C34*D34)</f>
        <v>610.42999999999995</v>
      </c>
      <c r="I34" s="63" t="str">
        <f>IF(OR(E34="",F34="",M34&lt;=0),"",M34*F34)</f>
        <v/>
      </c>
      <c r="J34" s="63" t="str">
        <f>IF(I34="","",I34-(M34*D34))</f>
        <v/>
      </c>
      <c r="K34" s="28" t="str">
        <f>IF(A34="","",IF(T34&gt;0,"Yes","No"))</f>
        <v>No</v>
      </c>
      <c r="L34" s="28" t="str">
        <f>IF(A34="","",A34&amp;"-"&amp;TEXT(B34,"yyyymmdd")&amp;"-R"&amp;ROW())</f>
        <v>VOO-20260318-R34</v>
      </c>
      <c r="M34" s="28">
        <f>IF(OR(C34="",G34=""),"",C34-G34)</f>
        <v>0</v>
      </c>
      <c r="N34" s="63" t="str">
        <f>IF(OR(M34&lt;=0,J34&gt;=0),"",ABS(J34)/M34)</f>
        <v/>
      </c>
      <c r="O34" s="63" t="str">
        <f>IF(OR(A34="",M34&lt;=0,J34&gt;=0),"",MIN(M34,SUMPRODUCT(($A$18:$A$379=A34)*(IFERROR($B$18:$B$379&gt;=E34-30,0))*(IFERROR($B$18:$B$379&lt;=E34+30,0))*($G$18:$G$379&gt;0)*($L$18:$L$379&lt;&gt;L34)*($G$18:$G$379))+SUMPRODUCT(($A$381:$A$498=A34)*(IFERROR($B$381:$B$498&gt;=E34-30,0))*(IFERROR($B$381:$B$498&lt;=E34+30,0))*($G$381:$G$498&gt;0)*($L$381:$L$498&lt;&gt;L34)*($G$381:$G$498))))</f>
        <v/>
      </c>
      <c r="P34" s="28" t="str">
        <f>IF(OR(A34="",M34&lt;=0,J34&gt;=0),"",SUMPRODUCT(($A$18:$A$379=A34)*(IFERROR($B$18:$B$379&gt;=E34-30,0))*(IFERROR($B$18:$B$379&lt;=E34+30,0))*($G$18:$G$379&gt;0)*($L$18:$L$379&lt;&gt;L34))+SUMPRODUCT(($A$381:$A$498=A34)*(IFERROR($B$381:$B$498&gt;=E34-30,0))*(IFERROR($B$381:$B$498&lt;=E34+30,0))*($G$381:$G$498&gt;0)*($L$381:$L$498&lt;&gt;L34)))</f>
        <v/>
      </c>
      <c r="Q34" s="31" t="str">
        <f>IF(P34=1,IFERROR(INDEX($L$18:$L$379,MATCH(1,INDEX(($A$18:$A$379=A34)*(IFERROR($B$18:$B$379&gt;=E34-30,0))*(IFERROR($B$18:$B$379&lt;=E34+30,0))*($G$18:$G$379&gt;0)*($L$18:$L$379&lt;&gt;L34),0),0)),IFERROR(INDEX($L$381:$L$498,MATCH(1,INDEX(($A$381:$A$498=A34)*(IFERROR($B$381:$B$498&gt;=E34-30,0))*(IFERROR($B$381:$B$498&lt;=E34+30,0))*($G$381:$G$498&gt;0)*($L$381:$L$498&lt;&gt;L34),0),0)),"")),"")</f>
        <v/>
      </c>
      <c r="R34" s="32"/>
      <c r="S34" s="31" t="str">
        <f>IF(R34&lt;&gt;"",R34,Q34)</f>
        <v/>
      </c>
      <c r="T34" s="63">
        <f>IF(OR(N34="",O34=0),0,N34*O34)</f>
        <v>0</v>
      </c>
      <c r="U34" s="63" t="str">
        <f>IF(COUNTIF($S$18:$S$498,L34)=0,"",SUMIF($S$18:$S$498,L34,$T$18:$T$498))</f>
        <v/>
      </c>
      <c r="V34" s="63">
        <f>IF(H34="","",IFERROR(H34+U34,H34))</f>
        <v>610.42999999999995</v>
      </c>
      <c r="W34" s="63">
        <f>IF(OR(V34="",C34=""),"",V34/C34)</f>
        <v>614.73313192346416</v>
      </c>
      <c r="X34" s="11" t="str">
        <f>IF(A34="","",IF(AND(U34&lt;&gt;"",U34&lt;&gt;0,M34=0),"Replacement lot receiving wash basis",IF(J34="","",IF(J34&gt;=0,"",IF(O34=0,"No replacement buy found",IF(P34&gt;1,"Manual selection needed","Auto matched"))))))</f>
        <v/>
      </c>
      <c r="Z34" t="str">
        <f>IF(K34="Yes",COUNTIF($K$18:K34,"Yes"),"")</f>
        <v/>
      </c>
    </row>
    <row r="35" spans="1:26" ht="34.15" customHeight="1" x14ac:dyDescent="0.2">
      <c r="A35" s="9" t="s">
        <v>15</v>
      </c>
      <c r="B35" s="69">
        <v>46099</v>
      </c>
      <c r="C35" s="30">
        <v>40</v>
      </c>
      <c r="D35" s="70">
        <v>614.73500000000001</v>
      </c>
      <c r="E35" s="69"/>
      <c r="F35" s="70"/>
      <c r="G35" s="30">
        <v>40</v>
      </c>
      <c r="H35" s="63">
        <f>IF(OR(C35="",D35=""),"",C35*D35)</f>
        <v>24589.4</v>
      </c>
      <c r="I35" s="63" t="str">
        <f>IF(OR(E35="",F35="",M35&lt;=0),"",M35*F35)</f>
        <v/>
      </c>
      <c r="J35" s="63" t="str">
        <f>IF(I35="","",I35-(M35*D35))</f>
        <v/>
      </c>
      <c r="K35" s="28" t="str">
        <f>IF(A35="","",IF(T35&gt;0,"Yes","No"))</f>
        <v>No</v>
      </c>
      <c r="L35" s="28" t="str">
        <f>IF(A35="","",A35&amp;"-"&amp;TEXT(B35,"yyyymmdd")&amp;"-R"&amp;ROW())</f>
        <v>VOO-20260318-R35</v>
      </c>
      <c r="M35" s="28">
        <f>IF(OR(C35="",G35=""),"",C35-G35)</f>
        <v>0</v>
      </c>
      <c r="N35" s="63" t="str">
        <f>IF(OR(M35&lt;=0,J35&gt;=0),"",ABS(J35)/M35)</f>
        <v/>
      </c>
      <c r="O35" s="63" t="str">
        <f>IF(OR(A35="",M35&lt;=0,J35&gt;=0),"",MIN(M35,SUMPRODUCT(($A$18:$A$379=A35)*(IFERROR($B$18:$B$379&gt;=E35-30,0))*(IFERROR($B$18:$B$379&lt;=E35+30,0))*($G$18:$G$379&gt;0)*($L$18:$L$379&lt;&gt;L35)*($G$18:$G$379))+SUMPRODUCT(($A$381:$A$498=A35)*(IFERROR($B$381:$B$498&gt;=E35-30,0))*(IFERROR($B$381:$B$498&lt;=E35+30,0))*($G$381:$G$498&gt;0)*($L$381:$L$498&lt;&gt;L35)*($G$381:$G$498))))</f>
        <v/>
      </c>
      <c r="P35" s="28" t="str">
        <f>IF(OR(A35="",M35&lt;=0,J35&gt;=0),"",SUMPRODUCT(($A$18:$A$379=A35)*(IFERROR($B$18:$B$379&gt;=E35-30,0))*(IFERROR($B$18:$B$379&lt;=E35+30,0))*($G$18:$G$379&gt;0)*($L$18:$L$379&lt;&gt;L35))+SUMPRODUCT(($A$381:$A$498=A35)*(IFERROR($B$381:$B$498&gt;=E35-30,0))*(IFERROR($B$381:$B$498&lt;=E35+30,0))*($G$381:$G$498&gt;0)*($L$381:$L$498&lt;&gt;L35)))</f>
        <v/>
      </c>
      <c r="Q35" s="31" t="str">
        <f>IF(P35=1,IFERROR(INDEX($L$18:$L$379,MATCH(1,INDEX(($A$18:$A$379=A35)*(IFERROR($B$18:$B$379&gt;=E35-30,0))*(IFERROR($B$18:$B$379&lt;=E35+30,0))*($G$18:$G$379&gt;0)*($L$18:$L$379&lt;&gt;L35),0),0)),IFERROR(INDEX($L$381:$L$498,MATCH(1,INDEX(($A$381:$A$498=A35)*(IFERROR($B$381:$B$498&gt;=E35-30,0))*(IFERROR($B$381:$B$498&lt;=E35+30,0))*($G$381:$G$498&gt;0)*($L$381:$L$498&lt;&gt;L35),0),0)),"")),"")</f>
        <v/>
      </c>
      <c r="R35" s="32"/>
      <c r="S35" s="31" t="str">
        <f>IF(R35&lt;&gt;"",R35,Q35)</f>
        <v/>
      </c>
      <c r="T35" s="63">
        <f>IF(OR(N35="",O35=0),0,N35*O35)</f>
        <v>0</v>
      </c>
      <c r="U35" s="63" t="str">
        <f>IF(COUNTIF($S$18:$S$498,L35)=0,"",SUMIF($S$18:$S$498,L35,$T$18:$T$498))</f>
        <v/>
      </c>
      <c r="V35" s="63">
        <f>IF(H35="","",IFERROR(H35+U35,H35))</f>
        <v>24589.4</v>
      </c>
      <c r="W35" s="63">
        <f>IF(OR(V35="",C35=""),"",V35/C35)</f>
        <v>614.73500000000001</v>
      </c>
      <c r="X35" s="11" t="str">
        <f>IF(A35="","",IF(AND(U35&lt;&gt;"",U35&lt;&gt;0,M35=0),"Replacement lot receiving wash basis",IF(J35="","",IF(J35&gt;=0,"",IF(O35=0,"No replacement buy found",IF(P35&gt;1,"Manual selection needed","Auto matched"))))))</f>
        <v/>
      </c>
      <c r="Z35" t="str">
        <f>IF(K35="Yes",COUNTIF($K$18:K35,"Yes"),"")</f>
        <v/>
      </c>
    </row>
    <row r="36" spans="1:26" ht="34.15" customHeight="1" x14ac:dyDescent="0.2">
      <c r="A36" s="9" t="s">
        <v>15</v>
      </c>
      <c r="B36" s="69">
        <v>46101</v>
      </c>
      <c r="C36" s="30">
        <v>34</v>
      </c>
      <c r="D36" s="70">
        <v>602.78499999999997</v>
      </c>
      <c r="E36" s="69"/>
      <c r="F36" s="70"/>
      <c r="G36" s="30">
        <v>34</v>
      </c>
      <c r="H36" s="63">
        <f>IF(OR(C36="",D36=""),"",C36*D36)</f>
        <v>20494.689999999999</v>
      </c>
      <c r="I36" s="63" t="str">
        <f>IF(OR(E36="",F36="",M36&lt;=0),"",M36*F36)</f>
        <v/>
      </c>
      <c r="J36" s="63" t="str">
        <f>IF(I36="","",I36-(M36*D36))</f>
        <v/>
      </c>
      <c r="K36" s="28" t="str">
        <f>IF(A36="","",IF(T36&gt;0,"Yes","No"))</f>
        <v>No</v>
      </c>
      <c r="L36" s="28" t="str">
        <f>IF(A36="","",A36&amp;"-"&amp;TEXT(B36,"yyyymmdd")&amp;"-R"&amp;ROW())</f>
        <v>VOO-20260320-R36</v>
      </c>
      <c r="M36" s="28">
        <f>IF(OR(C36="",G36=""),"",C36-G36)</f>
        <v>0</v>
      </c>
      <c r="N36" s="63" t="str">
        <f>IF(OR(M36&lt;=0,J36&gt;=0),"",ABS(J36)/M36)</f>
        <v/>
      </c>
      <c r="O36" s="63" t="str">
        <f>IF(OR(A36="",M36&lt;=0,J36&gt;=0),"",MIN(M36,SUMPRODUCT(($A$18:$A$379=A36)*(IFERROR($B$18:$B$379&gt;=E36-30,0))*(IFERROR($B$18:$B$379&lt;=E36+30,0))*($G$18:$G$379&gt;0)*($L$18:$L$379&lt;&gt;L36)*($G$18:$G$379))+SUMPRODUCT(($A$381:$A$498=A36)*(IFERROR($B$381:$B$498&gt;=E36-30,0))*(IFERROR($B$381:$B$498&lt;=E36+30,0))*($G$381:$G$498&gt;0)*($L$381:$L$498&lt;&gt;L36)*($G$381:$G$498))))</f>
        <v/>
      </c>
      <c r="P36" s="28" t="str">
        <f>IF(OR(A36="",M36&lt;=0,J36&gt;=0),"",SUMPRODUCT(($A$18:$A$379=A36)*(IFERROR($B$18:$B$379&gt;=E36-30,0))*(IFERROR($B$18:$B$379&lt;=E36+30,0))*($G$18:$G$379&gt;0)*($L$18:$L$379&lt;&gt;L36))+SUMPRODUCT(($A$381:$A$498=A36)*(IFERROR($B$381:$B$498&gt;=E36-30,0))*(IFERROR($B$381:$B$498&lt;=E36+30,0))*($G$381:$G$498&gt;0)*($L$381:$L$498&lt;&gt;L36)))</f>
        <v/>
      </c>
      <c r="Q36" s="31" t="str">
        <f>IF(P36=1,IFERROR(INDEX($L$18:$L$379,MATCH(1,INDEX(($A$18:$A$379=A36)*(IFERROR($B$18:$B$379&gt;=E36-30,0))*(IFERROR($B$18:$B$379&lt;=E36+30,0))*($G$18:$G$379&gt;0)*($L$18:$L$379&lt;&gt;L36),0),0)),IFERROR(INDEX($L$381:$L$498,MATCH(1,INDEX(($A$381:$A$498=A36)*(IFERROR($B$381:$B$498&gt;=E36-30,0))*(IFERROR($B$381:$B$498&lt;=E36+30,0))*($G$381:$G$498&gt;0)*($L$381:$L$498&lt;&gt;L36),0),0)),"")),"")</f>
        <v/>
      </c>
      <c r="R36" s="32"/>
      <c r="S36" s="31" t="str">
        <f>IF(R36&lt;&gt;"",R36,Q36)</f>
        <v/>
      </c>
      <c r="T36" s="63">
        <f>IF(OR(N36="",O36=0),0,N36*O36)</f>
        <v>0</v>
      </c>
      <c r="U36" s="63" t="str">
        <f>IF(COUNTIF($S$18:$S$498,L36)=0,"",SUMIF($S$18:$S$498,L36,$T$18:$T$498))</f>
        <v/>
      </c>
      <c r="V36" s="63">
        <f>IF(H36="","",IFERROR(H36+U36,H36))</f>
        <v>20494.689999999999</v>
      </c>
      <c r="W36" s="63">
        <f>IF(OR(V36="",C36=""),"",V36/C36)</f>
        <v>602.78499999999997</v>
      </c>
      <c r="X36" s="11" t="str">
        <f>IF(A36="","",IF(AND(U36&lt;&gt;"",U36&lt;&gt;0,M36=0),"Replacement lot receiving wash basis",IF(J36="","",IF(J36&gt;=0,"",IF(O36=0,"No replacement buy found",IF(P36&gt;1,"Manual selection needed","Auto matched"))))))</f>
        <v/>
      </c>
      <c r="Z36" t="str">
        <f>IF(K36="Yes",COUNTIF($K$18:K36,"Yes"),"")</f>
        <v/>
      </c>
    </row>
    <row r="37" spans="1:26" ht="34.15" customHeight="1" x14ac:dyDescent="0.2">
      <c r="A37" s="9" t="s">
        <v>15</v>
      </c>
      <c r="B37" s="69">
        <v>46101</v>
      </c>
      <c r="C37" s="30">
        <v>0.13500000000000001</v>
      </c>
      <c r="D37" s="70">
        <v>602.81481481481478</v>
      </c>
      <c r="E37" s="69"/>
      <c r="F37" s="70"/>
      <c r="G37" s="30">
        <v>0.13500000000000001</v>
      </c>
      <c r="H37" s="63">
        <f>IF(OR(C37="",D37=""),"",C37*D37)</f>
        <v>81.38</v>
      </c>
      <c r="I37" s="63" t="str">
        <f>IF(OR(E37="",F37="",M37&lt;=0),"",M37*F37)</f>
        <v/>
      </c>
      <c r="J37" s="63" t="str">
        <f>IF(I37="","",I37-(M37*D37))</f>
        <v/>
      </c>
      <c r="K37" s="28" t="str">
        <f>IF(A37="","",IF(T37&gt;0,"Yes","No"))</f>
        <v>No</v>
      </c>
      <c r="L37" s="28" t="str">
        <f>IF(A37="","",A37&amp;"-"&amp;TEXT(B37,"yyyymmdd")&amp;"-R"&amp;ROW())</f>
        <v>VOO-20260320-R37</v>
      </c>
      <c r="M37" s="28">
        <f>IF(OR(C37="",G37=""),"",C37-G37)</f>
        <v>0</v>
      </c>
      <c r="N37" s="63" t="str">
        <f>IF(OR(M37&lt;=0,J37&gt;=0),"",ABS(J37)/M37)</f>
        <v/>
      </c>
      <c r="O37" s="63" t="str">
        <f>IF(OR(A37="",M37&lt;=0,J37&gt;=0),"",MIN(M37,SUMPRODUCT(($A$18:$A$379=A37)*(IFERROR($B$18:$B$379&gt;=E37-30,0))*(IFERROR($B$18:$B$379&lt;=E37+30,0))*($G$18:$G$379&gt;0)*($L$18:$L$379&lt;&gt;L37)*($G$18:$G$379))+SUMPRODUCT(($A$381:$A$498=A37)*(IFERROR($B$381:$B$498&gt;=E37-30,0))*(IFERROR($B$381:$B$498&lt;=E37+30,0))*($G$381:$G$498&gt;0)*($L$381:$L$498&lt;&gt;L37)*($G$381:$G$498))))</f>
        <v/>
      </c>
      <c r="P37" s="28" t="str">
        <f>IF(OR(A37="",M37&lt;=0,J37&gt;=0),"",SUMPRODUCT(($A$18:$A$379=A37)*(IFERROR($B$18:$B$379&gt;=E37-30,0))*(IFERROR($B$18:$B$379&lt;=E37+30,0))*($G$18:$G$379&gt;0)*($L$18:$L$379&lt;&gt;L37))+SUMPRODUCT(($A$381:$A$498=A37)*(IFERROR($B$381:$B$498&gt;=E37-30,0))*(IFERROR($B$381:$B$498&lt;=E37+30,0))*($G$381:$G$498&gt;0)*($L$381:$L$498&lt;&gt;L37)))</f>
        <v/>
      </c>
      <c r="Q37" s="31" t="str">
        <f>IF(P37=1,IFERROR(INDEX($L$18:$L$379,MATCH(1,INDEX(($A$18:$A$379=A37)*(IFERROR($B$18:$B$379&gt;=E37-30,0))*(IFERROR($B$18:$B$379&lt;=E37+30,0))*($G$18:$G$379&gt;0)*($L$18:$L$379&lt;&gt;L37),0),0)),IFERROR(INDEX($L$381:$L$498,MATCH(1,INDEX(($A$381:$A$498=A37)*(IFERROR($B$381:$B$498&gt;=E37-30,0))*(IFERROR($B$381:$B$498&lt;=E37+30,0))*($G$381:$G$498&gt;0)*($L$381:$L$498&lt;&gt;L37),0),0)),"")),"")</f>
        <v/>
      </c>
      <c r="R37" s="32"/>
      <c r="S37" s="31" t="str">
        <f>IF(R37&lt;&gt;"",R37,Q37)</f>
        <v/>
      </c>
      <c r="T37" s="63">
        <f>IF(OR(N37="",O37=0),0,N37*O37)</f>
        <v>0</v>
      </c>
      <c r="U37" s="63" t="str">
        <f>IF(COUNTIF($S$18:$S$498,L37)=0,"",SUMIF($S$18:$S$498,L37,$T$18:$T$498))</f>
        <v/>
      </c>
      <c r="V37" s="63">
        <f>IF(H37="","",IFERROR(H37+U37,H37))</f>
        <v>81.38</v>
      </c>
      <c r="W37" s="63">
        <f>IF(OR(V37="",C37=""),"",V37/C37)</f>
        <v>602.81481481481478</v>
      </c>
      <c r="X37" s="11" t="str">
        <f>IF(A37="","",IF(AND(U37&lt;&gt;"",U37&lt;&gt;0,M37=0),"Replacement lot receiving wash basis",IF(J37="","",IF(J37&gt;=0,"",IF(O37=0,"No replacement buy found",IF(P37&gt;1,"Manual selection needed","Auto matched"))))))</f>
        <v/>
      </c>
      <c r="Z37" t="str">
        <f>IF(K37="Yes",COUNTIF($K$18:K37,"Yes"),"")</f>
        <v/>
      </c>
    </row>
    <row r="38" spans="1:26" ht="34.15" customHeight="1" x14ac:dyDescent="0.2">
      <c r="A38" s="9" t="s">
        <v>18</v>
      </c>
      <c r="B38" s="69">
        <v>46108</v>
      </c>
      <c r="C38" s="30">
        <v>0.73599999999999999</v>
      </c>
      <c r="D38" s="70">
        <v>314.34782608695662</v>
      </c>
      <c r="E38" s="69"/>
      <c r="F38" s="70"/>
      <c r="G38" s="30">
        <v>0.73599999999999999</v>
      </c>
      <c r="H38" s="63">
        <f>IF(OR(C38="",D38=""),"",C38*D38)</f>
        <v>231.36000000000007</v>
      </c>
      <c r="I38" s="63" t="str">
        <f>IF(OR(E38="",F38="",M38&lt;=0),"",M38*F38)</f>
        <v/>
      </c>
      <c r="J38" s="63" t="str">
        <f>IF(I38="","",I38-(M38*D38))</f>
        <v/>
      </c>
      <c r="K38" s="28" t="str">
        <f>IF(A38="","",IF(T38&gt;0,"Yes","No"))</f>
        <v>No</v>
      </c>
      <c r="L38" s="28" t="str">
        <f>IF(A38="","",A38&amp;"-"&amp;TEXT(B38,"yyyymmdd")&amp;"-R"&amp;ROW())</f>
        <v>VTI-20260327-R38</v>
      </c>
      <c r="M38" s="28">
        <f>IF(OR(C38="",G38=""),"",C38-G38)</f>
        <v>0</v>
      </c>
      <c r="N38" s="63" t="str">
        <f>IF(OR(M38&lt;=0,J38&gt;=0),"",ABS(J38)/M38)</f>
        <v/>
      </c>
      <c r="O38" s="63" t="str">
        <f>IF(OR(A38="",M38&lt;=0,J38&gt;=0),"",MIN(M38,SUMPRODUCT(($A$18:$A$379=A38)*(IFERROR($B$18:$B$379&gt;=E38-30,0))*(IFERROR($B$18:$B$379&lt;=E38+30,0))*($G$18:$G$379&gt;0)*($L$18:$L$379&lt;&gt;L38)*($G$18:$G$379))+SUMPRODUCT(($A$381:$A$498=A38)*(IFERROR($B$381:$B$498&gt;=E38-30,0))*(IFERROR($B$381:$B$498&lt;=E38+30,0))*($G$381:$G$498&gt;0)*($L$381:$L$498&lt;&gt;L38)*($G$381:$G$498))))</f>
        <v/>
      </c>
      <c r="P38" s="28" t="str">
        <f>IF(OR(A38="",M38&lt;=0,J38&gt;=0),"",SUMPRODUCT(($A$18:$A$379=A38)*(IFERROR($B$18:$B$379&gt;=E38-30,0))*(IFERROR($B$18:$B$379&lt;=E38+30,0))*($G$18:$G$379&gt;0)*($L$18:$L$379&lt;&gt;L38))+SUMPRODUCT(($A$381:$A$498=A38)*(IFERROR($B$381:$B$498&gt;=E38-30,0))*(IFERROR($B$381:$B$498&lt;=E38+30,0))*($G$381:$G$498&gt;0)*($L$381:$L$498&lt;&gt;L38)))</f>
        <v/>
      </c>
      <c r="Q38" s="31" t="str">
        <f>IF(P38=1,IFERROR(INDEX($L$18:$L$379,MATCH(1,INDEX(($A$18:$A$379=A38)*(IFERROR($B$18:$B$379&gt;=E38-30,0))*(IFERROR($B$18:$B$379&lt;=E38+30,0))*($G$18:$G$379&gt;0)*($L$18:$L$379&lt;&gt;L38),0),0)),IFERROR(INDEX($L$381:$L$498,MATCH(1,INDEX(($A$381:$A$498=A38)*(IFERROR($B$381:$B$498&gt;=E38-30,0))*(IFERROR($B$381:$B$498&lt;=E38+30,0))*($G$381:$G$498&gt;0)*($L$381:$L$498&lt;&gt;L38),0),0)),"")),"")</f>
        <v/>
      </c>
      <c r="R38" s="32"/>
      <c r="S38" s="31" t="str">
        <f>IF(R38&lt;&gt;"",R38,Q38)</f>
        <v/>
      </c>
      <c r="T38" s="63">
        <f>IF(OR(N38="",O38=0),0,N38*O38)</f>
        <v>0</v>
      </c>
      <c r="U38" s="63" t="str">
        <f>IF(COUNTIF($S$18:$S$498,L38)=0,"",SUMIF($S$18:$S$498,L38,$T$18:$T$498))</f>
        <v/>
      </c>
      <c r="V38" s="63">
        <f>IF(H38="","",IFERROR(H38+U38,H38))</f>
        <v>231.36000000000007</v>
      </c>
      <c r="W38" s="63">
        <f>IF(OR(V38="",C38=""),"",V38/C38)</f>
        <v>314.34782608695662</v>
      </c>
      <c r="X38" s="11" t="str">
        <f>IF(A38="","",IF(AND(U38&lt;&gt;"",U38&lt;&gt;0,M38=0),"Replacement lot receiving wash basis",IF(J38="","",IF(J38&gt;=0,"",IF(O38=0,"No replacement buy found",IF(P38&gt;1,"Manual selection needed","Auto matched"))))))</f>
        <v/>
      </c>
      <c r="Z38" t="str">
        <f>IF(K38="Yes",COUNTIF($K$18:K38,"Yes"),"")</f>
        <v/>
      </c>
    </row>
    <row r="39" spans="1:26" ht="34.15" customHeight="1" x14ac:dyDescent="0.2">
      <c r="A39" s="9" t="s">
        <v>18</v>
      </c>
      <c r="B39" s="69">
        <v>46108</v>
      </c>
      <c r="C39" s="30">
        <v>63</v>
      </c>
      <c r="D39" s="70">
        <v>314.35000000000002</v>
      </c>
      <c r="E39" s="69"/>
      <c r="F39" s="70"/>
      <c r="G39" s="30">
        <v>63</v>
      </c>
      <c r="H39" s="63">
        <f>IF(OR(C39="",D39=""),"",C39*D39)</f>
        <v>19804.050000000003</v>
      </c>
      <c r="I39" s="63" t="str">
        <f>IF(OR(E39="",F39="",M39&lt;=0),"",M39*F39)</f>
        <v/>
      </c>
      <c r="J39" s="63" t="str">
        <f>IF(I39="","",I39-(M39*D39))</f>
        <v/>
      </c>
      <c r="K39" s="28" t="str">
        <f>IF(A39="","",IF(T39&gt;0,"Yes","No"))</f>
        <v>No</v>
      </c>
      <c r="L39" s="28" t="str">
        <f>IF(A39="","",A39&amp;"-"&amp;TEXT(B39,"yyyymmdd")&amp;"-R"&amp;ROW())</f>
        <v>VTI-20260327-R39</v>
      </c>
      <c r="M39" s="28">
        <f>IF(OR(C39="",G39=""),"",C39-G39)</f>
        <v>0</v>
      </c>
      <c r="N39" s="63" t="str">
        <f>IF(OR(M39&lt;=0,J39&gt;=0),"",ABS(J39)/M39)</f>
        <v/>
      </c>
      <c r="O39" s="63" t="str">
        <f>IF(OR(A39="",M39&lt;=0,J39&gt;=0),"",MIN(M39,SUMPRODUCT(($A$18:$A$379=A39)*(IFERROR($B$18:$B$379&gt;=E39-30,0))*(IFERROR($B$18:$B$379&lt;=E39+30,0))*($G$18:$G$379&gt;0)*($L$18:$L$379&lt;&gt;L39)*($G$18:$G$379))+SUMPRODUCT(($A$381:$A$498=A39)*(IFERROR($B$381:$B$498&gt;=E39-30,0))*(IFERROR($B$381:$B$498&lt;=E39+30,0))*($G$381:$G$498&gt;0)*($L$381:$L$498&lt;&gt;L39)*($G$381:$G$498))))</f>
        <v/>
      </c>
      <c r="P39" s="28" t="str">
        <f>IF(OR(A39="",M39&lt;=0,J39&gt;=0),"",SUMPRODUCT(($A$18:$A$379=A39)*(IFERROR($B$18:$B$379&gt;=E39-30,0))*(IFERROR($B$18:$B$379&lt;=E39+30,0))*($G$18:$G$379&gt;0)*($L$18:$L$379&lt;&gt;L39))+SUMPRODUCT(($A$381:$A$498=A39)*(IFERROR($B$381:$B$498&gt;=E39-30,0))*(IFERROR($B$381:$B$498&lt;=E39+30,0))*($G$381:$G$498&gt;0)*($L$381:$L$498&lt;&gt;L39)))</f>
        <v/>
      </c>
      <c r="Q39" s="31" t="str">
        <f>IF(P39=1,IFERROR(INDEX($L$18:$L$379,MATCH(1,INDEX(($A$18:$A$379=A39)*(IFERROR($B$18:$B$379&gt;=E39-30,0))*(IFERROR($B$18:$B$379&lt;=E39+30,0))*($G$18:$G$379&gt;0)*($L$18:$L$379&lt;&gt;L39),0),0)),IFERROR(INDEX($L$381:$L$498,MATCH(1,INDEX(($A$381:$A$498=A39)*(IFERROR($B$381:$B$498&gt;=E39-30,0))*(IFERROR($B$381:$B$498&lt;=E39+30,0))*($G$381:$G$498&gt;0)*($L$381:$L$498&lt;&gt;L39),0),0)),"")),"")</f>
        <v/>
      </c>
      <c r="R39" s="32"/>
      <c r="S39" s="31" t="str">
        <f>IF(R39&lt;&gt;"",R39,Q39)</f>
        <v/>
      </c>
      <c r="T39" s="63">
        <f>IF(OR(N39="",O39=0),0,N39*O39)</f>
        <v>0</v>
      </c>
      <c r="U39" s="63" t="str">
        <f>IF(COUNTIF($S$18:$S$498,L39)=0,"",SUMIF($S$18:$S$498,L39,$T$18:$T$498))</f>
        <v/>
      </c>
      <c r="V39" s="63">
        <f>IF(H39="","",IFERROR(H39+U39,H39))</f>
        <v>19804.050000000003</v>
      </c>
      <c r="W39" s="63">
        <f>IF(OR(V39="",C39=""),"",V39/C39)</f>
        <v>314.35000000000002</v>
      </c>
      <c r="X39" s="11" t="str">
        <f>IF(A39="","",IF(AND(U39&lt;&gt;"",U39&lt;&gt;0,M39=0),"Replacement lot receiving wash basis",IF(J39="","",IF(J39&gt;=0,"",IF(O39=0,"No replacement buy found",IF(P39&gt;1,"Manual selection needed","Auto matched"))))))</f>
        <v/>
      </c>
      <c r="Z39" t="str">
        <f>IF(K39="Yes",COUNTIF($K$18:K39,"Yes"),"")</f>
        <v/>
      </c>
    </row>
    <row r="40" spans="1:26" ht="34.15" customHeight="1" x14ac:dyDescent="0.2">
      <c r="A40" s="9"/>
      <c r="B40" s="69"/>
      <c r="C40" s="30"/>
      <c r="D40" s="70"/>
      <c r="E40" s="69"/>
      <c r="F40" s="70"/>
      <c r="G40" s="30"/>
      <c r="H40" s="63" t="str">
        <f>IF(OR(C40="",D40=""),"",C40*D40)</f>
        <v/>
      </c>
      <c r="I40" s="63" t="str">
        <f>IF(OR(E40="",F40="",M40&lt;=0),"",M40*F40)</f>
        <v/>
      </c>
      <c r="J40" s="63" t="str">
        <f>IF(I40="","",I40-(M40*D40))</f>
        <v/>
      </c>
      <c r="K40" s="28" t="str">
        <f>IF(A40="","",IF(T40&gt;0,"Yes","No"))</f>
        <v/>
      </c>
      <c r="L40" s="28" t="str">
        <f>IF(A40="","",A40&amp;"-"&amp;TEXT(B40,"yyyymmdd")&amp;"-R"&amp;ROW())</f>
        <v/>
      </c>
      <c r="M40" s="28" t="str">
        <f>IF(OR(C40="",G40=""),"",C40-G40)</f>
        <v/>
      </c>
      <c r="N40" s="63" t="str">
        <f>IF(OR(M40&lt;=0,J40&gt;=0),"",ABS(J40)/M40)</f>
        <v/>
      </c>
      <c r="O40" s="63" t="str">
        <f>IF(OR(A40="",M40&lt;=0,J40&gt;=0),"",MIN(M40,SUMPRODUCT(($A$18:$A$379=A40)*(IFERROR($B$18:$B$379&gt;=E40-30,0))*(IFERROR($B$18:$B$379&lt;=E40+30,0))*($G$18:$G$379&gt;0)*($L$18:$L$379&lt;&gt;L40)*($G$18:$G$379))+SUMPRODUCT(($A$381:$A$498=A40)*(IFERROR($B$381:$B$498&gt;=E40-30,0))*(IFERROR($B$381:$B$498&lt;=E40+30,0))*($G$381:$G$498&gt;0)*($L$381:$L$498&lt;&gt;L40)*($G$381:$G$498))))</f>
        <v/>
      </c>
      <c r="P40" s="28" t="str">
        <f>IF(OR(A40="",M40&lt;=0,J40&gt;=0),"",SUMPRODUCT(($A$18:$A$379=A40)*(IFERROR($B$18:$B$379&gt;=E40-30,0))*(IFERROR($B$18:$B$379&lt;=E40+30,0))*($G$18:$G$379&gt;0)*($L$18:$L$379&lt;&gt;L40))+SUMPRODUCT(($A$381:$A$498=A40)*(IFERROR($B$381:$B$498&gt;=E40-30,0))*(IFERROR($B$381:$B$498&lt;=E40+30,0))*($G$381:$G$498&gt;0)*($L$381:$L$498&lt;&gt;L40)))</f>
        <v/>
      </c>
      <c r="Q40" s="31" t="str">
        <f>IF(P40=1,IFERROR(INDEX($L$18:$L$379,MATCH(1,INDEX(($A$18:$A$379=A40)*(IFERROR($B$18:$B$379&gt;=E40-30,0))*(IFERROR($B$18:$B$379&lt;=E40+30,0))*($G$18:$G$379&gt;0)*($L$18:$L$379&lt;&gt;L40),0),0)),IFERROR(INDEX($L$381:$L$498,MATCH(1,INDEX(($A$381:$A$498=A40)*(IFERROR($B$381:$B$498&gt;=E40-30,0))*(IFERROR($B$381:$B$498&lt;=E40+30,0))*($G$381:$G$498&gt;0)*($L$381:$L$498&lt;&gt;L40),0),0)),"")),"")</f>
        <v/>
      </c>
      <c r="R40" s="32"/>
      <c r="S40" s="31" t="str">
        <f>IF(R40&lt;&gt;"",R40,Q40)</f>
        <v/>
      </c>
      <c r="T40" s="63">
        <f>IF(OR(N40="",O40=0),0,N40*O40)</f>
        <v>0</v>
      </c>
      <c r="U40" s="63">
        <f>IF(COUNTIF($S$18:$S$498,L40)=0,"",SUMIF($S$18:$S$498,L40,$T$18:$T$498))</f>
        <v>0</v>
      </c>
      <c r="V40" s="63" t="str">
        <f>IF(H40="","",IFERROR(H40+U40,H40))</f>
        <v/>
      </c>
      <c r="W40" s="63" t="str">
        <f>IF(OR(V40="",C40=""),"",V40/C40)</f>
        <v/>
      </c>
      <c r="X40" s="11" t="str">
        <f>IF(A40="","",IF(AND(U40&lt;&gt;"",U40&lt;&gt;0,M40=0),"Replacement lot receiving wash basis",IF(J40="","",IF(J40&gt;=0,"",IF(O40=0,"No replacement buy found",IF(P40&gt;1,"Manual selection needed","Auto matched"))))))</f>
        <v/>
      </c>
      <c r="Z40" t="str">
        <f>IF(K40="Yes",COUNTIF($K$18:K40,"Yes"),"")</f>
        <v/>
      </c>
    </row>
    <row r="41" spans="1:26" ht="34.15" customHeight="1" x14ac:dyDescent="0.2">
      <c r="A41" s="9"/>
      <c r="B41" s="69"/>
      <c r="C41" s="30"/>
      <c r="D41" s="70"/>
      <c r="E41" s="69"/>
      <c r="F41" s="70"/>
      <c r="G41" s="30"/>
      <c r="H41" s="63" t="str">
        <f>IF(OR(C41="",D41=""),"",C41*D41)</f>
        <v/>
      </c>
      <c r="I41" s="63" t="str">
        <f>IF(OR(E41="",F41="",M41&lt;=0),"",M41*F41)</f>
        <v/>
      </c>
      <c r="J41" s="63" t="str">
        <f>IF(I41="","",I41-(M41*D41))</f>
        <v/>
      </c>
      <c r="K41" s="28" t="str">
        <f>IF(A41="","",IF(T41&gt;0,"Yes","No"))</f>
        <v/>
      </c>
      <c r="L41" s="28" t="str">
        <f>IF(A41="","",A41&amp;"-"&amp;TEXT(B41,"yyyymmdd")&amp;"-R"&amp;ROW())</f>
        <v/>
      </c>
      <c r="M41" s="28" t="str">
        <f>IF(OR(C41="",G41=""),"",C41-G41)</f>
        <v/>
      </c>
      <c r="N41" s="63" t="str">
        <f>IF(OR(M41&lt;=0,J41&gt;=0),"",ABS(J41)/M41)</f>
        <v/>
      </c>
      <c r="O41" s="63" t="str">
        <f>IF(OR(A41="",M41&lt;=0,J41&gt;=0),"",MIN(M41,SUMPRODUCT(($A$18:$A$379=A41)*(IFERROR($B$18:$B$379&gt;=E41-30,0))*(IFERROR($B$18:$B$379&lt;=E41+30,0))*($G$18:$G$379&gt;0)*($L$18:$L$379&lt;&gt;L41)*($G$18:$G$379))+SUMPRODUCT(($A$381:$A$498=A41)*(IFERROR($B$381:$B$498&gt;=E41-30,0))*(IFERROR($B$381:$B$498&lt;=E41+30,0))*($G$381:$G$498&gt;0)*($L$381:$L$498&lt;&gt;L41)*($G$381:$G$498))))</f>
        <v/>
      </c>
      <c r="P41" s="28" t="str">
        <f>IF(OR(A41="",M41&lt;=0,J41&gt;=0),"",SUMPRODUCT(($A$18:$A$379=A41)*(IFERROR($B$18:$B$379&gt;=E41-30,0))*(IFERROR($B$18:$B$379&lt;=E41+30,0))*($G$18:$G$379&gt;0)*($L$18:$L$379&lt;&gt;L41))+SUMPRODUCT(($A$381:$A$498=A41)*(IFERROR($B$381:$B$498&gt;=E41-30,0))*(IFERROR($B$381:$B$498&lt;=E41+30,0))*($G$381:$G$498&gt;0)*($L$381:$L$498&lt;&gt;L41)))</f>
        <v/>
      </c>
      <c r="Q41" s="31" t="str">
        <f>IF(P41=1,IFERROR(INDEX($L$18:$L$379,MATCH(1,INDEX(($A$18:$A$379=A41)*(IFERROR($B$18:$B$379&gt;=E41-30,0))*(IFERROR($B$18:$B$379&lt;=E41+30,0))*($G$18:$G$379&gt;0)*($L$18:$L$379&lt;&gt;L41),0),0)),IFERROR(INDEX($L$381:$L$498,MATCH(1,INDEX(($A$381:$A$498=A41)*(IFERROR($B$381:$B$498&gt;=E41-30,0))*(IFERROR($B$381:$B$498&lt;=E41+30,0))*($G$381:$G$498&gt;0)*($L$381:$L$498&lt;&gt;L41),0),0)),"")),"")</f>
        <v/>
      </c>
      <c r="R41" s="32"/>
      <c r="S41" s="31" t="str">
        <f>IF(R41&lt;&gt;"",R41,Q41)</f>
        <v/>
      </c>
      <c r="T41" s="63">
        <f>IF(OR(N41="",O41=0),0,N41*O41)</f>
        <v>0</v>
      </c>
      <c r="U41" s="63">
        <f>IF(COUNTIF($S$18:$S$498,L41)=0,"",SUMIF($S$18:$S$498,L41,$T$18:$T$498))</f>
        <v>0</v>
      </c>
      <c r="V41" s="63" t="str">
        <f>IF(H41="","",IFERROR(H41+U41,H41))</f>
        <v/>
      </c>
      <c r="W41" s="63" t="str">
        <f>IF(OR(V41="",C41=""),"",V41/C41)</f>
        <v/>
      </c>
      <c r="X41" s="11" t="str">
        <f>IF(A41="","",IF(AND(U41&lt;&gt;"",U41&lt;&gt;0,M41=0),"Replacement lot receiving wash basis",IF(J41="","",IF(J41&gt;=0,"",IF(O41=0,"No replacement buy found",IF(P41&gt;1,"Manual selection needed","Auto matched"))))))</f>
        <v/>
      </c>
      <c r="Z41" t="str">
        <f>IF(K41="Yes",COUNTIF($K$18:K41,"Yes"),"")</f>
        <v/>
      </c>
    </row>
    <row r="42" spans="1:26" ht="34.15" customHeight="1" x14ac:dyDescent="0.2">
      <c r="A42" s="9"/>
      <c r="B42" s="69"/>
      <c r="C42" s="30"/>
      <c r="D42" s="70"/>
      <c r="E42" s="69"/>
      <c r="F42" s="70"/>
      <c r="G42" s="30"/>
      <c r="H42" s="63" t="str">
        <f>IF(OR(C42="",D42=""),"",C42*D42)</f>
        <v/>
      </c>
      <c r="I42" s="63" t="str">
        <f>IF(OR(E42="",F42="",M42&lt;=0),"",M42*F42)</f>
        <v/>
      </c>
      <c r="J42" s="63" t="str">
        <f>IF(I42="","",I42-(M42*D42))</f>
        <v/>
      </c>
      <c r="K42" s="28" t="str">
        <f>IF(A42="","",IF(T42&gt;0,"Yes","No"))</f>
        <v/>
      </c>
      <c r="L42" s="28" t="str">
        <f>IF(A42="","",A42&amp;"-"&amp;TEXT(B42,"yyyymmdd")&amp;"-R"&amp;ROW())</f>
        <v/>
      </c>
      <c r="M42" s="28" t="str">
        <f>IF(OR(C42="",G42=""),"",C42-G42)</f>
        <v/>
      </c>
      <c r="N42" s="63" t="str">
        <f>IF(OR(M42&lt;=0,J42&gt;=0),"",ABS(J42)/M42)</f>
        <v/>
      </c>
      <c r="O42" s="63" t="str">
        <f>IF(OR(A42="",M42&lt;=0,J42&gt;=0),"",MIN(M42,SUMPRODUCT(($A$18:$A$379=A42)*(IFERROR($B$18:$B$379&gt;=E42-30,0))*(IFERROR($B$18:$B$379&lt;=E42+30,0))*($G$18:$G$379&gt;0)*($L$18:$L$379&lt;&gt;L42)*($G$18:$G$379))+SUMPRODUCT(($A$381:$A$498=A42)*(IFERROR($B$381:$B$498&gt;=E42-30,0))*(IFERROR($B$381:$B$498&lt;=E42+30,0))*($G$381:$G$498&gt;0)*($L$381:$L$498&lt;&gt;L42)*($G$381:$G$498))))</f>
        <v/>
      </c>
      <c r="P42" s="28" t="str">
        <f>IF(OR(A42="",M42&lt;=0,J42&gt;=0),"",SUMPRODUCT(($A$18:$A$379=A42)*(IFERROR($B$18:$B$379&gt;=E42-30,0))*(IFERROR($B$18:$B$379&lt;=E42+30,0))*($G$18:$G$379&gt;0)*($L$18:$L$379&lt;&gt;L42))+SUMPRODUCT(($A$381:$A$498=A42)*(IFERROR($B$381:$B$498&gt;=E42-30,0))*(IFERROR($B$381:$B$498&lt;=E42+30,0))*($G$381:$G$498&gt;0)*($L$381:$L$498&lt;&gt;L42)))</f>
        <v/>
      </c>
      <c r="Q42" s="31" t="str">
        <f>IF(P42=1,IFERROR(INDEX($L$18:$L$379,MATCH(1,INDEX(($A$18:$A$379=A42)*(IFERROR($B$18:$B$379&gt;=E42-30,0))*(IFERROR($B$18:$B$379&lt;=E42+30,0))*($G$18:$G$379&gt;0)*($L$18:$L$379&lt;&gt;L42),0),0)),IFERROR(INDEX($L$381:$L$498,MATCH(1,INDEX(($A$381:$A$498=A42)*(IFERROR($B$381:$B$498&gt;=E42-30,0))*(IFERROR($B$381:$B$498&lt;=E42+30,0))*($G$381:$G$498&gt;0)*($L$381:$L$498&lt;&gt;L42),0),0)),"")),"")</f>
        <v/>
      </c>
      <c r="R42" s="32"/>
      <c r="S42" s="31" t="str">
        <f>IF(R42&lt;&gt;"",R42,Q42)</f>
        <v/>
      </c>
      <c r="T42" s="63">
        <f>IF(OR(N42="",O42=0),0,N42*O42)</f>
        <v>0</v>
      </c>
      <c r="U42" s="63">
        <f>IF(COUNTIF($S$18:$S$498,L42)=0,"",SUMIF($S$18:$S$498,L42,$T$18:$T$498))</f>
        <v>0</v>
      </c>
      <c r="V42" s="63" t="str">
        <f>IF(H42="","",IFERROR(H42+U42,H42))</f>
        <v/>
      </c>
      <c r="W42" s="63" t="str">
        <f>IF(OR(V42="",C42=""),"",V42/C42)</f>
        <v/>
      </c>
      <c r="X42" s="11" t="str">
        <f>IF(A42="","",IF(AND(U42&lt;&gt;"",U42&lt;&gt;0,M42=0),"Replacement lot receiving wash basis",IF(J42="","",IF(J42&gt;=0,"",IF(O42=0,"No replacement buy found",IF(P42&gt;1,"Manual selection needed","Auto matched"))))))</f>
        <v/>
      </c>
      <c r="Z42" t="str">
        <f>IF(K42="Yes",COUNTIF($K$18:K42,"Yes"),"")</f>
        <v/>
      </c>
    </row>
    <row r="43" spans="1:26" ht="34.15" customHeight="1" x14ac:dyDescent="0.2">
      <c r="A43" s="9"/>
      <c r="B43" s="69"/>
      <c r="C43" s="30"/>
      <c r="D43" s="70"/>
      <c r="E43" s="69"/>
      <c r="F43" s="70"/>
      <c r="G43" s="30"/>
      <c r="H43" s="63" t="str">
        <f>IF(OR(C43="",D43=""),"",C43*D43)</f>
        <v/>
      </c>
      <c r="I43" s="63" t="str">
        <f>IF(OR(E43="",F43="",M43&lt;=0),"",M43*F43)</f>
        <v/>
      </c>
      <c r="J43" s="63" t="str">
        <f>IF(I43="","",I43-(M43*D43))</f>
        <v/>
      </c>
      <c r="K43" s="28" t="str">
        <f>IF(A43="","",IF(T43&gt;0,"Yes","No"))</f>
        <v/>
      </c>
      <c r="L43" s="28" t="str">
        <f>IF(A43="","",A43&amp;"-"&amp;TEXT(B43,"yyyymmdd")&amp;"-R"&amp;ROW())</f>
        <v/>
      </c>
      <c r="M43" s="28" t="str">
        <f>IF(OR(C43="",G43=""),"",C43-G43)</f>
        <v/>
      </c>
      <c r="N43" s="63" t="str">
        <f>IF(OR(M43&lt;=0,J43&gt;=0),"",ABS(J43)/M43)</f>
        <v/>
      </c>
      <c r="O43" s="63" t="str">
        <f>IF(OR(A43="",M43&lt;=0,J43&gt;=0),"",MIN(M43,SUMPRODUCT(($A$18:$A$379=A43)*(IFERROR($B$18:$B$379&gt;=E43-30,0))*(IFERROR($B$18:$B$379&lt;=E43+30,0))*($G$18:$G$379&gt;0)*($L$18:$L$379&lt;&gt;L43)*($G$18:$G$379))+SUMPRODUCT(($A$381:$A$498=A43)*(IFERROR($B$381:$B$498&gt;=E43-30,0))*(IFERROR($B$381:$B$498&lt;=E43+30,0))*($G$381:$G$498&gt;0)*($L$381:$L$498&lt;&gt;L43)*($G$381:$G$498))))</f>
        <v/>
      </c>
      <c r="P43" s="28" t="str">
        <f>IF(OR(A43="",M43&lt;=0,J43&gt;=0),"",SUMPRODUCT(($A$18:$A$379=A43)*(IFERROR($B$18:$B$379&gt;=E43-30,0))*(IFERROR($B$18:$B$379&lt;=E43+30,0))*($G$18:$G$379&gt;0)*($L$18:$L$379&lt;&gt;L43))+SUMPRODUCT(($A$381:$A$498=A43)*(IFERROR($B$381:$B$498&gt;=E43-30,0))*(IFERROR($B$381:$B$498&lt;=E43+30,0))*($G$381:$G$498&gt;0)*($L$381:$L$498&lt;&gt;L43)))</f>
        <v/>
      </c>
      <c r="Q43" s="31" t="str">
        <f>IF(P43=1,IFERROR(INDEX($L$18:$L$379,MATCH(1,INDEX(($A$18:$A$379=A43)*(IFERROR($B$18:$B$379&gt;=E43-30,0))*(IFERROR($B$18:$B$379&lt;=E43+30,0))*($G$18:$G$379&gt;0)*($L$18:$L$379&lt;&gt;L43),0),0)),IFERROR(INDEX($L$381:$L$498,MATCH(1,INDEX(($A$381:$A$498=A43)*(IFERROR($B$381:$B$498&gt;=E43-30,0))*(IFERROR($B$381:$B$498&lt;=E43+30,0))*($G$381:$G$498&gt;0)*($L$381:$L$498&lt;&gt;L43),0),0)),"")),"")</f>
        <v/>
      </c>
      <c r="R43" s="32"/>
      <c r="S43" s="31" t="str">
        <f>IF(R43&lt;&gt;"",R43,Q43)</f>
        <v/>
      </c>
      <c r="T43" s="63">
        <f>IF(OR(N43="",O43=0),0,N43*O43)</f>
        <v>0</v>
      </c>
      <c r="U43" s="63">
        <f>IF(COUNTIF($S$18:$S$498,L43)=0,"",SUMIF($S$18:$S$498,L43,$T$18:$T$498))</f>
        <v>0</v>
      </c>
      <c r="V43" s="63" t="str">
        <f>IF(H43="","",IFERROR(H43+U43,H43))</f>
        <v/>
      </c>
      <c r="W43" s="63" t="str">
        <f>IF(OR(V43="",C43=""),"",V43/C43)</f>
        <v/>
      </c>
      <c r="X43" s="11" t="str">
        <f>IF(A43="","",IF(AND(U43&lt;&gt;"",U43&lt;&gt;0,M43=0),"Replacement lot receiving wash basis",IF(J43="","",IF(J43&gt;=0,"",IF(O43=0,"No replacement buy found",IF(P43&gt;1,"Manual selection needed","Auto matched"))))))</f>
        <v/>
      </c>
      <c r="Z43" t="str">
        <f>IF(K43="Yes",COUNTIF($K$18:K43,"Yes"),"")</f>
        <v/>
      </c>
    </row>
    <row r="44" spans="1:26" ht="34.15" customHeight="1" x14ac:dyDescent="0.2">
      <c r="A44" s="9"/>
      <c r="B44" s="69"/>
      <c r="C44" s="30"/>
      <c r="D44" s="70"/>
      <c r="E44" s="69"/>
      <c r="F44" s="70"/>
      <c r="G44" s="30"/>
      <c r="H44" s="63" t="str">
        <f>IF(OR(C44="",D44=""),"",C44*D44)</f>
        <v/>
      </c>
      <c r="I44" s="63" t="str">
        <f>IF(OR(E44="",F44="",M44&lt;=0),"",M44*F44)</f>
        <v/>
      </c>
      <c r="J44" s="63" t="str">
        <f>IF(I44="","",I44-(M44*D44))</f>
        <v/>
      </c>
      <c r="K44" s="28" t="str">
        <f>IF(A44="","",IF(T44&gt;0,"Yes","No"))</f>
        <v/>
      </c>
      <c r="L44" s="28" t="str">
        <f>IF(A44="","",A44&amp;"-"&amp;TEXT(B44,"yyyymmdd")&amp;"-R"&amp;ROW())</f>
        <v/>
      </c>
      <c r="M44" s="28" t="str">
        <f>IF(OR(C44="",G44=""),"",C44-G44)</f>
        <v/>
      </c>
      <c r="N44" s="63" t="str">
        <f>IF(OR(M44&lt;=0,J44&gt;=0),"",ABS(J44)/M44)</f>
        <v/>
      </c>
      <c r="O44" s="63" t="str">
        <f>IF(OR(A44="",M44&lt;=0,J44&gt;=0),"",MIN(M44,SUMPRODUCT(($A$18:$A$379=A44)*(IFERROR($B$18:$B$379&gt;=E44-30,0))*(IFERROR($B$18:$B$379&lt;=E44+30,0))*($G$18:$G$379&gt;0)*($L$18:$L$379&lt;&gt;L44)*($G$18:$G$379))+SUMPRODUCT(($A$381:$A$498=A44)*(IFERROR($B$381:$B$498&gt;=E44-30,0))*(IFERROR($B$381:$B$498&lt;=E44+30,0))*($G$381:$G$498&gt;0)*($L$381:$L$498&lt;&gt;L44)*($G$381:$G$498))))</f>
        <v/>
      </c>
      <c r="P44" s="28" t="str">
        <f>IF(OR(A44="",M44&lt;=0,J44&gt;=0),"",SUMPRODUCT(($A$18:$A$379=A44)*(IFERROR($B$18:$B$379&gt;=E44-30,0))*(IFERROR($B$18:$B$379&lt;=E44+30,0))*($G$18:$G$379&gt;0)*($L$18:$L$379&lt;&gt;L44))+SUMPRODUCT(($A$381:$A$498=A44)*(IFERROR($B$381:$B$498&gt;=E44-30,0))*(IFERROR($B$381:$B$498&lt;=E44+30,0))*($G$381:$G$498&gt;0)*($L$381:$L$498&lt;&gt;L44)))</f>
        <v/>
      </c>
      <c r="Q44" s="31" t="str">
        <f>IF(P44=1,IFERROR(INDEX($L$18:$L$379,MATCH(1,INDEX(($A$18:$A$379=A44)*(IFERROR($B$18:$B$379&gt;=E44-30,0))*(IFERROR($B$18:$B$379&lt;=E44+30,0))*($G$18:$G$379&gt;0)*($L$18:$L$379&lt;&gt;L44),0),0)),IFERROR(INDEX($L$381:$L$498,MATCH(1,INDEX(($A$381:$A$498=A44)*(IFERROR($B$381:$B$498&gt;=E44-30,0))*(IFERROR($B$381:$B$498&lt;=E44+30,0))*($G$381:$G$498&gt;0)*($L$381:$L$498&lt;&gt;L44),0),0)),"")),"")</f>
        <v/>
      </c>
      <c r="R44" s="32"/>
      <c r="S44" s="31" t="str">
        <f>IF(R44&lt;&gt;"",R44,Q44)</f>
        <v/>
      </c>
      <c r="T44" s="63">
        <f>IF(OR(N44="",O44=0),0,N44*O44)</f>
        <v>0</v>
      </c>
      <c r="U44" s="63">
        <f>IF(COUNTIF($S$18:$S$498,L44)=0,"",SUMIF($S$18:$S$498,L44,$T$18:$T$498))</f>
        <v>0</v>
      </c>
      <c r="V44" s="63" t="str">
        <f>IF(H44="","",IFERROR(H44+U44,H44))</f>
        <v/>
      </c>
      <c r="W44" s="63" t="str">
        <f>IF(OR(V44="",C44=""),"",V44/C44)</f>
        <v/>
      </c>
      <c r="X44" s="11" t="str">
        <f>IF(A44="","",IF(AND(U44&lt;&gt;"",U44&lt;&gt;0,M44=0),"Replacement lot receiving wash basis",IF(J44="","",IF(J44&gt;=0,"",IF(O44=0,"No replacement buy found",IF(P44&gt;1,"Manual selection needed","Auto matched"))))))</f>
        <v/>
      </c>
      <c r="Z44" t="str">
        <f>IF(K44="Yes",COUNTIF($K$18:K44,"Yes"),"")</f>
        <v/>
      </c>
    </row>
    <row r="45" spans="1:26" ht="34.15" customHeight="1" x14ac:dyDescent="0.2">
      <c r="A45" s="9"/>
      <c r="B45" s="69"/>
      <c r="C45" s="30"/>
      <c r="D45" s="70"/>
      <c r="E45" s="69"/>
      <c r="F45" s="70"/>
      <c r="G45" s="30"/>
      <c r="H45" s="63" t="str">
        <f>IF(OR(C45="",D45=""),"",C45*D45)</f>
        <v/>
      </c>
      <c r="I45" s="63" t="str">
        <f>IF(OR(E45="",F45="",M45&lt;=0),"",M45*F45)</f>
        <v/>
      </c>
      <c r="J45" s="63" t="str">
        <f>IF(I45="","",I45-(M45*D45))</f>
        <v/>
      </c>
      <c r="K45" s="28" t="str">
        <f>IF(A45="","",IF(T45&gt;0,"Yes","No"))</f>
        <v/>
      </c>
      <c r="L45" s="28" t="str">
        <f>IF(A45="","",A45&amp;"-"&amp;TEXT(B45,"yyyymmdd")&amp;"-R"&amp;ROW())</f>
        <v/>
      </c>
      <c r="M45" s="28" t="str">
        <f>IF(OR(C45="",G45=""),"",C45-G45)</f>
        <v/>
      </c>
      <c r="N45" s="63" t="str">
        <f>IF(OR(M45&lt;=0,J45&gt;=0),"",ABS(J45)/M45)</f>
        <v/>
      </c>
      <c r="O45" s="63" t="str">
        <f>IF(OR(A45="",M45&lt;=0,J45&gt;=0),"",MIN(M45,SUMPRODUCT(($A$18:$A$379=A45)*(IFERROR($B$18:$B$379&gt;=E45-30,0))*(IFERROR($B$18:$B$379&lt;=E45+30,0))*($G$18:$G$379&gt;0)*($L$18:$L$379&lt;&gt;L45)*($G$18:$G$379))+SUMPRODUCT(($A$381:$A$498=A45)*(IFERROR($B$381:$B$498&gt;=E45-30,0))*(IFERROR($B$381:$B$498&lt;=E45+30,0))*($G$381:$G$498&gt;0)*($L$381:$L$498&lt;&gt;L45)*($G$381:$G$498))))</f>
        <v/>
      </c>
      <c r="P45" s="28" t="str">
        <f>IF(OR(A45="",M45&lt;=0,J45&gt;=0),"",SUMPRODUCT(($A$18:$A$379=A45)*(IFERROR($B$18:$B$379&gt;=E45-30,0))*(IFERROR($B$18:$B$379&lt;=E45+30,0))*($G$18:$G$379&gt;0)*($L$18:$L$379&lt;&gt;L45))+SUMPRODUCT(($A$381:$A$498=A45)*(IFERROR($B$381:$B$498&gt;=E45-30,0))*(IFERROR($B$381:$B$498&lt;=E45+30,0))*($G$381:$G$498&gt;0)*($L$381:$L$498&lt;&gt;L45)))</f>
        <v/>
      </c>
      <c r="Q45" s="31" t="str">
        <f>IF(P45=1,IFERROR(INDEX($L$18:$L$379,MATCH(1,INDEX(($A$18:$A$379=A45)*(IFERROR($B$18:$B$379&gt;=E45-30,0))*(IFERROR($B$18:$B$379&lt;=E45+30,0))*($G$18:$G$379&gt;0)*($L$18:$L$379&lt;&gt;L45),0),0)),IFERROR(INDEX($L$381:$L$498,MATCH(1,INDEX(($A$381:$A$498=A45)*(IFERROR($B$381:$B$498&gt;=E45-30,0))*(IFERROR($B$381:$B$498&lt;=E45+30,0))*($G$381:$G$498&gt;0)*($L$381:$L$498&lt;&gt;L45),0),0)),"")),"")</f>
        <v/>
      </c>
      <c r="R45" s="32"/>
      <c r="S45" s="31" t="str">
        <f>IF(R45&lt;&gt;"",R45,Q45)</f>
        <v/>
      </c>
      <c r="T45" s="63">
        <f>IF(OR(N45="",O45=0),0,N45*O45)</f>
        <v>0</v>
      </c>
      <c r="U45" s="63">
        <f>IF(COUNTIF($S$18:$S$498,L45)=0,"",SUMIF($S$18:$S$498,L45,$T$18:$T$498))</f>
        <v>0</v>
      </c>
      <c r="V45" s="63" t="str">
        <f>IF(H45="","",IFERROR(H45+U45,H45))</f>
        <v/>
      </c>
      <c r="W45" s="63" t="str">
        <f>IF(OR(V45="",C45=""),"",V45/C45)</f>
        <v/>
      </c>
      <c r="X45" s="11" t="str">
        <f>IF(A45="","",IF(AND(U45&lt;&gt;"",U45&lt;&gt;0,M45=0),"Replacement lot receiving wash basis",IF(J45="","",IF(J45&gt;=0,"",IF(O45=0,"No replacement buy found",IF(P45&gt;1,"Manual selection needed","Auto matched"))))))</f>
        <v/>
      </c>
      <c r="Z45" t="str">
        <f>IF(K45="Yes",COUNTIF($K$18:K45,"Yes"),"")</f>
        <v/>
      </c>
    </row>
    <row r="46" spans="1:26" ht="34.15" customHeight="1" x14ac:dyDescent="0.2">
      <c r="A46" s="9"/>
      <c r="B46" s="69"/>
      <c r="C46" s="30"/>
      <c r="D46" s="70"/>
      <c r="E46" s="69"/>
      <c r="F46" s="70"/>
      <c r="G46" s="30"/>
      <c r="H46" s="63" t="str">
        <f>IF(OR(C46="",D46=""),"",C46*D46)</f>
        <v/>
      </c>
      <c r="I46" s="63" t="str">
        <f>IF(OR(E46="",F46="",M46&lt;=0),"",M46*F46)</f>
        <v/>
      </c>
      <c r="J46" s="63" t="str">
        <f>IF(I46="","",I46-(M46*D46))</f>
        <v/>
      </c>
      <c r="K46" s="28" t="str">
        <f>IF(A46="","",IF(T46&gt;0,"Yes","No"))</f>
        <v/>
      </c>
      <c r="L46" s="28" t="str">
        <f>IF(A46="","",A46&amp;"-"&amp;TEXT(B46,"yyyymmdd")&amp;"-R"&amp;ROW())</f>
        <v/>
      </c>
      <c r="M46" s="28" t="str">
        <f>IF(OR(C46="",G46=""),"",C46-G46)</f>
        <v/>
      </c>
      <c r="N46" s="63" t="str">
        <f>IF(OR(M46&lt;=0,J46&gt;=0),"",ABS(J46)/M46)</f>
        <v/>
      </c>
      <c r="O46" s="63" t="str">
        <f>IF(OR(A46="",M46&lt;=0,J46&gt;=0),"",MIN(M46,SUMPRODUCT(($A$18:$A$379=A46)*(IFERROR($B$18:$B$379&gt;=E46-30,0))*(IFERROR($B$18:$B$379&lt;=E46+30,0))*($G$18:$G$379&gt;0)*($L$18:$L$379&lt;&gt;L46)*($G$18:$G$379))+SUMPRODUCT(($A$381:$A$498=A46)*(IFERROR($B$381:$B$498&gt;=E46-30,0))*(IFERROR($B$381:$B$498&lt;=E46+30,0))*($G$381:$G$498&gt;0)*($L$381:$L$498&lt;&gt;L46)*($G$381:$G$498))))</f>
        <v/>
      </c>
      <c r="P46" s="28" t="str">
        <f>IF(OR(A46="",M46&lt;=0,J46&gt;=0),"",SUMPRODUCT(($A$18:$A$379=A46)*(IFERROR($B$18:$B$379&gt;=E46-30,0))*(IFERROR($B$18:$B$379&lt;=E46+30,0))*($G$18:$G$379&gt;0)*($L$18:$L$379&lt;&gt;L46))+SUMPRODUCT(($A$381:$A$498=A46)*(IFERROR($B$381:$B$498&gt;=E46-30,0))*(IFERROR($B$381:$B$498&lt;=E46+30,0))*($G$381:$G$498&gt;0)*($L$381:$L$498&lt;&gt;L46)))</f>
        <v/>
      </c>
      <c r="Q46" s="31" t="str">
        <f>IF(P46=1,IFERROR(INDEX($L$18:$L$379,MATCH(1,INDEX(($A$18:$A$379=A46)*(IFERROR($B$18:$B$379&gt;=E46-30,0))*(IFERROR($B$18:$B$379&lt;=E46+30,0))*($G$18:$G$379&gt;0)*($L$18:$L$379&lt;&gt;L46),0),0)),IFERROR(INDEX($L$381:$L$498,MATCH(1,INDEX(($A$381:$A$498=A46)*(IFERROR($B$381:$B$498&gt;=E46-30,0))*(IFERROR($B$381:$B$498&lt;=E46+30,0))*($G$381:$G$498&gt;0)*($L$381:$L$498&lt;&gt;L46),0),0)),"")),"")</f>
        <v/>
      </c>
      <c r="R46" s="32"/>
      <c r="S46" s="31" t="str">
        <f>IF(R46&lt;&gt;"",R46,Q46)</f>
        <v/>
      </c>
      <c r="T46" s="63">
        <f>IF(OR(N46="",O46=0),0,N46*O46)</f>
        <v>0</v>
      </c>
      <c r="U46" s="63">
        <f>IF(COUNTIF($S$18:$S$498,L46)=0,"",SUMIF($S$18:$S$498,L46,$T$18:$T$498))</f>
        <v>0</v>
      </c>
      <c r="V46" s="63" t="str">
        <f>IF(H46="","",IFERROR(H46+U46,H46))</f>
        <v/>
      </c>
      <c r="W46" s="63" t="str">
        <f>IF(OR(V46="",C46=""),"",V46/C46)</f>
        <v/>
      </c>
      <c r="X46" s="11" t="str">
        <f>IF(A46="","",IF(AND(U46&lt;&gt;"",U46&lt;&gt;0,M46=0),"Replacement lot receiving wash basis",IF(J46="","",IF(J46&gt;=0,"",IF(O46=0,"No replacement buy found",IF(P46&gt;1,"Manual selection needed","Auto matched"))))))</f>
        <v/>
      </c>
      <c r="Z46" t="str">
        <f>IF(K46="Yes",COUNTIF($K$18:K46,"Yes"),"")</f>
        <v/>
      </c>
    </row>
    <row r="47" spans="1:26" ht="34.15" customHeight="1" x14ac:dyDescent="0.2">
      <c r="A47" s="9"/>
      <c r="B47" s="69"/>
      <c r="C47" s="30"/>
      <c r="D47" s="70"/>
      <c r="E47" s="69"/>
      <c r="F47" s="70"/>
      <c r="G47" s="30"/>
      <c r="H47" s="63" t="str">
        <f>IF(OR(C47="",D47=""),"",C47*D47)</f>
        <v/>
      </c>
      <c r="I47" s="63" t="str">
        <f>IF(OR(E47="",F47="",M47&lt;=0),"",M47*F47)</f>
        <v/>
      </c>
      <c r="J47" s="63" t="str">
        <f>IF(I47="","",I47-(M47*D47))</f>
        <v/>
      </c>
      <c r="K47" s="28" t="str">
        <f>IF(A47="","",IF(T47&gt;0,"Yes","No"))</f>
        <v/>
      </c>
      <c r="L47" s="28" t="str">
        <f>IF(A47="","",A47&amp;"-"&amp;TEXT(B47,"yyyymmdd")&amp;"-R"&amp;ROW())</f>
        <v/>
      </c>
      <c r="M47" s="28" t="str">
        <f>IF(OR(C47="",G47=""),"",C47-G47)</f>
        <v/>
      </c>
      <c r="N47" s="63" t="str">
        <f>IF(OR(M47&lt;=0,J47&gt;=0),"",ABS(J47)/M47)</f>
        <v/>
      </c>
      <c r="O47" s="63" t="str">
        <f>IF(OR(A47="",M47&lt;=0,J47&gt;=0),"",MIN(M47,SUMPRODUCT(($A$18:$A$379=A47)*(IFERROR($B$18:$B$379&gt;=E47-30,0))*(IFERROR($B$18:$B$379&lt;=E47+30,0))*($G$18:$G$379&gt;0)*($L$18:$L$379&lt;&gt;L47)*($G$18:$G$379))+SUMPRODUCT(($A$381:$A$498=A47)*(IFERROR($B$381:$B$498&gt;=E47-30,0))*(IFERROR($B$381:$B$498&lt;=E47+30,0))*($G$381:$G$498&gt;0)*($L$381:$L$498&lt;&gt;L47)*($G$381:$G$498))))</f>
        <v/>
      </c>
      <c r="P47" s="28" t="str">
        <f>IF(OR(A47="",M47&lt;=0,J47&gt;=0),"",SUMPRODUCT(($A$18:$A$379=A47)*(IFERROR($B$18:$B$379&gt;=E47-30,0))*(IFERROR($B$18:$B$379&lt;=E47+30,0))*($G$18:$G$379&gt;0)*($L$18:$L$379&lt;&gt;L47))+SUMPRODUCT(($A$381:$A$498=A47)*(IFERROR($B$381:$B$498&gt;=E47-30,0))*(IFERROR($B$381:$B$498&lt;=E47+30,0))*($G$381:$G$498&gt;0)*($L$381:$L$498&lt;&gt;L47)))</f>
        <v/>
      </c>
      <c r="Q47" s="31" t="str">
        <f>IF(P47=1,IFERROR(INDEX($L$18:$L$379,MATCH(1,INDEX(($A$18:$A$379=A47)*(IFERROR($B$18:$B$379&gt;=E47-30,0))*(IFERROR($B$18:$B$379&lt;=E47+30,0))*($G$18:$G$379&gt;0)*($L$18:$L$379&lt;&gt;L47),0),0)),IFERROR(INDEX($L$381:$L$498,MATCH(1,INDEX(($A$381:$A$498=A47)*(IFERROR($B$381:$B$498&gt;=E47-30,0))*(IFERROR($B$381:$B$498&lt;=E47+30,0))*($G$381:$G$498&gt;0)*($L$381:$L$498&lt;&gt;L47),0),0)),"")),"")</f>
        <v/>
      </c>
      <c r="R47" s="32"/>
      <c r="S47" s="31" t="str">
        <f>IF(R47&lt;&gt;"",R47,Q47)</f>
        <v/>
      </c>
      <c r="T47" s="63">
        <f>IF(OR(N47="",O47=0),0,N47*O47)</f>
        <v>0</v>
      </c>
      <c r="U47" s="63">
        <f>IF(COUNTIF($S$18:$S$498,L47)=0,"",SUMIF($S$18:$S$498,L47,$T$18:$T$498))</f>
        <v>0</v>
      </c>
      <c r="V47" s="63" t="str">
        <f>IF(H47="","",IFERROR(H47+U47,H47))</f>
        <v/>
      </c>
      <c r="W47" s="63" t="str">
        <f>IF(OR(V47="",C47=""),"",V47/C47)</f>
        <v/>
      </c>
      <c r="X47" s="11" t="str">
        <f>IF(A47="","",IF(AND(U47&lt;&gt;"",U47&lt;&gt;0,M47=0),"Replacement lot receiving wash basis",IF(J47="","",IF(J47&gt;=0,"",IF(O47=0,"No replacement buy found",IF(P47&gt;1,"Manual selection needed","Auto matched"))))))</f>
        <v/>
      </c>
      <c r="Z47" t="str">
        <f>IF(K47="Yes",COUNTIF($K$18:K47,"Yes"),"")</f>
        <v/>
      </c>
    </row>
    <row r="48" spans="1:26" ht="34.15" customHeight="1" x14ac:dyDescent="0.2">
      <c r="A48" s="9"/>
      <c r="B48" s="69"/>
      <c r="C48" s="30"/>
      <c r="D48" s="70"/>
      <c r="E48" s="69"/>
      <c r="F48" s="70"/>
      <c r="G48" s="30"/>
      <c r="H48" s="63" t="str">
        <f>IF(OR(C48="",D48=""),"",C48*D48)</f>
        <v/>
      </c>
      <c r="I48" s="63" t="str">
        <f>IF(OR(E48="",F48="",M48&lt;=0),"",M48*F48)</f>
        <v/>
      </c>
      <c r="J48" s="63" t="str">
        <f>IF(I48="","",I48-(M48*D48))</f>
        <v/>
      </c>
      <c r="K48" s="28" t="str">
        <f>IF(A48="","",IF(T48&gt;0,"Yes","No"))</f>
        <v/>
      </c>
      <c r="L48" s="28" t="str">
        <f>IF(A48="","",A48&amp;"-"&amp;TEXT(B48,"yyyymmdd")&amp;"-R"&amp;ROW())</f>
        <v/>
      </c>
      <c r="M48" s="28" t="str">
        <f>IF(OR(C48="",G48=""),"",C48-G48)</f>
        <v/>
      </c>
      <c r="N48" s="63" t="str">
        <f>IF(OR(M48&lt;=0,J48&gt;=0),"",ABS(J48)/M48)</f>
        <v/>
      </c>
      <c r="O48" s="63" t="str">
        <f>IF(OR(A48="",M48&lt;=0,J48&gt;=0),"",MIN(M48,SUMPRODUCT(($A$18:$A$379=A48)*(IFERROR($B$18:$B$379&gt;=E48-30,0))*(IFERROR($B$18:$B$379&lt;=E48+30,0))*($G$18:$G$379&gt;0)*($L$18:$L$379&lt;&gt;L48)*($G$18:$G$379))+SUMPRODUCT(($A$381:$A$498=A48)*(IFERROR($B$381:$B$498&gt;=E48-30,0))*(IFERROR($B$381:$B$498&lt;=E48+30,0))*($G$381:$G$498&gt;0)*($L$381:$L$498&lt;&gt;L48)*($G$381:$G$498))))</f>
        <v/>
      </c>
      <c r="P48" s="28" t="str">
        <f>IF(OR(A48="",M48&lt;=0,J48&gt;=0),"",SUMPRODUCT(($A$18:$A$379=A48)*(IFERROR($B$18:$B$379&gt;=E48-30,0))*(IFERROR($B$18:$B$379&lt;=E48+30,0))*($G$18:$G$379&gt;0)*($L$18:$L$379&lt;&gt;L48))+SUMPRODUCT(($A$381:$A$498=A48)*(IFERROR($B$381:$B$498&gt;=E48-30,0))*(IFERROR($B$381:$B$498&lt;=E48+30,0))*($G$381:$G$498&gt;0)*($L$381:$L$498&lt;&gt;L48)))</f>
        <v/>
      </c>
      <c r="Q48" s="31" t="str">
        <f>IF(P48=1,IFERROR(INDEX($L$18:$L$379,MATCH(1,INDEX(($A$18:$A$379=A48)*(IFERROR($B$18:$B$379&gt;=E48-30,0))*(IFERROR($B$18:$B$379&lt;=E48+30,0))*($G$18:$G$379&gt;0)*($L$18:$L$379&lt;&gt;L48),0),0)),IFERROR(INDEX($L$381:$L$498,MATCH(1,INDEX(($A$381:$A$498=A48)*(IFERROR($B$381:$B$498&gt;=E48-30,0))*(IFERROR($B$381:$B$498&lt;=E48+30,0))*($G$381:$G$498&gt;0)*($L$381:$L$498&lt;&gt;L48),0),0)),"")),"")</f>
        <v/>
      </c>
      <c r="R48" s="32"/>
      <c r="S48" s="31" t="str">
        <f>IF(R48&lt;&gt;"",R48,Q48)</f>
        <v/>
      </c>
      <c r="T48" s="63">
        <f>IF(OR(N48="",O48=0),0,N48*O48)</f>
        <v>0</v>
      </c>
      <c r="U48" s="63">
        <f>IF(COUNTIF($S$18:$S$498,L48)=0,"",SUMIF($S$18:$S$498,L48,$T$18:$T$498))</f>
        <v>0</v>
      </c>
      <c r="V48" s="63" t="str">
        <f>IF(H48="","",IFERROR(H48+U48,H48))</f>
        <v/>
      </c>
      <c r="W48" s="63" t="str">
        <f>IF(OR(V48="",C48=""),"",V48/C48)</f>
        <v/>
      </c>
      <c r="X48" s="11" t="str">
        <f>IF(A48="","",IF(AND(U48&lt;&gt;"",U48&lt;&gt;0,M48=0),"Replacement lot receiving wash basis",IF(J48="","",IF(J48&gt;=0,"",IF(O48=0,"No replacement buy found",IF(P48&gt;1,"Manual selection needed","Auto matched"))))))</f>
        <v/>
      </c>
      <c r="Z48" t="str">
        <f>IF(K48="Yes",COUNTIF($K$18:K48,"Yes"),"")</f>
        <v/>
      </c>
    </row>
    <row r="49" spans="1:26" ht="33.75" customHeight="1" x14ac:dyDescent="0.2">
      <c r="A49" s="9"/>
      <c r="B49" s="69"/>
      <c r="C49" s="30"/>
      <c r="D49" s="70"/>
      <c r="E49" s="69"/>
      <c r="F49" s="70"/>
      <c r="G49" s="30"/>
      <c r="H49" s="63" t="str">
        <f>IF(OR(C49="",D49=""),"",C49*D49)</f>
        <v/>
      </c>
      <c r="I49" s="63" t="str">
        <f>IF(OR(E49="",F49="",M49&lt;=0),"",M49*F49)</f>
        <v/>
      </c>
      <c r="J49" s="63" t="str">
        <f>IF(I49="","",I49-(M49*D49))</f>
        <v/>
      </c>
      <c r="K49" s="28" t="str">
        <f>IF(A49="","",IF(T49&gt;0,"Yes","No"))</f>
        <v/>
      </c>
      <c r="L49" s="28" t="str">
        <f>IF(A49="","",A49&amp;"-"&amp;TEXT(B49,"yyyymmdd")&amp;"-R"&amp;ROW())</f>
        <v/>
      </c>
      <c r="M49" s="28" t="str">
        <f>IF(OR(C49="",G49=""),"",C49-G49)</f>
        <v/>
      </c>
      <c r="N49" s="63" t="str">
        <f>IF(OR(M49&lt;=0,J49&gt;=0),"",ABS(J49)/M49)</f>
        <v/>
      </c>
      <c r="O49" s="63" t="str">
        <f>IF(OR(A49="",M49&lt;=0,J49&gt;=0),"",MIN(M49,SUMPRODUCT(($A$18:$A$379=A49)*(IFERROR($B$18:$B$379&gt;=E49-30,0))*(IFERROR($B$18:$B$379&lt;=E49+30,0))*($G$18:$G$379&gt;0)*($L$18:$L$379&lt;&gt;L49)*($G$18:$G$379))+SUMPRODUCT(($A$381:$A$498=A49)*(IFERROR($B$381:$B$498&gt;=E49-30,0))*(IFERROR($B$381:$B$498&lt;=E49+30,0))*($G$381:$G$498&gt;0)*($L$381:$L$498&lt;&gt;L49)*($G$381:$G$498))))</f>
        <v/>
      </c>
      <c r="P49" s="28" t="str">
        <f>IF(OR(A49="",M49&lt;=0,J49&gt;=0),"",SUMPRODUCT(($A$18:$A$379=A49)*(IFERROR($B$18:$B$379&gt;=E49-30,0))*(IFERROR($B$18:$B$379&lt;=E49+30,0))*($G$18:$G$379&gt;0)*($L$18:$L$379&lt;&gt;L49))+SUMPRODUCT(($A$381:$A$498=A49)*(IFERROR($B$381:$B$498&gt;=E49-30,0))*(IFERROR($B$381:$B$498&lt;=E49+30,0))*($G$381:$G$498&gt;0)*($L$381:$L$498&lt;&gt;L49)))</f>
        <v/>
      </c>
      <c r="Q49" s="31" t="str">
        <f>IF(P49=1,IFERROR(INDEX($L$18:$L$379,MATCH(1,INDEX(($A$18:$A$379=A49)*(IFERROR($B$18:$B$379&gt;=E49-30,0))*(IFERROR($B$18:$B$379&lt;=E49+30,0))*($G$18:$G$379&gt;0)*($L$18:$L$379&lt;&gt;L49),0),0)),IFERROR(INDEX($L$381:$L$498,MATCH(1,INDEX(($A$381:$A$498=A49)*(IFERROR($B$381:$B$498&gt;=E49-30,0))*(IFERROR($B$381:$B$498&lt;=E49+30,0))*($G$381:$G$498&gt;0)*($L$381:$L$498&lt;&gt;L49),0),0)),"")),"")</f>
        <v/>
      </c>
      <c r="R49" s="32"/>
      <c r="S49" s="31" t="str">
        <f>IF(R49&lt;&gt;"",R49,Q49)</f>
        <v/>
      </c>
      <c r="T49" s="63">
        <f>IF(OR(N49="",O49=0),0,N49*O49)</f>
        <v>0</v>
      </c>
      <c r="U49" s="63">
        <f>IF(COUNTIF($S$18:$S$498,L49)=0,"",SUMIF($S$18:$S$498,L49,$T$18:$T$498))</f>
        <v>0</v>
      </c>
      <c r="V49" s="63" t="str">
        <f>IF(H49="","",IFERROR(H49+U49,H49))</f>
        <v/>
      </c>
      <c r="W49" s="63" t="str">
        <f>IF(OR(V49="",C49=""),"",V49/C49)</f>
        <v/>
      </c>
      <c r="X49" s="11" t="str">
        <f>IF(A49="","",IF(AND(U49&lt;&gt;"",U49&lt;&gt;0,M49=0),"Replacement lot receiving wash basis",IF(J49="","",IF(J49&gt;=0,"",IF(O49=0,"No replacement buy found",IF(P49&gt;1,"Manual selection needed","Auto matched"))))))</f>
        <v/>
      </c>
      <c r="Z49" t="str">
        <f>IF(K49="Yes",COUNTIF($K$18:K49,"Yes"),"")</f>
        <v/>
      </c>
    </row>
    <row r="50" spans="1:26" ht="33.75" customHeight="1" x14ac:dyDescent="0.2">
      <c r="A50" s="9"/>
      <c r="B50" s="69"/>
      <c r="C50" s="30"/>
      <c r="D50" s="70"/>
      <c r="E50" s="69"/>
      <c r="F50" s="70"/>
      <c r="G50" s="30"/>
      <c r="H50" s="63" t="str">
        <f>IF(OR(C50="",D50=""),"",C50*D50)</f>
        <v/>
      </c>
      <c r="I50" s="63" t="str">
        <f>IF(OR(E50="",F50="",M50&lt;=0),"",M50*F50)</f>
        <v/>
      </c>
      <c r="J50" s="63" t="str">
        <f>IF(I50="","",I50-(M50*D50))</f>
        <v/>
      </c>
      <c r="K50" s="28" t="str">
        <f>IF(A50="","",IF(T50&gt;0,"Yes","No"))</f>
        <v/>
      </c>
      <c r="L50" s="28" t="str">
        <f>IF(A50="","",A50&amp;"-"&amp;TEXT(B50,"yyyymmdd")&amp;"-R"&amp;ROW())</f>
        <v/>
      </c>
      <c r="M50" s="28" t="str">
        <f>IF(OR(C50="",G50=""),"",C50-G50)</f>
        <v/>
      </c>
      <c r="N50" s="63" t="str">
        <f>IF(OR(M50&lt;=0,J50&gt;=0),"",ABS(J50)/M50)</f>
        <v/>
      </c>
      <c r="O50" s="63" t="str">
        <f>IF(OR(A50="",M50&lt;=0,J50&gt;=0),"",MIN(M50,SUMPRODUCT(($A$18:$A$379=A50)*(IFERROR($B$18:$B$379&gt;=E50-30,0))*(IFERROR($B$18:$B$379&lt;=E50+30,0))*($G$18:$G$379&gt;0)*($L$18:$L$379&lt;&gt;L50)*($G$18:$G$379))+SUMPRODUCT(($A$381:$A$498=A50)*(IFERROR($B$381:$B$498&gt;=E50-30,0))*(IFERROR($B$381:$B$498&lt;=E50+30,0))*($G$381:$G$498&gt;0)*($L$381:$L$498&lt;&gt;L50)*($G$381:$G$498))))</f>
        <v/>
      </c>
      <c r="P50" s="28" t="str">
        <f>IF(OR(A50="",M50&lt;=0,J50&gt;=0),"",SUMPRODUCT(($A$18:$A$379=A50)*(IFERROR($B$18:$B$379&gt;=E50-30,0))*(IFERROR($B$18:$B$379&lt;=E50+30,0))*($G$18:$G$379&gt;0)*($L$18:$L$379&lt;&gt;L50))+SUMPRODUCT(($A$381:$A$498=A50)*(IFERROR($B$381:$B$498&gt;=E50-30,0))*(IFERROR($B$381:$B$498&lt;=E50+30,0))*($G$381:$G$498&gt;0)*($L$381:$L$498&lt;&gt;L50)))</f>
        <v/>
      </c>
      <c r="Q50" s="31" t="str">
        <f>IF(P50=1,IFERROR(INDEX($L$18:$L$379,MATCH(1,INDEX(($A$18:$A$379=A50)*(IFERROR($B$18:$B$379&gt;=E50-30,0))*(IFERROR($B$18:$B$379&lt;=E50+30,0))*($G$18:$G$379&gt;0)*($L$18:$L$379&lt;&gt;L50),0),0)),IFERROR(INDEX($L$381:$L$498,MATCH(1,INDEX(($A$381:$A$498=A50)*(IFERROR($B$381:$B$498&gt;=E50-30,0))*(IFERROR($B$381:$B$498&lt;=E50+30,0))*($G$381:$G$498&gt;0)*($L$381:$L$498&lt;&gt;L50),0),0)),"")),"")</f>
        <v/>
      </c>
      <c r="R50" s="32"/>
      <c r="S50" s="31" t="str">
        <f>IF(R50&lt;&gt;"",R50,Q50)</f>
        <v/>
      </c>
      <c r="T50" s="63">
        <f>IF(OR(N50="",O50=0),0,N50*O50)</f>
        <v>0</v>
      </c>
      <c r="U50" s="63">
        <f>IF(COUNTIF($S$18:$S$498,L50)=0,"",SUMIF($S$18:$S$498,L50,$T$18:$T$498))</f>
        <v>0</v>
      </c>
      <c r="V50" s="63" t="str">
        <f>IF(H50="","",IFERROR(H50+U50,H50))</f>
        <v/>
      </c>
      <c r="W50" s="63" t="str">
        <f>IF(OR(V50="",C50=""),"",V50/C50)</f>
        <v/>
      </c>
      <c r="X50" s="11" t="str">
        <f>IF(A50="","",IF(AND(U50&lt;&gt;"",U50&lt;&gt;0,M50=0),"Replacement lot receiving wash basis",IF(J50="","",IF(J50&gt;=0,"",IF(O50=0,"No replacement buy found",IF(P50&gt;1,"Manual selection needed","Auto matched"))))))</f>
        <v/>
      </c>
      <c r="Z50" t="str">
        <f>IF(K50="Yes",COUNTIF($K$18:K50,"Yes"),"")</f>
        <v/>
      </c>
    </row>
    <row r="51" spans="1:26" ht="33.75" customHeight="1" x14ac:dyDescent="0.2">
      <c r="A51" s="9"/>
      <c r="B51" s="69"/>
      <c r="C51" s="30"/>
      <c r="D51" s="70"/>
      <c r="E51" s="69"/>
      <c r="F51" s="70"/>
      <c r="G51" s="30"/>
      <c r="H51" s="63" t="str">
        <f>IF(OR(C51="",D51=""),"",C51*D51)</f>
        <v/>
      </c>
      <c r="I51" s="63" t="str">
        <f>IF(OR(E51="",F51="",M51&lt;=0),"",M51*F51)</f>
        <v/>
      </c>
      <c r="J51" s="63" t="str">
        <f>IF(I51="","",I51-(M51*D51))</f>
        <v/>
      </c>
      <c r="K51" s="28" t="str">
        <f>IF(A51="","",IF(T51&gt;0,"Yes","No"))</f>
        <v/>
      </c>
      <c r="L51" s="28" t="str">
        <f>IF(A51="","",A51&amp;"-"&amp;TEXT(B51,"yyyymmdd")&amp;"-R"&amp;ROW())</f>
        <v/>
      </c>
      <c r="M51" s="28" t="str">
        <f>IF(OR(C51="",G51=""),"",C51-G51)</f>
        <v/>
      </c>
      <c r="N51" s="63" t="str">
        <f>IF(OR(M51&lt;=0,J51&gt;=0),"",ABS(J51)/M51)</f>
        <v/>
      </c>
      <c r="O51" s="63" t="str">
        <f>IF(OR(A51="",M51&lt;=0,J51&gt;=0),"",MIN(M51,SUMPRODUCT(($A$18:$A$379=A51)*(IFERROR($B$18:$B$379&gt;=E51-30,0))*(IFERROR($B$18:$B$379&lt;=E51+30,0))*($G$18:$G$379&gt;0)*($L$18:$L$379&lt;&gt;L51)*($G$18:$G$379))+SUMPRODUCT(($A$381:$A$498=A51)*(IFERROR($B$381:$B$498&gt;=E51-30,0))*(IFERROR($B$381:$B$498&lt;=E51+30,0))*($G$381:$G$498&gt;0)*($L$381:$L$498&lt;&gt;L51)*($G$381:$G$498))))</f>
        <v/>
      </c>
      <c r="P51" s="28" t="str">
        <f>IF(OR(A51="",M51&lt;=0,J51&gt;=0),"",SUMPRODUCT(($A$18:$A$379=A51)*(IFERROR($B$18:$B$379&gt;=E51-30,0))*(IFERROR($B$18:$B$379&lt;=E51+30,0))*($G$18:$G$379&gt;0)*($L$18:$L$379&lt;&gt;L51))+SUMPRODUCT(($A$381:$A$498=A51)*(IFERROR($B$381:$B$498&gt;=E51-30,0))*(IFERROR($B$381:$B$498&lt;=E51+30,0))*($G$381:$G$498&gt;0)*($L$381:$L$498&lt;&gt;L51)))</f>
        <v/>
      </c>
      <c r="Q51" s="31" t="str">
        <f>IF(P51=1,IFERROR(INDEX($L$18:$L$379,MATCH(1,INDEX(($A$18:$A$379=A51)*(IFERROR($B$18:$B$379&gt;=E51-30,0))*(IFERROR($B$18:$B$379&lt;=E51+30,0))*($G$18:$G$379&gt;0)*($L$18:$L$379&lt;&gt;L51),0),0)),IFERROR(INDEX($L$381:$L$498,MATCH(1,INDEX(($A$381:$A$498=A51)*(IFERROR($B$381:$B$498&gt;=E51-30,0))*(IFERROR($B$381:$B$498&lt;=E51+30,0))*($G$381:$G$498&gt;0)*($L$381:$L$498&lt;&gt;L51),0),0)),"")),"")</f>
        <v/>
      </c>
      <c r="R51" s="32"/>
      <c r="S51" s="31" t="str">
        <f>IF(R51&lt;&gt;"",R51,Q51)</f>
        <v/>
      </c>
      <c r="T51" s="63">
        <f>IF(OR(N51="",O51=0),0,N51*O51)</f>
        <v>0</v>
      </c>
      <c r="U51" s="63">
        <f>IF(COUNTIF($S$18:$S$498,L51)=0,"",SUMIF($S$18:$S$498,L51,$T$18:$T$498))</f>
        <v>0</v>
      </c>
      <c r="V51" s="63" t="str">
        <f>IF(H51="","",IFERROR(H51+U51,H51))</f>
        <v/>
      </c>
      <c r="W51" s="63" t="str">
        <f>IF(OR(V51="",C51=""),"",V51/C51)</f>
        <v/>
      </c>
      <c r="X51" s="11" t="str">
        <f>IF(A51="","",IF(AND(U51&lt;&gt;"",U51&lt;&gt;0,M51=0),"Replacement lot receiving wash basis",IF(J51="","",IF(J51&gt;=0,"",IF(O51=0,"No replacement buy found",IF(P51&gt;1,"Manual selection needed","Auto matched"))))))</f>
        <v/>
      </c>
      <c r="Z51" t="str">
        <f>IF(K51="Yes",COUNTIF($K$18:K51,"Yes"),"")</f>
        <v/>
      </c>
    </row>
    <row r="52" spans="1:26" ht="33.75" customHeight="1" x14ac:dyDescent="0.2">
      <c r="A52" s="9"/>
      <c r="B52" s="69"/>
      <c r="C52" s="30"/>
      <c r="D52" s="70"/>
      <c r="E52" s="69"/>
      <c r="F52" s="70"/>
      <c r="G52" s="30"/>
      <c r="H52" s="63" t="str">
        <f>IF(OR(C52="",D52=""),"",C52*D52)</f>
        <v/>
      </c>
      <c r="I52" s="63" t="str">
        <f>IF(OR(E52="",F52="",M52&lt;=0),"",M52*F52)</f>
        <v/>
      </c>
      <c r="J52" s="63" t="str">
        <f>IF(I52="","",I52-(M52*D52))</f>
        <v/>
      </c>
      <c r="K52" s="28" t="str">
        <f>IF(A52="","",IF(T52&gt;0,"Yes","No"))</f>
        <v/>
      </c>
      <c r="L52" s="28" t="str">
        <f>IF(A52="","",A52&amp;"-"&amp;TEXT(B52,"yyyymmdd")&amp;"-R"&amp;ROW())</f>
        <v/>
      </c>
      <c r="M52" s="28" t="str">
        <f>IF(OR(C52="",G52=""),"",C52-G52)</f>
        <v/>
      </c>
      <c r="N52" s="63" t="str">
        <f>IF(OR(M52&lt;=0,J52&gt;=0),"",ABS(J52)/M52)</f>
        <v/>
      </c>
      <c r="O52" s="63" t="str">
        <f>IF(OR(A52="",M52&lt;=0,J52&gt;=0),"",MIN(M52,SUMPRODUCT(($A$18:$A$379=A52)*(IFERROR($B$18:$B$379&gt;=E52-30,0))*(IFERROR($B$18:$B$379&lt;=E52+30,0))*($G$18:$G$379&gt;0)*($L$18:$L$379&lt;&gt;L52)*($G$18:$G$379))+SUMPRODUCT(($A$381:$A$498=A52)*(IFERROR($B$381:$B$498&gt;=E52-30,0))*(IFERROR($B$381:$B$498&lt;=E52+30,0))*($G$381:$G$498&gt;0)*($L$381:$L$498&lt;&gt;L52)*($G$381:$G$498))))</f>
        <v/>
      </c>
      <c r="P52" s="28" t="str">
        <f>IF(OR(A52="",M52&lt;=0,J52&gt;=0),"",SUMPRODUCT(($A$18:$A$379=A52)*(IFERROR($B$18:$B$379&gt;=E52-30,0))*(IFERROR($B$18:$B$379&lt;=E52+30,0))*($G$18:$G$379&gt;0)*($L$18:$L$379&lt;&gt;L52))+SUMPRODUCT(($A$381:$A$498=A52)*(IFERROR($B$381:$B$498&gt;=E52-30,0))*(IFERROR($B$381:$B$498&lt;=E52+30,0))*($G$381:$G$498&gt;0)*($L$381:$L$498&lt;&gt;L52)))</f>
        <v/>
      </c>
      <c r="Q52" s="31" t="str">
        <f>IF(P52=1,IFERROR(INDEX($L$18:$L$379,MATCH(1,INDEX(($A$18:$A$379=A52)*(IFERROR($B$18:$B$379&gt;=E52-30,0))*(IFERROR($B$18:$B$379&lt;=E52+30,0))*($G$18:$G$379&gt;0)*($L$18:$L$379&lt;&gt;L52),0),0)),IFERROR(INDEX($L$381:$L$498,MATCH(1,INDEX(($A$381:$A$498=A52)*(IFERROR($B$381:$B$498&gt;=E52-30,0))*(IFERROR($B$381:$B$498&lt;=E52+30,0))*($G$381:$G$498&gt;0)*($L$381:$L$498&lt;&gt;L52),0),0)),"")),"")</f>
        <v/>
      </c>
      <c r="R52" s="32"/>
      <c r="S52" s="31" t="str">
        <f>IF(R52&lt;&gt;"",R52,Q52)</f>
        <v/>
      </c>
      <c r="T52" s="63">
        <f>IF(OR(N52="",O52=0),0,N52*O52)</f>
        <v>0</v>
      </c>
      <c r="U52" s="63">
        <f>IF(COUNTIF($S$18:$S$498,L52)=0,"",SUMIF($S$18:$S$498,L52,$T$18:$T$498))</f>
        <v>0</v>
      </c>
      <c r="V52" s="63" t="str">
        <f>IF(H52="","",IFERROR(H52+U52,H52))</f>
        <v/>
      </c>
      <c r="W52" s="63" t="str">
        <f>IF(OR(V52="",C52=""),"",V52/C52)</f>
        <v/>
      </c>
      <c r="X52" s="11" t="str">
        <f>IF(A52="","",IF(AND(U52&lt;&gt;"",U52&lt;&gt;0,M52=0),"Replacement lot receiving wash basis",IF(J52="","",IF(J52&gt;=0,"",IF(O52=0,"No replacement buy found",IF(P52&gt;1,"Manual selection needed","Auto matched"))))))</f>
        <v/>
      </c>
      <c r="Z52" t="str">
        <f>IF(K52="Yes",COUNTIF($K$18:K52,"Yes"),"")</f>
        <v/>
      </c>
    </row>
    <row r="53" spans="1:26" ht="33.75" customHeight="1" x14ac:dyDescent="0.2">
      <c r="A53" s="9"/>
      <c r="B53" s="69"/>
      <c r="C53" s="30"/>
      <c r="D53" s="70"/>
      <c r="E53" s="69"/>
      <c r="F53" s="70"/>
      <c r="G53" s="30"/>
      <c r="H53" s="63" t="str">
        <f>IF(OR(C53="",D53=""),"",C53*D53)</f>
        <v/>
      </c>
      <c r="I53" s="63" t="str">
        <f>IF(OR(E53="",F53="",M53&lt;=0),"",M53*F53)</f>
        <v/>
      </c>
      <c r="J53" s="63" t="str">
        <f>IF(I53="","",I53-(M53*D53))</f>
        <v/>
      </c>
      <c r="K53" s="28" t="str">
        <f>IF(A53="","",IF(T53&gt;0,"Yes","No"))</f>
        <v/>
      </c>
      <c r="L53" s="28" t="str">
        <f>IF(A53="","",A53&amp;"-"&amp;TEXT(B53,"yyyymmdd")&amp;"-R"&amp;ROW())</f>
        <v/>
      </c>
      <c r="M53" s="28" t="str">
        <f>IF(OR(C53="",G53=""),"",C53-G53)</f>
        <v/>
      </c>
      <c r="N53" s="63" t="str">
        <f>IF(OR(M53&lt;=0,J53&gt;=0),"",ABS(J53)/M53)</f>
        <v/>
      </c>
      <c r="O53" s="63" t="str">
        <f>IF(OR(A53="",M53&lt;=0,J53&gt;=0),"",MIN(M53,SUMPRODUCT(($A$18:$A$379=A53)*(IFERROR($B$18:$B$379&gt;=E53-30,0))*(IFERROR($B$18:$B$379&lt;=E53+30,0))*($G$18:$G$379&gt;0)*($L$18:$L$379&lt;&gt;L53)*($G$18:$G$379))+SUMPRODUCT(($A$381:$A$498=A53)*(IFERROR($B$381:$B$498&gt;=E53-30,0))*(IFERROR($B$381:$B$498&lt;=E53+30,0))*($G$381:$G$498&gt;0)*($L$381:$L$498&lt;&gt;L53)*($G$381:$G$498))))</f>
        <v/>
      </c>
      <c r="P53" s="28" t="str">
        <f>IF(OR(A53="",M53&lt;=0,J53&gt;=0),"",SUMPRODUCT(($A$18:$A$379=A53)*(IFERROR($B$18:$B$379&gt;=E53-30,0))*(IFERROR($B$18:$B$379&lt;=E53+30,0))*($G$18:$G$379&gt;0)*($L$18:$L$379&lt;&gt;L53))+SUMPRODUCT(($A$381:$A$498=A53)*(IFERROR($B$381:$B$498&gt;=E53-30,0))*(IFERROR($B$381:$B$498&lt;=E53+30,0))*($G$381:$G$498&gt;0)*($L$381:$L$498&lt;&gt;L53)))</f>
        <v/>
      </c>
      <c r="Q53" s="31" t="str">
        <f>IF(P53=1,IFERROR(INDEX($L$18:$L$379,MATCH(1,INDEX(($A$18:$A$379=A53)*(IFERROR($B$18:$B$379&gt;=E53-30,0))*(IFERROR($B$18:$B$379&lt;=E53+30,0))*($G$18:$G$379&gt;0)*($L$18:$L$379&lt;&gt;L53),0),0)),IFERROR(INDEX($L$381:$L$498,MATCH(1,INDEX(($A$381:$A$498=A53)*(IFERROR($B$381:$B$498&gt;=E53-30,0))*(IFERROR($B$381:$B$498&lt;=E53+30,0))*($G$381:$G$498&gt;0)*($L$381:$L$498&lt;&gt;L53),0),0)),"")),"")</f>
        <v/>
      </c>
      <c r="R53" s="32"/>
      <c r="S53" s="31" t="str">
        <f>IF(R53&lt;&gt;"",R53,Q53)</f>
        <v/>
      </c>
      <c r="T53" s="63">
        <f>IF(OR(N53="",O53=0),0,N53*O53)</f>
        <v>0</v>
      </c>
      <c r="U53" s="63">
        <f>IF(COUNTIF($S$18:$S$498,L53)=0,"",SUMIF($S$18:$S$498,L53,$T$18:$T$498))</f>
        <v>0</v>
      </c>
      <c r="V53" s="63" t="str">
        <f>IF(H53="","",IFERROR(H53+U53,H53))</f>
        <v/>
      </c>
      <c r="W53" s="63" t="str">
        <f>IF(OR(V53="",C53=""),"",V53/C53)</f>
        <v/>
      </c>
      <c r="X53" s="11" t="str">
        <f>IF(A53="","",IF(AND(U53&lt;&gt;"",U53&lt;&gt;0,M53=0),"Replacement lot receiving wash basis",IF(J53="","",IF(J53&gt;=0,"",IF(O53=0,"No replacement buy found",IF(P53&gt;1,"Manual selection needed","Auto matched"))))))</f>
        <v/>
      </c>
      <c r="Z53" t="str">
        <f>IF(K53="Yes",COUNTIF($K$18:K53,"Yes"),"")</f>
        <v/>
      </c>
    </row>
    <row r="54" spans="1:26" ht="33.75" customHeight="1" x14ac:dyDescent="0.2">
      <c r="A54" s="9"/>
      <c r="B54" s="69"/>
      <c r="C54" s="30"/>
      <c r="D54" s="70"/>
      <c r="E54" s="69"/>
      <c r="F54" s="70"/>
      <c r="G54" s="30"/>
      <c r="H54" s="63" t="str">
        <f>IF(OR(C54="",D54=""),"",C54*D54)</f>
        <v/>
      </c>
      <c r="I54" s="63" t="str">
        <f>IF(OR(E54="",F54="",M54&lt;=0),"",M54*F54)</f>
        <v/>
      </c>
      <c r="J54" s="63" t="str">
        <f>IF(I54="","",I54-(M54*D54))</f>
        <v/>
      </c>
      <c r="K54" s="28" t="str">
        <f>IF(A54="","",IF(T54&gt;0,"Yes","No"))</f>
        <v/>
      </c>
      <c r="L54" s="28" t="str">
        <f>IF(A54="","",A54&amp;"-"&amp;TEXT(B54,"yyyymmdd")&amp;"-R"&amp;ROW())</f>
        <v/>
      </c>
      <c r="M54" s="28" t="str">
        <f>IF(OR(C54="",G54=""),"",C54-G54)</f>
        <v/>
      </c>
      <c r="N54" s="63" t="str">
        <f>IF(OR(M54&lt;=0,J54&gt;=0),"",ABS(J54)/M54)</f>
        <v/>
      </c>
      <c r="O54" s="63" t="str">
        <f>IF(OR(A54="",M54&lt;=0,J54&gt;=0),"",MIN(M54,SUMPRODUCT(($A$18:$A$379=A54)*(IFERROR($B$18:$B$379&gt;=E54-30,0))*(IFERROR($B$18:$B$379&lt;=E54+30,0))*($G$18:$G$379&gt;0)*($L$18:$L$379&lt;&gt;L54)*($G$18:$G$379))+SUMPRODUCT(($A$381:$A$498=A54)*(IFERROR($B$381:$B$498&gt;=E54-30,0))*(IFERROR($B$381:$B$498&lt;=E54+30,0))*($G$381:$G$498&gt;0)*($L$381:$L$498&lt;&gt;L54)*($G$381:$G$498))))</f>
        <v/>
      </c>
      <c r="P54" s="28" t="str">
        <f>IF(OR(A54="",M54&lt;=0,J54&gt;=0),"",SUMPRODUCT(($A$18:$A$379=A54)*(IFERROR($B$18:$B$379&gt;=E54-30,0))*(IFERROR($B$18:$B$379&lt;=E54+30,0))*($G$18:$G$379&gt;0)*($L$18:$L$379&lt;&gt;L54))+SUMPRODUCT(($A$381:$A$498=A54)*(IFERROR($B$381:$B$498&gt;=E54-30,0))*(IFERROR($B$381:$B$498&lt;=E54+30,0))*($G$381:$G$498&gt;0)*($L$381:$L$498&lt;&gt;L54)))</f>
        <v/>
      </c>
      <c r="Q54" s="31" t="str">
        <f>IF(P54=1,IFERROR(INDEX($L$18:$L$379,MATCH(1,INDEX(($A$18:$A$379=A54)*(IFERROR($B$18:$B$379&gt;=E54-30,0))*(IFERROR($B$18:$B$379&lt;=E54+30,0))*($G$18:$G$379&gt;0)*($L$18:$L$379&lt;&gt;L54),0),0)),IFERROR(INDEX($L$381:$L$498,MATCH(1,INDEX(($A$381:$A$498=A54)*(IFERROR($B$381:$B$498&gt;=E54-30,0))*(IFERROR($B$381:$B$498&lt;=E54+30,0))*($G$381:$G$498&gt;0)*($L$381:$L$498&lt;&gt;L54),0),0)),"")),"")</f>
        <v/>
      </c>
      <c r="R54" s="32"/>
      <c r="S54" s="31" t="str">
        <f>IF(R54&lt;&gt;"",R54,Q54)</f>
        <v/>
      </c>
      <c r="T54" s="63">
        <f>IF(OR(N54="",O54=0),0,N54*O54)</f>
        <v>0</v>
      </c>
      <c r="U54" s="63">
        <f>IF(COUNTIF($S$18:$S$498,L54)=0,"",SUMIF($S$18:$S$498,L54,$T$18:$T$498))</f>
        <v>0</v>
      </c>
      <c r="V54" s="63" t="str">
        <f>IF(H54="","",IFERROR(H54+U54,H54))</f>
        <v/>
      </c>
      <c r="W54" s="63" t="str">
        <f>IF(OR(V54="",C54=""),"",V54/C54)</f>
        <v/>
      </c>
      <c r="X54" s="11" t="str">
        <f>IF(A54="","",IF(AND(U54&lt;&gt;"",U54&lt;&gt;0,M54=0),"Replacement lot receiving wash basis",IF(J54="","",IF(J54&gt;=0,"",IF(O54=0,"No replacement buy found",IF(P54&gt;1,"Manual selection needed","Auto matched"))))))</f>
        <v/>
      </c>
      <c r="Z54" t="str">
        <f>IF(K54="Yes",COUNTIF($K$18:K54,"Yes"),"")</f>
        <v/>
      </c>
    </row>
    <row r="55" spans="1:26" ht="33.75" customHeight="1" x14ac:dyDescent="0.2">
      <c r="A55" s="9"/>
      <c r="B55" s="69"/>
      <c r="C55" s="30"/>
      <c r="D55" s="70"/>
      <c r="E55" s="69"/>
      <c r="F55" s="70"/>
      <c r="G55" s="30"/>
      <c r="H55" s="63" t="str">
        <f>IF(OR(C55="",D55=""),"",C55*D55)</f>
        <v/>
      </c>
      <c r="I55" s="63" t="str">
        <f>IF(OR(E55="",F55="",M55&lt;=0),"",M55*F55)</f>
        <v/>
      </c>
      <c r="J55" s="63" t="str">
        <f>IF(I55="","",I55-(M55*D55))</f>
        <v/>
      </c>
      <c r="K55" s="28" t="str">
        <f>IF(A55="","",IF(T55&gt;0,"Yes","No"))</f>
        <v/>
      </c>
      <c r="L55" s="28" t="str">
        <f>IF(A55="","",A55&amp;"-"&amp;TEXT(B55,"yyyymmdd")&amp;"-R"&amp;ROW())</f>
        <v/>
      </c>
      <c r="M55" s="28" t="str">
        <f>IF(OR(C55="",G55=""),"",C55-G55)</f>
        <v/>
      </c>
      <c r="N55" s="63" t="str">
        <f>IF(OR(M55&lt;=0,J55&gt;=0),"",ABS(J55)/M55)</f>
        <v/>
      </c>
      <c r="O55" s="63" t="str">
        <f>IF(OR(A55="",M55&lt;=0,J55&gt;=0),"",MIN(M55,SUMPRODUCT(($A$18:$A$379=A55)*(IFERROR($B$18:$B$379&gt;=E55-30,0))*(IFERROR($B$18:$B$379&lt;=E55+30,0))*($G$18:$G$379&gt;0)*($L$18:$L$379&lt;&gt;L55)*($G$18:$G$379))+SUMPRODUCT(($A$381:$A$498=A55)*(IFERROR($B$381:$B$498&gt;=E55-30,0))*(IFERROR($B$381:$B$498&lt;=E55+30,0))*($G$381:$G$498&gt;0)*($L$381:$L$498&lt;&gt;L55)*($G$381:$G$498))))</f>
        <v/>
      </c>
      <c r="P55" s="28" t="str">
        <f>IF(OR(A55="",M55&lt;=0,J55&gt;=0),"",SUMPRODUCT(($A$18:$A$379=A55)*(IFERROR($B$18:$B$379&gt;=E55-30,0))*(IFERROR($B$18:$B$379&lt;=E55+30,0))*($G$18:$G$379&gt;0)*($L$18:$L$379&lt;&gt;L55))+SUMPRODUCT(($A$381:$A$498=A55)*(IFERROR($B$381:$B$498&gt;=E55-30,0))*(IFERROR($B$381:$B$498&lt;=E55+30,0))*($G$381:$G$498&gt;0)*($L$381:$L$498&lt;&gt;L55)))</f>
        <v/>
      </c>
      <c r="Q55" s="31" t="str">
        <f>IF(P55=1,IFERROR(INDEX($L$18:$L$379,MATCH(1,INDEX(($A$18:$A$379=A55)*(IFERROR($B$18:$B$379&gt;=E55-30,0))*(IFERROR($B$18:$B$379&lt;=E55+30,0))*($G$18:$G$379&gt;0)*($L$18:$L$379&lt;&gt;L55),0),0)),IFERROR(INDEX($L$381:$L$498,MATCH(1,INDEX(($A$381:$A$498=A55)*(IFERROR($B$381:$B$498&gt;=E55-30,0))*(IFERROR($B$381:$B$498&lt;=E55+30,0))*($G$381:$G$498&gt;0)*($L$381:$L$498&lt;&gt;L55),0),0)),"")),"")</f>
        <v/>
      </c>
      <c r="R55" s="32"/>
      <c r="S55" s="31" t="str">
        <f>IF(R55&lt;&gt;"",R55,Q55)</f>
        <v/>
      </c>
      <c r="T55" s="63">
        <f>IF(OR(N55="",O55=0),0,N55*O55)</f>
        <v>0</v>
      </c>
      <c r="U55" s="63">
        <f>IF(COUNTIF($S$18:$S$498,L55)=0,"",SUMIF($S$18:$S$498,L55,$T$18:$T$498))</f>
        <v>0</v>
      </c>
      <c r="V55" s="63" t="str">
        <f>IF(H55="","",IFERROR(H55+U55,H55))</f>
        <v/>
      </c>
      <c r="W55" s="63" t="str">
        <f>IF(OR(V55="",C55=""),"",V55/C55)</f>
        <v/>
      </c>
      <c r="X55" s="11" t="str">
        <f>IF(A55="","",IF(AND(U55&lt;&gt;"",U55&lt;&gt;0,M55=0),"Replacement lot receiving wash basis",IF(J55="","",IF(J55&gt;=0,"",IF(O55=0,"No replacement buy found",IF(P55&gt;1,"Manual selection needed","Auto matched"))))))</f>
        <v/>
      </c>
      <c r="Z55" t="str">
        <f>IF(K55="Yes",COUNTIF($K$18:K55,"Yes"),"")</f>
        <v/>
      </c>
    </row>
    <row r="56" spans="1:26" ht="33.75" customHeight="1" x14ac:dyDescent="0.2">
      <c r="A56" s="9"/>
      <c r="B56" s="69"/>
      <c r="C56" s="30"/>
      <c r="D56" s="70"/>
      <c r="E56" s="69"/>
      <c r="F56" s="70"/>
      <c r="G56" s="30"/>
      <c r="H56" s="63" t="str">
        <f>IF(OR(C56="",D56=""),"",C56*D56)</f>
        <v/>
      </c>
      <c r="I56" s="63" t="str">
        <f>IF(OR(E56="",F56="",M56&lt;=0),"",M56*F56)</f>
        <v/>
      </c>
      <c r="J56" s="63" t="str">
        <f>IF(I56="","",I56-(M56*D56))</f>
        <v/>
      </c>
      <c r="K56" s="28" t="str">
        <f>IF(A56="","",IF(T56&gt;0,"Yes","No"))</f>
        <v/>
      </c>
      <c r="L56" s="28" t="str">
        <f>IF(A56="","",A56&amp;"-"&amp;TEXT(B56,"yyyymmdd")&amp;"-R"&amp;ROW())</f>
        <v/>
      </c>
      <c r="M56" s="28" t="str">
        <f>IF(OR(C56="",G56=""),"",C56-G56)</f>
        <v/>
      </c>
      <c r="N56" s="63" t="str">
        <f>IF(OR(M56&lt;=0,J56&gt;=0),"",ABS(J56)/M56)</f>
        <v/>
      </c>
      <c r="O56" s="63" t="str">
        <f>IF(OR(A56="",M56&lt;=0,J56&gt;=0),"",MIN(M56,SUMPRODUCT(($A$18:$A$379=A56)*(IFERROR($B$18:$B$379&gt;=E56-30,0))*(IFERROR($B$18:$B$379&lt;=E56+30,0))*($G$18:$G$379&gt;0)*($L$18:$L$379&lt;&gt;L56)*($G$18:$G$379))+SUMPRODUCT(($A$381:$A$498=A56)*(IFERROR($B$381:$B$498&gt;=E56-30,0))*(IFERROR($B$381:$B$498&lt;=E56+30,0))*($G$381:$G$498&gt;0)*($L$381:$L$498&lt;&gt;L56)*($G$381:$G$498))))</f>
        <v/>
      </c>
      <c r="P56" s="28" t="str">
        <f>IF(OR(A56="",M56&lt;=0,J56&gt;=0),"",SUMPRODUCT(($A$18:$A$379=A56)*(IFERROR($B$18:$B$379&gt;=E56-30,0))*(IFERROR($B$18:$B$379&lt;=E56+30,0))*($G$18:$G$379&gt;0)*($L$18:$L$379&lt;&gt;L56))+SUMPRODUCT(($A$381:$A$498=A56)*(IFERROR($B$381:$B$498&gt;=E56-30,0))*(IFERROR($B$381:$B$498&lt;=E56+30,0))*($G$381:$G$498&gt;0)*($L$381:$L$498&lt;&gt;L56)))</f>
        <v/>
      </c>
      <c r="Q56" s="31" t="str">
        <f>IF(P56=1,IFERROR(INDEX($L$18:$L$379,MATCH(1,INDEX(($A$18:$A$379=A56)*(IFERROR($B$18:$B$379&gt;=E56-30,0))*(IFERROR($B$18:$B$379&lt;=E56+30,0))*($G$18:$G$379&gt;0)*($L$18:$L$379&lt;&gt;L56),0),0)),IFERROR(INDEX($L$381:$L$498,MATCH(1,INDEX(($A$381:$A$498=A56)*(IFERROR($B$381:$B$498&gt;=E56-30,0))*(IFERROR($B$381:$B$498&lt;=E56+30,0))*($G$381:$G$498&gt;0)*($L$381:$L$498&lt;&gt;L56),0),0)),"")),"")</f>
        <v/>
      </c>
      <c r="R56" s="32"/>
      <c r="S56" s="31" t="str">
        <f>IF(R56&lt;&gt;"",R56,Q56)</f>
        <v/>
      </c>
      <c r="T56" s="63">
        <f>IF(OR(N56="",O56=0),0,N56*O56)</f>
        <v>0</v>
      </c>
      <c r="U56" s="63">
        <f>IF(COUNTIF($S$18:$S$498,L56)=0,"",SUMIF($S$18:$S$498,L56,$T$18:$T$498))</f>
        <v>0</v>
      </c>
      <c r="V56" s="63" t="str">
        <f>IF(H56="","",IFERROR(H56+U56,H56))</f>
        <v/>
      </c>
      <c r="W56" s="63" t="str">
        <f>IF(OR(V56="",C56=""),"",V56/C56)</f>
        <v/>
      </c>
      <c r="X56" s="11" t="str">
        <f>IF(A56="","",IF(AND(U56&lt;&gt;"",U56&lt;&gt;0,M56=0),"Replacement lot receiving wash basis",IF(J56="","",IF(J56&gt;=0,"",IF(O56=0,"No replacement buy found",IF(P56&gt;1,"Manual selection needed","Auto matched"))))))</f>
        <v/>
      </c>
      <c r="Z56" t="str">
        <f>IF(K56="Yes",COUNTIF($K$18:K56,"Yes"),"")</f>
        <v/>
      </c>
    </row>
    <row r="57" spans="1:26" ht="33.75" customHeight="1" x14ac:dyDescent="0.2">
      <c r="A57" s="9"/>
      <c r="B57" s="69"/>
      <c r="C57" s="30"/>
      <c r="D57" s="70"/>
      <c r="E57" s="69"/>
      <c r="F57" s="70"/>
      <c r="G57" s="30"/>
      <c r="H57" s="63" t="str">
        <f>IF(OR(C57="",D57=""),"",C57*D57)</f>
        <v/>
      </c>
      <c r="I57" s="63" t="str">
        <f>IF(OR(E57="",F57="",M57&lt;=0),"",M57*F57)</f>
        <v/>
      </c>
      <c r="J57" s="63" t="str">
        <f>IF(I57="","",I57-(M57*D57))</f>
        <v/>
      </c>
      <c r="K57" s="28" t="str">
        <f>IF(A57="","",IF(T57&gt;0,"Yes","No"))</f>
        <v/>
      </c>
      <c r="L57" s="28" t="str">
        <f>IF(A57="","",A57&amp;"-"&amp;TEXT(B57,"yyyymmdd")&amp;"-R"&amp;ROW())</f>
        <v/>
      </c>
      <c r="M57" s="28" t="str">
        <f>IF(OR(C57="",G57=""),"",C57-G57)</f>
        <v/>
      </c>
      <c r="N57" s="63" t="str">
        <f>IF(OR(M57&lt;=0,J57&gt;=0),"",ABS(J57)/M57)</f>
        <v/>
      </c>
      <c r="O57" s="63" t="str">
        <f>IF(OR(A57="",M57&lt;=0,J57&gt;=0),"",MIN(M57,SUMPRODUCT(($A$18:$A$379=A57)*(IFERROR($B$18:$B$379&gt;=E57-30,0))*(IFERROR($B$18:$B$379&lt;=E57+30,0))*($G$18:$G$379&gt;0)*($L$18:$L$379&lt;&gt;L57)*($G$18:$G$379))+SUMPRODUCT(($A$381:$A$498=A57)*(IFERROR($B$381:$B$498&gt;=E57-30,0))*(IFERROR($B$381:$B$498&lt;=E57+30,0))*($G$381:$G$498&gt;0)*($L$381:$L$498&lt;&gt;L57)*($G$381:$G$498))))</f>
        <v/>
      </c>
      <c r="P57" s="28" t="str">
        <f>IF(OR(A57="",M57&lt;=0,J57&gt;=0),"",SUMPRODUCT(($A$18:$A$379=A57)*(IFERROR($B$18:$B$379&gt;=E57-30,0))*(IFERROR($B$18:$B$379&lt;=E57+30,0))*($G$18:$G$379&gt;0)*($L$18:$L$379&lt;&gt;L57))+SUMPRODUCT(($A$381:$A$498=A57)*(IFERROR($B$381:$B$498&gt;=E57-30,0))*(IFERROR($B$381:$B$498&lt;=E57+30,0))*($G$381:$G$498&gt;0)*($L$381:$L$498&lt;&gt;L57)))</f>
        <v/>
      </c>
      <c r="Q57" s="31" t="str">
        <f>IF(P57=1,IFERROR(INDEX($L$18:$L$379,MATCH(1,INDEX(($A$18:$A$379=A57)*(IFERROR($B$18:$B$379&gt;=E57-30,0))*(IFERROR($B$18:$B$379&lt;=E57+30,0))*($G$18:$G$379&gt;0)*($L$18:$L$379&lt;&gt;L57),0),0)),IFERROR(INDEX($L$381:$L$498,MATCH(1,INDEX(($A$381:$A$498=A57)*(IFERROR($B$381:$B$498&gt;=E57-30,0))*(IFERROR($B$381:$B$498&lt;=E57+30,0))*($G$381:$G$498&gt;0)*($L$381:$L$498&lt;&gt;L57),0),0)),"")),"")</f>
        <v/>
      </c>
      <c r="R57" s="32"/>
      <c r="S57" s="31" t="str">
        <f>IF(R57&lt;&gt;"",R57,Q57)</f>
        <v/>
      </c>
      <c r="T57" s="63">
        <f>IF(OR(N57="",O57=0),0,N57*O57)</f>
        <v>0</v>
      </c>
      <c r="U57" s="63">
        <f>IF(COUNTIF($S$18:$S$498,L57)=0,"",SUMIF($S$18:$S$498,L57,$T$18:$T$498))</f>
        <v>0</v>
      </c>
      <c r="V57" s="63" t="str">
        <f>IF(H57="","",IFERROR(H57+U57,H57))</f>
        <v/>
      </c>
      <c r="W57" s="63" t="str">
        <f>IF(OR(V57="",C57=""),"",V57/C57)</f>
        <v/>
      </c>
      <c r="X57" s="11" t="str">
        <f>IF(A57="","",IF(AND(U57&lt;&gt;"",U57&lt;&gt;0,M57=0),"Replacement lot receiving wash basis",IF(J57="","",IF(J57&gt;=0,"",IF(O57=0,"No replacement buy found",IF(P57&gt;1,"Manual selection needed","Auto matched"))))))</f>
        <v/>
      </c>
      <c r="Z57" t="str">
        <f>IF(K57="Yes",COUNTIF($K$18:K57,"Yes"),"")</f>
        <v/>
      </c>
    </row>
    <row r="58" spans="1:26" ht="33.75" customHeight="1" x14ac:dyDescent="0.2">
      <c r="A58" s="9"/>
      <c r="B58" s="69"/>
      <c r="C58" s="30"/>
      <c r="D58" s="70"/>
      <c r="E58" s="69"/>
      <c r="F58" s="70"/>
      <c r="G58" s="30"/>
      <c r="H58" s="63" t="str">
        <f>IF(OR(C58="",D58=""),"",C58*D58)</f>
        <v/>
      </c>
      <c r="I58" s="63" t="str">
        <f>IF(OR(E58="",F58="",M58&lt;=0),"",M58*F58)</f>
        <v/>
      </c>
      <c r="J58" s="63" t="str">
        <f>IF(I58="","",I58-(M58*D58))</f>
        <v/>
      </c>
      <c r="K58" s="28" t="str">
        <f>IF(A58="","",IF(T58&gt;0,"Yes","No"))</f>
        <v/>
      </c>
      <c r="L58" s="28" t="str">
        <f>IF(A58="","",A58&amp;"-"&amp;TEXT(B58,"yyyymmdd")&amp;"-R"&amp;ROW())</f>
        <v/>
      </c>
      <c r="M58" s="28" t="str">
        <f>IF(OR(C58="",G58=""),"",C58-G58)</f>
        <v/>
      </c>
      <c r="N58" s="63" t="str">
        <f>IF(OR(M58&lt;=0,J58&gt;=0),"",ABS(J58)/M58)</f>
        <v/>
      </c>
      <c r="O58" s="63" t="str">
        <f>IF(OR(A58="",M58&lt;=0,J58&gt;=0),"",MIN(M58,SUMPRODUCT(($A$18:$A$379=A58)*(IFERROR($B$18:$B$379&gt;=E58-30,0))*(IFERROR($B$18:$B$379&lt;=E58+30,0))*($G$18:$G$379&gt;0)*($L$18:$L$379&lt;&gt;L58)*($G$18:$G$379))+SUMPRODUCT(($A$381:$A$498=A58)*(IFERROR($B$381:$B$498&gt;=E58-30,0))*(IFERROR($B$381:$B$498&lt;=E58+30,0))*($G$381:$G$498&gt;0)*($L$381:$L$498&lt;&gt;L58)*($G$381:$G$498))))</f>
        <v/>
      </c>
      <c r="P58" s="28" t="str">
        <f>IF(OR(A58="",M58&lt;=0,J58&gt;=0),"",SUMPRODUCT(($A$18:$A$379=A58)*(IFERROR($B$18:$B$379&gt;=E58-30,0))*(IFERROR($B$18:$B$379&lt;=E58+30,0))*($G$18:$G$379&gt;0)*($L$18:$L$379&lt;&gt;L58))+SUMPRODUCT(($A$381:$A$498=A58)*(IFERROR($B$381:$B$498&gt;=E58-30,0))*(IFERROR($B$381:$B$498&lt;=E58+30,0))*($G$381:$G$498&gt;0)*($L$381:$L$498&lt;&gt;L58)))</f>
        <v/>
      </c>
      <c r="Q58" s="31" t="str">
        <f>IF(P58=1,IFERROR(INDEX($L$18:$L$379,MATCH(1,INDEX(($A$18:$A$379=A58)*(IFERROR($B$18:$B$379&gt;=E58-30,0))*(IFERROR($B$18:$B$379&lt;=E58+30,0))*($G$18:$G$379&gt;0)*($L$18:$L$379&lt;&gt;L58),0),0)),IFERROR(INDEX($L$381:$L$498,MATCH(1,INDEX(($A$381:$A$498=A58)*(IFERROR($B$381:$B$498&gt;=E58-30,0))*(IFERROR($B$381:$B$498&lt;=E58+30,0))*($G$381:$G$498&gt;0)*($L$381:$L$498&lt;&gt;L58),0),0)),"")),"")</f>
        <v/>
      </c>
      <c r="R58" s="32"/>
      <c r="S58" s="31" t="str">
        <f>IF(R58&lt;&gt;"",R58,Q58)</f>
        <v/>
      </c>
      <c r="T58" s="63">
        <f>IF(OR(N58="",O58=0),0,N58*O58)</f>
        <v>0</v>
      </c>
      <c r="U58" s="63">
        <f>IF(COUNTIF($S$18:$S$498,L58)=0,"",SUMIF($S$18:$S$498,L58,$T$18:$T$498))</f>
        <v>0</v>
      </c>
      <c r="V58" s="63" t="str">
        <f>IF(H58="","",IFERROR(H58+U58,H58))</f>
        <v/>
      </c>
      <c r="W58" s="63" t="str">
        <f>IF(OR(V58="",C58=""),"",V58/C58)</f>
        <v/>
      </c>
      <c r="X58" s="11" t="str">
        <f>IF(A58="","",IF(AND(U58&lt;&gt;"",U58&lt;&gt;0,M58=0),"Replacement lot receiving wash basis",IF(J58="","",IF(J58&gt;=0,"",IF(O58=0,"No replacement buy found",IF(P58&gt;1,"Manual selection needed","Auto matched"))))))</f>
        <v/>
      </c>
      <c r="Z58" t="str">
        <f>IF(K58="Yes",COUNTIF($K$18:K58,"Yes"),"")</f>
        <v/>
      </c>
    </row>
    <row r="59" spans="1:26" ht="33.75" customHeight="1" x14ac:dyDescent="0.2">
      <c r="A59" s="9"/>
      <c r="B59" s="69"/>
      <c r="C59" s="30"/>
      <c r="D59" s="70"/>
      <c r="E59" s="69"/>
      <c r="F59" s="70"/>
      <c r="G59" s="30"/>
      <c r="H59" s="63" t="str">
        <f>IF(OR(C59="",D59=""),"",C59*D59)</f>
        <v/>
      </c>
      <c r="I59" s="63" t="str">
        <f>IF(OR(E59="",F59="",M59&lt;=0),"",M59*F59)</f>
        <v/>
      </c>
      <c r="J59" s="63" t="str">
        <f>IF(I59="","",I59-(M59*D59))</f>
        <v/>
      </c>
      <c r="K59" s="28" t="str">
        <f>IF(A59="","",IF(T59&gt;0,"Yes","No"))</f>
        <v/>
      </c>
      <c r="L59" s="28" t="str">
        <f>IF(A59="","",A59&amp;"-"&amp;TEXT(B59,"yyyymmdd")&amp;"-R"&amp;ROW())</f>
        <v/>
      </c>
      <c r="M59" s="28" t="str">
        <f>IF(OR(C59="",G59=""),"",C59-G59)</f>
        <v/>
      </c>
      <c r="N59" s="63" t="str">
        <f>IF(OR(M59&lt;=0,J59&gt;=0),"",ABS(J59)/M59)</f>
        <v/>
      </c>
      <c r="O59" s="63" t="str">
        <f>IF(OR(A59="",M59&lt;=0,J59&gt;=0),"",MIN(M59,SUMPRODUCT(($A$18:$A$379=A59)*(IFERROR($B$18:$B$379&gt;=E59-30,0))*(IFERROR($B$18:$B$379&lt;=E59+30,0))*($G$18:$G$379&gt;0)*($L$18:$L$379&lt;&gt;L59)*($G$18:$G$379))+SUMPRODUCT(($A$381:$A$498=A59)*(IFERROR($B$381:$B$498&gt;=E59-30,0))*(IFERROR($B$381:$B$498&lt;=E59+30,0))*($G$381:$G$498&gt;0)*($L$381:$L$498&lt;&gt;L59)*($G$381:$G$498))))</f>
        <v/>
      </c>
      <c r="P59" s="28" t="str">
        <f>IF(OR(A59="",M59&lt;=0,J59&gt;=0),"",SUMPRODUCT(($A$18:$A$379=A59)*(IFERROR($B$18:$B$379&gt;=E59-30,0))*(IFERROR($B$18:$B$379&lt;=E59+30,0))*($G$18:$G$379&gt;0)*($L$18:$L$379&lt;&gt;L59))+SUMPRODUCT(($A$381:$A$498=A59)*(IFERROR($B$381:$B$498&gt;=E59-30,0))*(IFERROR($B$381:$B$498&lt;=E59+30,0))*($G$381:$G$498&gt;0)*($L$381:$L$498&lt;&gt;L59)))</f>
        <v/>
      </c>
      <c r="Q59" s="31" t="str">
        <f>IF(P59=1,IFERROR(INDEX($L$18:$L$379,MATCH(1,INDEX(($A$18:$A$379=A59)*(IFERROR($B$18:$B$379&gt;=E59-30,0))*(IFERROR($B$18:$B$379&lt;=E59+30,0))*($G$18:$G$379&gt;0)*($L$18:$L$379&lt;&gt;L59),0),0)),IFERROR(INDEX($L$381:$L$498,MATCH(1,INDEX(($A$381:$A$498=A59)*(IFERROR($B$381:$B$498&gt;=E59-30,0))*(IFERROR($B$381:$B$498&lt;=E59+30,0))*($G$381:$G$498&gt;0)*($L$381:$L$498&lt;&gt;L59),0),0)),"")),"")</f>
        <v/>
      </c>
      <c r="R59" s="32"/>
      <c r="S59" s="31" t="str">
        <f>IF(R59&lt;&gt;"",R59,Q59)</f>
        <v/>
      </c>
      <c r="T59" s="63">
        <f>IF(OR(N59="",O59=0),0,N59*O59)</f>
        <v>0</v>
      </c>
      <c r="U59" s="63">
        <f>IF(COUNTIF($S$18:$S$498,L59)=0,"",SUMIF($S$18:$S$498,L59,$T$18:$T$498))</f>
        <v>0</v>
      </c>
      <c r="V59" s="63" t="str">
        <f>IF(H59="","",IFERROR(H59+U59,H59))</f>
        <v/>
      </c>
      <c r="W59" s="63" t="str">
        <f>IF(OR(V59="",C59=""),"",V59/C59)</f>
        <v/>
      </c>
      <c r="X59" s="11" t="str">
        <f>IF(A59="","",IF(AND(U59&lt;&gt;"",U59&lt;&gt;0,M59=0),"Replacement lot receiving wash basis",IF(J59="","",IF(J59&gt;=0,"",IF(O59=0,"No replacement buy found",IF(P59&gt;1,"Manual selection needed","Auto matched"))))))</f>
        <v/>
      </c>
      <c r="Z59" t="str">
        <f>IF(K59="Yes",COUNTIF($K$18:K59,"Yes"),"")</f>
        <v/>
      </c>
    </row>
    <row r="60" spans="1:26" ht="33.75" customHeight="1" x14ac:dyDescent="0.2">
      <c r="A60" s="9"/>
      <c r="B60" s="69"/>
      <c r="C60" s="30"/>
      <c r="D60" s="70"/>
      <c r="E60" s="69"/>
      <c r="F60" s="70"/>
      <c r="G60" s="30"/>
      <c r="H60" s="63" t="str">
        <f>IF(OR(C60="",D60=""),"",C60*D60)</f>
        <v/>
      </c>
      <c r="I60" s="63" t="str">
        <f>IF(OR(E60="",F60="",M60&lt;=0),"",M60*F60)</f>
        <v/>
      </c>
      <c r="J60" s="63" t="str">
        <f>IF(I60="","",I60-(M60*D60))</f>
        <v/>
      </c>
      <c r="K60" s="28" t="str">
        <f>IF(A60="","",IF(T60&gt;0,"Yes","No"))</f>
        <v/>
      </c>
      <c r="L60" s="28" t="str">
        <f>IF(A60="","",A60&amp;"-"&amp;TEXT(B60,"yyyymmdd")&amp;"-R"&amp;ROW())</f>
        <v/>
      </c>
      <c r="M60" s="28" t="str">
        <f>IF(OR(C60="",G60=""),"",C60-G60)</f>
        <v/>
      </c>
      <c r="N60" s="63" t="str">
        <f>IF(OR(M60&lt;=0,J60&gt;=0),"",ABS(J60)/M60)</f>
        <v/>
      </c>
      <c r="O60" s="63" t="str">
        <f>IF(OR(A60="",M60&lt;=0,J60&gt;=0),"",MIN(M60,SUMPRODUCT(($A$18:$A$379=A60)*(IFERROR($B$18:$B$379&gt;=E60-30,0))*(IFERROR($B$18:$B$379&lt;=E60+30,0))*($G$18:$G$379&gt;0)*($L$18:$L$379&lt;&gt;L60)*($G$18:$G$379))+SUMPRODUCT(($A$381:$A$498=A60)*(IFERROR($B$381:$B$498&gt;=E60-30,0))*(IFERROR($B$381:$B$498&lt;=E60+30,0))*($G$381:$G$498&gt;0)*($L$381:$L$498&lt;&gt;L60)*($G$381:$G$498))))</f>
        <v/>
      </c>
      <c r="P60" s="28" t="str">
        <f>IF(OR(A60="",M60&lt;=0,J60&gt;=0),"",SUMPRODUCT(($A$18:$A$379=A60)*(IFERROR($B$18:$B$379&gt;=E60-30,0))*(IFERROR($B$18:$B$379&lt;=E60+30,0))*($G$18:$G$379&gt;0)*($L$18:$L$379&lt;&gt;L60))+SUMPRODUCT(($A$381:$A$498=A60)*(IFERROR($B$381:$B$498&gt;=E60-30,0))*(IFERROR($B$381:$B$498&lt;=E60+30,0))*($G$381:$G$498&gt;0)*($L$381:$L$498&lt;&gt;L60)))</f>
        <v/>
      </c>
      <c r="Q60" s="31" t="str">
        <f>IF(P60=1,IFERROR(INDEX($L$18:$L$379,MATCH(1,INDEX(($A$18:$A$379=A60)*(IFERROR($B$18:$B$379&gt;=E60-30,0))*(IFERROR($B$18:$B$379&lt;=E60+30,0))*($G$18:$G$379&gt;0)*($L$18:$L$379&lt;&gt;L60),0),0)),IFERROR(INDEX($L$381:$L$498,MATCH(1,INDEX(($A$381:$A$498=A60)*(IFERROR($B$381:$B$498&gt;=E60-30,0))*(IFERROR($B$381:$B$498&lt;=E60+30,0))*($G$381:$G$498&gt;0)*($L$381:$L$498&lt;&gt;L60),0),0)),"")),"")</f>
        <v/>
      </c>
      <c r="R60" s="32"/>
      <c r="S60" s="31" t="str">
        <f>IF(R60&lt;&gt;"",R60,Q60)</f>
        <v/>
      </c>
      <c r="T60" s="63">
        <f>IF(OR(N60="",O60=0),0,N60*O60)</f>
        <v>0</v>
      </c>
      <c r="U60" s="63">
        <f>IF(COUNTIF($S$18:$S$498,L60)=0,"",SUMIF($S$18:$S$498,L60,$T$18:$T$498))</f>
        <v>0</v>
      </c>
      <c r="V60" s="63" t="str">
        <f>IF(H60="","",IFERROR(H60+U60,H60))</f>
        <v/>
      </c>
      <c r="W60" s="63" t="str">
        <f>IF(OR(V60="",C60=""),"",V60/C60)</f>
        <v/>
      </c>
      <c r="X60" s="11" t="str">
        <f>IF(A60="","",IF(AND(U60&lt;&gt;"",U60&lt;&gt;0,M60=0),"Replacement lot receiving wash basis",IF(J60="","",IF(J60&gt;=0,"",IF(O60=0,"No replacement buy found",IF(P60&gt;1,"Manual selection needed","Auto matched"))))))</f>
        <v/>
      </c>
      <c r="Z60" t="str">
        <f>IF(K60="Yes",COUNTIF($K$18:K60,"Yes"),"")</f>
        <v/>
      </c>
    </row>
    <row r="61" spans="1:26" ht="33.75" customHeight="1" x14ac:dyDescent="0.2">
      <c r="A61" s="9"/>
      <c r="B61" s="69"/>
      <c r="C61" s="30"/>
      <c r="D61" s="70"/>
      <c r="E61" s="69"/>
      <c r="F61" s="70"/>
      <c r="G61" s="30"/>
      <c r="H61" s="63" t="str">
        <f>IF(OR(C61="",D61=""),"",C61*D61)</f>
        <v/>
      </c>
      <c r="I61" s="63" t="str">
        <f>IF(OR(E61="",F61="",M61&lt;=0),"",M61*F61)</f>
        <v/>
      </c>
      <c r="J61" s="63" t="str">
        <f>IF(I61="","",I61-(M61*D61))</f>
        <v/>
      </c>
      <c r="K61" s="28" t="str">
        <f>IF(A61="","",IF(T61&gt;0,"Yes","No"))</f>
        <v/>
      </c>
      <c r="L61" s="28" t="str">
        <f>IF(A61="","",A61&amp;"-"&amp;TEXT(B61,"yyyymmdd")&amp;"-R"&amp;ROW())</f>
        <v/>
      </c>
      <c r="M61" s="28" t="str">
        <f>IF(OR(C61="",G61=""),"",C61-G61)</f>
        <v/>
      </c>
      <c r="N61" s="63" t="str">
        <f>IF(OR(M61&lt;=0,J61&gt;=0),"",ABS(J61)/M61)</f>
        <v/>
      </c>
      <c r="O61" s="63" t="str">
        <f>IF(OR(A61="",M61&lt;=0,J61&gt;=0),"",MIN(M61,SUMPRODUCT(($A$18:$A$379=A61)*(IFERROR($B$18:$B$379&gt;=E61-30,0))*(IFERROR($B$18:$B$379&lt;=E61+30,0))*($G$18:$G$379&gt;0)*($L$18:$L$379&lt;&gt;L61)*($G$18:$G$379))+SUMPRODUCT(($A$381:$A$498=A61)*(IFERROR($B$381:$B$498&gt;=E61-30,0))*(IFERROR($B$381:$B$498&lt;=E61+30,0))*($G$381:$G$498&gt;0)*($L$381:$L$498&lt;&gt;L61)*($G$381:$G$498))))</f>
        <v/>
      </c>
      <c r="P61" s="28" t="str">
        <f>IF(OR(A61="",M61&lt;=0,J61&gt;=0),"",SUMPRODUCT(($A$18:$A$379=A61)*(IFERROR($B$18:$B$379&gt;=E61-30,0))*(IFERROR($B$18:$B$379&lt;=E61+30,0))*($G$18:$G$379&gt;0)*($L$18:$L$379&lt;&gt;L61))+SUMPRODUCT(($A$381:$A$498=A61)*(IFERROR($B$381:$B$498&gt;=E61-30,0))*(IFERROR($B$381:$B$498&lt;=E61+30,0))*($G$381:$G$498&gt;0)*($L$381:$L$498&lt;&gt;L61)))</f>
        <v/>
      </c>
      <c r="Q61" s="31" t="str">
        <f>IF(P61=1,IFERROR(INDEX($L$18:$L$379,MATCH(1,INDEX(($A$18:$A$379=A61)*(IFERROR($B$18:$B$379&gt;=E61-30,0))*(IFERROR($B$18:$B$379&lt;=E61+30,0))*($G$18:$G$379&gt;0)*($L$18:$L$379&lt;&gt;L61),0),0)),IFERROR(INDEX($L$381:$L$498,MATCH(1,INDEX(($A$381:$A$498=A61)*(IFERROR($B$381:$B$498&gt;=E61-30,0))*(IFERROR($B$381:$B$498&lt;=E61+30,0))*($G$381:$G$498&gt;0)*($L$381:$L$498&lt;&gt;L61),0),0)),"")),"")</f>
        <v/>
      </c>
      <c r="R61" s="32"/>
      <c r="S61" s="31" t="str">
        <f>IF(R61&lt;&gt;"",R61,Q61)</f>
        <v/>
      </c>
      <c r="T61" s="63">
        <f>IF(OR(N61="",O61=0),0,N61*O61)</f>
        <v>0</v>
      </c>
      <c r="U61" s="63">
        <f>IF(COUNTIF($S$18:$S$498,L61)=0,"",SUMIF($S$18:$S$498,L61,$T$18:$T$498))</f>
        <v>0</v>
      </c>
      <c r="V61" s="63" t="str">
        <f>IF(H61="","",IFERROR(H61+U61,H61))</f>
        <v/>
      </c>
      <c r="W61" s="63" t="str">
        <f>IF(OR(V61="",C61=""),"",V61/C61)</f>
        <v/>
      </c>
      <c r="X61" s="11" t="str">
        <f>IF(A61="","",IF(AND(U61&lt;&gt;"",U61&lt;&gt;0,M61=0),"Replacement lot receiving wash basis",IF(J61="","",IF(J61&gt;=0,"",IF(O61=0,"No replacement buy found",IF(P61&gt;1,"Manual selection needed","Auto matched"))))))</f>
        <v/>
      </c>
      <c r="Z61" t="str">
        <f>IF(K61="Yes",COUNTIF($K$18:K61,"Yes"),"")</f>
        <v/>
      </c>
    </row>
    <row r="62" spans="1:26" ht="33.75" customHeight="1" x14ac:dyDescent="0.2">
      <c r="A62" s="9"/>
      <c r="B62" s="69"/>
      <c r="C62" s="30"/>
      <c r="D62" s="70"/>
      <c r="E62" s="69"/>
      <c r="F62" s="70"/>
      <c r="G62" s="30"/>
      <c r="H62" s="63" t="str">
        <f>IF(OR(C62="",D62=""),"",C62*D62)</f>
        <v/>
      </c>
      <c r="I62" s="63" t="str">
        <f>IF(OR(E62="",F62="",M62&lt;=0),"",M62*F62)</f>
        <v/>
      </c>
      <c r="J62" s="63" t="str">
        <f>IF(I62="","",I62-(M62*D62))</f>
        <v/>
      </c>
      <c r="K62" s="28" t="str">
        <f>IF(A62="","",IF(T62&gt;0,"Yes","No"))</f>
        <v/>
      </c>
      <c r="L62" s="28" t="str">
        <f>IF(A62="","",A62&amp;"-"&amp;TEXT(B62,"yyyymmdd")&amp;"-R"&amp;ROW())</f>
        <v/>
      </c>
      <c r="M62" s="28" t="str">
        <f>IF(OR(C62="",G62=""),"",C62-G62)</f>
        <v/>
      </c>
      <c r="N62" s="63" t="str">
        <f>IF(OR(M62&lt;=0,J62&gt;=0),"",ABS(J62)/M62)</f>
        <v/>
      </c>
      <c r="O62" s="63" t="str">
        <f>IF(OR(A62="",M62&lt;=0,J62&gt;=0),"",MIN(M62,SUMPRODUCT(($A$18:$A$379=A62)*(IFERROR($B$18:$B$379&gt;=E62-30,0))*(IFERROR($B$18:$B$379&lt;=E62+30,0))*($G$18:$G$379&gt;0)*($L$18:$L$379&lt;&gt;L62)*($G$18:$G$379))+SUMPRODUCT(($A$381:$A$498=A62)*(IFERROR($B$381:$B$498&gt;=E62-30,0))*(IFERROR($B$381:$B$498&lt;=E62+30,0))*($G$381:$G$498&gt;0)*($L$381:$L$498&lt;&gt;L62)*($G$381:$G$498))))</f>
        <v/>
      </c>
      <c r="P62" s="28" t="str">
        <f>IF(OR(A62="",M62&lt;=0,J62&gt;=0),"",SUMPRODUCT(($A$18:$A$379=A62)*(IFERROR($B$18:$B$379&gt;=E62-30,0))*(IFERROR($B$18:$B$379&lt;=E62+30,0))*($G$18:$G$379&gt;0)*($L$18:$L$379&lt;&gt;L62))+SUMPRODUCT(($A$381:$A$498=A62)*(IFERROR($B$381:$B$498&gt;=E62-30,0))*(IFERROR($B$381:$B$498&lt;=E62+30,0))*($G$381:$G$498&gt;0)*($L$381:$L$498&lt;&gt;L62)))</f>
        <v/>
      </c>
      <c r="Q62" s="31" t="str">
        <f>IF(P62=1,IFERROR(INDEX($L$18:$L$379,MATCH(1,INDEX(($A$18:$A$379=A62)*(IFERROR($B$18:$B$379&gt;=E62-30,0))*(IFERROR($B$18:$B$379&lt;=E62+30,0))*($G$18:$G$379&gt;0)*($L$18:$L$379&lt;&gt;L62),0),0)),IFERROR(INDEX($L$381:$L$498,MATCH(1,INDEX(($A$381:$A$498=A62)*(IFERROR($B$381:$B$498&gt;=E62-30,0))*(IFERROR($B$381:$B$498&lt;=E62+30,0))*($G$381:$G$498&gt;0)*($L$381:$L$498&lt;&gt;L62),0),0)),"")),"")</f>
        <v/>
      </c>
      <c r="R62" s="32"/>
      <c r="S62" s="31" t="str">
        <f>IF(R62&lt;&gt;"",R62,Q62)</f>
        <v/>
      </c>
      <c r="T62" s="63">
        <f>IF(OR(N62="",O62=0),0,N62*O62)</f>
        <v>0</v>
      </c>
      <c r="U62" s="63">
        <f>IF(COUNTIF($S$18:$S$498,L62)=0,"",SUMIF($S$18:$S$498,L62,$T$18:$T$498))</f>
        <v>0</v>
      </c>
      <c r="V62" s="63" t="str">
        <f>IF(H62="","",IFERROR(H62+U62,H62))</f>
        <v/>
      </c>
      <c r="W62" s="63" t="str">
        <f>IF(OR(V62="",C62=""),"",V62/C62)</f>
        <v/>
      </c>
      <c r="X62" s="11" t="str">
        <f>IF(A62="","",IF(AND(U62&lt;&gt;"",U62&lt;&gt;0,M62=0),"Replacement lot receiving wash basis",IF(J62="","",IF(J62&gt;=0,"",IF(O62=0,"No replacement buy found",IF(P62&gt;1,"Manual selection needed","Auto matched"))))))</f>
        <v/>
      </c>
      <c r="Z62" t="str">
        <f>IF(K62="Yes",COUNTIF($K$18:K62,"Yes"),"")</f>
        <v/>
      </c>
    </row>
    <row r="63" spans="1:26" ht="33.75" customHeight="1" x14ac:dyDescent="0.2">
      <c r="A63" s="9"/>
      <c r="B63" s="69"/>
      <c r="C63" s="30"/>
      <c r="D63" s="70"/>
      <c r="E63" s="69"/>
      <c r="F63" s="70"/>
      <c r="G63" s="30"/>
      <c r="H63" s="63" t="str">
        <f>IF(OR(C63="",D63=""),"",C63*D63)</f>
        <v/>
      </c>
      <c r="I63" s="63" t="str">
        <f>IF(OR(E63="",F63="",M63&lt;=0),"",M63*F63)</f>
        <v/>
      </c>
      <c r="J63" s="63" t="str">
        <f>IF(I63="","",I63-(M63*D63))</f>
        <v/>
      </c>
      <c r="K63" s="28" t="str">
        <f>IF(A63="","",IF(T63&gt;0,"Yes","No"))</f>
        <v/>
      </c>
      <c r="L63" s="28" t="str">
        <f>IF(A63="","",A63&amp;"-"&amp;TEXT(B63,"yyyymmdd")&amp;"-R"&amp;ROW())</f>
        <v/>
      </c>
      <c r="M63" s="28" t="str">
        <f>IF(OR(C63="",G63=""),"",C63-G63)</f>
        <v/>
      </c>
      <c r="N63" s="63" t="str">
        <f>IF(OR(M63&lt;=0,J63&gt;=0),"",ABS(J63)/M63)</f>
        <v/>
      </c>
      <c r="O63" s="63" t="str">
        <f>IF(OR(A63="",M63&lt;=0,J63&gt;=0),"",MIN(M63,SUMPRODUCT(($A$18:$A$379=A63)*(IFERROR($B$18:$B$379&gt;=E63-30,0))*(IFERROR($B$18:$B$379&lt;=E63+30,0))*($G$18:$G$379&gt;0)*($L$18:$L$379&lt;&gt;L63)*($G$18:$G$379))+SUMPRODUCT(($A$381:$A$498=A63)*(IFERROR($B$381:$B$498&gt;=E63-30,0))*(IFERROR($B$381:$B$498&lt;=E63+30,0))*($G$381:$G$498&gt;0)*($L$381:$L$498&lt;&gt;L63)*($G$381:$G$498))))</f>
        <v/>
      </c>
      <c r="P63" s="28" t="str">
        <f>IF(OR(A63="",M63&lt;=0,J63&gt;=0),"",SUMPRODUCT(($A$18:$A$379=A63)*(IFERROR($B$18:$B$379&gt;=E63-30,0))*(IFERROR($B$18:$B$379&lt;=E63+30,0))*($G$18:$G$379&gt;0)*($L$18:$L$379&lt;&gt;L63))+SUMPRODUCT(($A$381:$A$498=A63)*(IFERROR($B$381:$B$498&gt;=E63-30,0))*(IFERROR($B$381:$B$498&lt;=E63+30,0))*($G$381:$G$498&gt;0)*($L$381:$L$498&lt;&gt;L63)))</f>
        <v/>
      </c>
      <c r="Q63" s="31" t="str">
        <f>IF(P63=1,IFERROR(INDEX($L$18:$L$379,MATCH(1,INDEX(($A$18:$A$379=A63)*(IFERROR($B$18:$B$379&gt;=E63-30,0))*(IFERROR($B$18:$B$379&lt;=E63+30,0))*($G$18:$G$379&gt;0)*($L$18:$L$379&lt;&gt;L63),0),0)),IFERROR(INDEX($L$381:$L$498,MATCH(1,INDEX(($A$381:$A$498=A63)*(IFERROR($B$381:$B$498&gt;=E63-30,0))*(IFERROR($B$381:$B$498&lt;=E63+30,0))*($G$381:$G$498&gt;0)*($L$381:$L$498&lt;&gt;L63),0),0)),"")),"")</f>
        <v/>
      </c>
      <c r="R63" s="32"/>
      <c r="S63" s="31" t="str">
        <f>IF(R63&lt;&gt;"",R63,Q63)</f>
        <v/>
      </c>
      <c r="T63" s="63">
        <f>IF(OR(N63="",O63=0),0,N63*O63)</f>
        <v>0</v>
      </c>
      <c r="U63" s="63">
        <f>IF(COUNTIF($S$18:$S$498,L63)=0,"",SUMIF($S$18:$S$498,L63,$T$18:$T$498))</f>
        <v>0</v>
      </c>
      <c r="V63" s="63" t="str">
        <f>IF(H63="","",IFERROR(H63+U63,H63))</f>
        <v/>
      </c>
      <c r="W63" s="63" t="str">
        <f>IF(OR(V63="",C63=""),"",V63/C63)</f>
        <v/>
      </c>
      <c r="X63" s="11" t="str">
        <f>IF(A63="","",IF(AND(U63&lt;&gt;"",U63&lt;&gt;0,M63=0),"Replacement lot receiving wash basis",IF(J63="","",IF(J63&gt;=0,"",IF(O63=0,"No replacement buy found",IF(P63&gt;1,"Manual selection needed","Auto matched"))))))</f>
        <v/>
      </c>
      <c r="Z63" t="str">
        <f>IF(K63="Yes",COUNTIF($K$18:K63,"Yes"),"")</f>
        <v/>
      </c>
    </row>
    <row r="64" spans="1:26" ht="33.75" customHeight="1" x14ac:dyDescent="0.2">
      <c r="A64" s="9"/>
      <c r="B64" s="69"/>
      <c r="C64" s="30"/>
      <c r="D64" s="70"/>
      <c r="E64" s="69"/>
      <c r="F64" s="70"/>
      <c r="G64" s="30"/>
      <c r="H64" s="63" t="str">
        <f>IF(OR(C64="",D64=""),"",C64*D64)</f>
        <v/>
      </c>
      <c r="I64" s="63" t="str">
        <f>IF(OR(E64="",F64="",M64&lt;=0),"",M64*F64)</f>
        <v/>
      </c>
      <c r="J64" s="63" t="str">
        <f>IF(I64="","",I64-(M64*D64))</f>
        <v/>
      </c>
      <c r="K64" s="28" t="str">
        <f>IF(A64="","",IF(T64&gt;0,"Yes","No"))</f>
        <v/>
      </c>
      <c r="L64" s="28" t="str">
        <f>IF(A64="","",A64&amp;"-"&amp;TEXT(B64,"yyyymmdd")&amp;"-R"&amp;ROW())</f>
        <v/>
      </c>
      <c r="M64" s="28" t="str">
        <f>IF(OR(C64="",G64=""),"",C64-G64)</f>
        <v/>
      </c>
      <c r="N64" s="63" t="str">
        <f>IF(OR(M64&lt;=0,J64&gt;=0),"",ABS(J64)/M64)</f>
        <v/>
      </c>
      <c r="O64" s="63" t="str">
        <f>IF(OR(A64="",M64&lt;=0,J64&gt;=0),"",MIN(M64,SUMPRODUCT(($A$18:$A$379=A64)*(IFERROR($B$18:$B$379&gt;=E64-30,0))*(IFERROR($B$18:$B$379&lt;=E64+30,0))*($G$18:$G$379&gt;0)*($L$18:$L$379&lt;&gt;L64)*($G$18:$G$379))+SUMPRODUCT(($A$381:$A$498=A64)*(IFERROR($B$381:$B$498&gt;=E64-30,0))*(IFERROR($B$381:$B$498&lt;=E64+30,0))*($G$381:$G$498&gt;0)*($L$381:$L$498&lt;&gt;L64)*($G$381:$G$498))))</f>
        <v/>
      </c>
      <c r="P64" s="28" t="str">
        <f>IF(OR(A64="",M64&lt;=0,J64&gt;=0),"",SUMPRODUCT(($A$18:$A$379=A64)*(IFERROR($B$18:$B$379&gt;=E64-30,0))*(IFERROR($B$18:$B$379&lt;=E64+30,0))*($G$18:$G$379&gt;0)*($L$18:$L$379&lt;&gt;L64))+SUMPRODUCT(($A$381:$A$498=A64)*(IFERROR($B$381:$B$498&gt;=E64-30,0))*(IFERROR($B$381:$B$498&lt;=E64+30,0))*($G$381:$G$498&gt;0)*($L$381:$L$498&lt;&gt;L64)))</f>
        <v/>
      </c>
      <c r="Q64" s="31" t="str">
        <f>IF(P64=1,IFERROR(INDEX($L$18:$L$379,MATCH(1,INDEX(($A$18:$A$379=A64)*(IFERROR($B$18:$B$379&gt;=E64-30,0))*(IFERROR($B$18:$B$379&lt;=E64+30,0))*($G$18:$G$379&gt;0)*($L$18:$L$379&lt;&gt;L64),0),0)),IFERROR(INDEX($L$381:$L$498,MATCH(1,INDEX(($A$381:$A$498=A64)*(IFERROR($B$381:$B$498&gt;=E64-30,0))*(IFERROR($B$381:$B$498&lt;=E64+30,0))*($G$381:$G$498&gt;0)*($L$381:$L$498&lt;&gt;L64),0),0)),"")),"")</f>
        <v/>
      </c>
      <c r="R64" s="32"/>
      <c r="S64" s="31" t="str">
        <f>IF(R64&lt;&gt;"",R64,Q64)</f>
        <v/>
      </c>
      <c r="T64" s="63">
        <f>IF(OR(N64="",O64=0),0,N64*O64)</f>
        <v>0</v>
      </c>
      <c r="U64" s="63">
        <f>IF(COUNTIF($S$18:$S$498,L64)=0,"",SUMIF($S$18:$S$498,L64,$T$18:$T$498))</f>
        <v>0</v>
      </c>
      <c r="V64" s="63" t="str">
        <f>IF(H64="","",IFERROR(H64+U64,H64))</f>
        <v/>
      </c>
      <c r="W64" s="63" t="str">
        <f>IF(OR(V64="",C64=""),"",V64/C64)</f>
        <v/>
      </c>
      <c r="X64" s="11" t="str">
        <f>IF(A64="","",IF(AND(U64&lt;&gt;"",U64&lt;&gt;0,M64=0),"Replacement lot receiving wash basis",IF(J64="","",IF(J64&gt;=0,"",IF(O64=0,"No replacement buy found",IF(P64&gt;1,"Manual selection needed","Auto matched"))))))</f>
        <v/>
      </c>
      <c r="Z64" t="str">
        <f>IF(K64="Yes",COUNTIF($K$18:K64,"Yes"),"")</f>
        <v/>
      </c>
    </row>
    <row r="65" spans="1:26" ht="33.75" customHeight="1" x14ac:dyDescent="0.2">
      <c r="A65" s="9"/>
      <c r="B65" s="69"/>
      <c r="C65" s="30"/>
      <c r="D65" s="70"/>
      <c r="E65" s="69"/>
      <c r="F65" s="70"/>
      <c r="G65" s="30"/>
      <c r="H65" s="63" t="str">
        <f>IF(OR(C65="",D65=""),"",C65*D65)</f>
        <v/>
      </c>
      <c r="I65" s="63" t="str">
        <f>IF(OR(E65="",F65="",M65&lt;=0),"",M65*F65)</f>
        <v/>
      </c>
      <c r="J65" s="63" t="str">
        <f>IF(I65="","",I65-(M65*D65))</f>
        <v/>
      </c>
      <c r="K65" s="28" t="str">
        <f>IF(A65="","",IF(T65&gt;0,"Yes","No"))</f>
        <v/>
      </c>
      <c r="L65" s="28" t="str">
        <f>IF(A65="","",A65&amp;"-"&amp;TEXT(B65,"yyyymmdd")&amp;"-R"&amp;ROW())</f>
        <v/>
      </c>
      <c r="M65" s="28" t="str">
        <f>IF(OR(C65="",G65=""),"",C65-G65)</f>
        <v/>
      </c>
      <c r="N65" s="63" t="str">
        <f>IF(OR(M65&lt;=0,J65&gt;=0),"",ABS(J65)/M65)</f>
        <v/>
      </c>
      <c r="O65" s="63" t="str">
        <f>IF(OR(A65="",M65&lt;=0,J65&gt;=0),"",MIN(M65,SUMPRODUCT(($A$18:$A$379=A65)*(IFERROR($B$18:$B$379&gt;=E65-30,0))*(IFERROR($B$18:$B$379&lt;=E65+30,0))*($G$18:$G$379&gt;0)*($L$18:$L$379&lt;&gt;L65)*($G$18:$G$379))+SUMPRODUCT(($A$381:$A$498=A65)*(IFERROR($B$381:$B$498&gt;=E65-30,0))*(IFERROR($B$381:$B$498&lt;=E65+30,0))*($G$381:$G$498&gt;0)*($L$381:$L$498&lt;&gt;L65)*($G$381:$G$498))))</f>
        <v/>
      </c>
      <c r="P65" s="28" t="str">
        <f>IF(OR(A65="",M65&lt;=0,J65&gt;=0),"",SUMPRODUCT(($A$18:$A$379=A65)*(IFERROR($B$18:$B$379&gt;=E65-30,0))*(IFERROR($B$18:$B$379&lt;=E65+30,0))*($G$18:$G$379&gt;0)*($L$18:$L$379&lt;&gt;L65))+SUMPRODUCT(($A$381:$A$498=A65)*(IFERROR($B$381:$B$498&gt;=E65-30,0))*(IFERROR($B$381:$B$498&lt;=E65+30,0))*($G$381:$G$498&gt;0)*($L$381:$L$498&lt;&gt;L65)))</f>
        <v/>
      </c>
      <c r="Q65" s="31" t="str">
        <f>IF(P65=1,IFERROR(INDEX($L$18:$L$379,MATCH(1,INDEX(($A$18:$A$379=A65)*(IFERROR($B$18:$B$379&gt;=E65-30,0))*(IFERROR($B$18:$B$379&lt;=E65+30,0))*($G$18:$G$379&gt;0)*($L$18:$L$379&lt;&gt;L65),0),0)),IFERROR(INDEX($L$381:$L$498,MATCH(1,INDEX(($A$381:$A$498=A65)*(IFERROR($B$381:$B$498&gt;=E65-30,0))*(IFERROR($B$381:$B$498&lt;=E65+30,0))*($G$381:$G$498&gt;0)*($L$381:$L$498&lt;&gt;L65),0),0)),"")),"")</f>
        <v/>
      </c>
      <c r="R65" s="32"/>
      <c r="S65" s="31" t="str">
        <f>IF(R65&lt;&gt;"",R65,Q65)</f>
        <v/>
      </c>
      <c r="T65" s="63">
        <f>IF(OR(N65="",O65=0),0,N65*O65)</f>
        <v>0</v>
      </c>
      <c r="U65" s="63">
        <f>IF(COUNTIF($S$18:$S$498,L65)=0,"",SUMIF($S$18:$S$498,L65,$T$18:$T$498))</f>
        <v>0</v>
      </c>
      <c r="V65" s="63" t="str">
        <f>IF(H65="","",IFERROR(H65+U65,H65))</f>
        <v/>
      </c>
      <c r="W65" s="63" t="str">
        <f>IF(OR(V65="",C65=""),"",V65/C65)</f>
        <v/>
      </c>
      <c r="X65" s="11" t="str">
        <f>IF(A65="","",IF(AND(U65&lt;&gt;"",U65&lt;&gt;0,M65=0),"Replacement lot receiving wash basis",IF(J65="","",IF(J65&gt;=0,"",IF(O65=0,"No replacement buy found",IF(P65&gt;1,"Manual selection needed","Auto matched"))))))</f>
        <v/>
      </c>
      <c r="Z65" t="str">
        <f>IF(K65="Yes",COUNTIF($K$18:K65,"Yes"),"")</f>
        <v/>
      </c>
    </row>
    <row r="66" spans="1:26" ht="33.75" customHeight="1" x14ac:dyDescent="0.2">
      <c r="A66" s="9"/>
      <c r="B66" s="69"/>
      <c r="C66" s="30"/>
      <c r="D66" s="70"/>
      <c r="E66" s="69"/>
      <c r="F66" s="70"/>
      <c r="G66" s="30"/>
      <c r="H66" s="63" t="str">
        <f>IF(OR(C66="",D66=""),"",C66*D66)</f>
        <v/>
      </c>
      <c r="I66" s="63" t="str">
        <f>IF(OR(E66="",F66="",M66&lt;=0),"",M66*F66)</f>
        <v/>
      </c>
      <c r="J66" s="63" t="str">
        <f>IF(I66="","",I66-(M66*D66))</f>
        <v/>
      </c>
      <c r="K66" s="28" t="str">
        <f>IF(A66="","",IF(T66&gt;0,"Yes","No"))</f>
        <v/>
      </c>
      <c r="L66" s="28" t="str">
        <f>IF(A66="","",A66&amp;"-"&amp;TEXT(B66,"yyyymmdd")&amp;"-R"&amp;ROW())</f>
        <v/>
      </c>
      <c r="M66" s="28" t="str">
        <f>IF(OR(C66="",G66=""),"",C66-G66)</f>
        <v/>
      </c>
      <c r="N66" s="63" t="str">
        <f>IF(OR(M66&lt;=0,J66&gt;=0),"",ABS(J66)/M66)</f>
        <v/>
      </c>
      <c r="O66" s="63" t="str">
        <f>IF(OR(A66="",M66&lt;=0,J66&gt;=0),"",MIN(M66,SUMPRODUCT(($A$18:$A$379=A66)*(IFERROR($B$18:$B$379&gt;=E66-30,0))*(IFERROR($B$18:$B$379&lt;=E66+30,0))*($G$18:$G$379&gt;0)*($L$18:$L$379&lt;&gt;L66)*($G$18:$G$379))+SUMPRODUCT(($A$381:$A$498=A66)*(IFERROR($B$381:$B$498&gt;=E66-30,0))*(IFERROR($B$381:$B$498&lt;=E66+30,0))*($G$381:$G$498&gt;0)*($L$381:$L$498&lt;&gt;L66)*($G$381:$G$498))))</f>
        <v/>
      </c>
      <c r="P66" s="28" t="str">
        <f>IF(OR(A66="",M66&lt;=0,J66&gt;=0),"",SUMPRODUCT(($A$18:$A$379=A66)*(IFERROR($B$18:$B$379&gt;=E66-30,0))*(IFERROR($B$18:$B$379&lt;=E66+30,0))*($G$18:$G$379&gt;0)*($L$18:$L$379&lt;&gt;L66))+SUMPRODUCT(($A$381:$A$498=A66)*(IFERROR($B$381:$B$498&gt;=E66-30,0))*(IFERROR($B$381:$B$498&lt;=E66+30,0))*($G$381:$G$498&gt;0)*($L$381:$L$498&lt;&gt;L66)))</f>
        <v/>
      </c>
      <c r="Q66" s="31" t="str">
        <f>IF(P66=1,IFERROR(INDEX($L$18:$L$379,MATCH(1,INDEX(($A$18:$A$379=A66)*(IFERROR($B$18:$B$379&gt;=E66-30,0))*(IFERROR($B$18:$B$379&lt;=E66+30,0))*($G$18:$G$379&gt;0)*($L$18:$L$379&lt;&gt;L66),0),0)),IFERROR(INDEX($L$381:$L$498,MATCH(1,INDEX(($A$381:$A$498=A66)*(IFERROR($B$381:$B$498&gt;=E66-30,0))*(IFERROR($B$381:$B$498&lt;=E66+30,0))*($G$381:$G$498&gt;0)*($L$381:$L$498&lt;&gt;L66),0),0)),"")),"")</f>
        <v/>
      </c>
      <c r="R66" s="32"/>
      <c r="S66" s="31" t="str">
        <f>IF(R66&lt;&gt;"",R66,Q66)</f>
        <v/>
      </c>
      <c r="T66" s="63">
        <f>IF(OR(N66="",O66=0),0,N66*O66)</f>
        <v>0</v>
      </c>
      <c r="U66" s="63">
        <f>IF(COUNTIF($S$18:$S$498,L66)=0,"",SUMIF($S$18:$S$498,L66,$T$18:$T$498))</f>
        <v>0</v>
      </c>
      <c r="V66" s="63" t="str">
        <f>IF(H66="","",IFERROR(H66+U66,H66))</f>
        <v/>
      </c>
      <c r="W66" s="63" t="str">
        <f>IF(OR(V66="",C66=""),"",V66/C66)</f>
        <v/>
      </c>
      <c r="X66" s="11" t="str">
        <f>IF(A66="","",IF(AND(U66&lt;&gt;"",U66&lt;&gt;0,M66=0),"Replacement lot receiving wash basis",IF(J66="","",IF(J66&gt;=0,"",IF(O66=0,"No replacement buy found",IF(P66&gt;1,"Manual selection needed","Auto matched"))))))</f>
        <v/>
      </c>
      <c r="Z66" t="str">
        <f>IF(K66="Yes",COUNTIF($K$18:K66,"Yes"),"")</f>
        <v/>
      </c>
    </row>
    <row r="67" spans="1:26" ht="33.75" customHeight="1" x14ac:dyDescent="0.2">
      <c r="A67" s="9"/>
      <c r="B67" s="69"/>
      <c r="C67" s="30"/>
      <c r="D67" s="70"/>
      <c r="E67" s="69"/>
      <c r="F67" s="70"/>
      <c r="G67" s="30"/>
      <c r="H67" s="63" t="str">
        <f>IF(OR(C67="",D67=""),"",C67*D67)</f>
        <v/>
      </c>
      <c r="I67" s="63" t="str">
        <f>IF(OR(E67="",F67="",M67&lt;=0),"",M67*F67)</f>
        <v/>
      </c>
      <c r="J67" s="63" t="str">
        <f>IF(I67="","",I67-(M67*D67))</f>
        <v/>
      </c>
      <c r="K67" s="28" t="str">
        <f>IF(A67="","",IF(T67&gt;0,"Yes","No"))</f>
        <v/>
      </c>
      <c r="L67" s="28" t="str">
        <f>IF(A67="","",A67&amp;"-"&amp;TEXT(B67,"yyyymmdd")&amp;"-R"&amp;ROW())</f>
        <v/>
      </c>
      <c r="M67" s="28" t="str">
        <f>IF(OR(C67="",G67=""),"",C67-G67)</f>
        <v/>
      </c>
      <c r="N67" s="63" t="str">
        <f>IF(OR(M67&lt;=0,J67&gt;=0),"",ABS(J67)/M67)</f>
        <v/>
      </c>
      <c r="O67" s="63" t="str">
        <f>IF(OR(A67="",M67&lt;=0,J67&gt;=0),"",MIN(M67,SUMPRODUCT(($A$18:$A$379=A67)*(IFERROR($B$18:$B$379&gt;=E67-30,0))*(IFERROR($B$18:$B$379&lt;=E67+30,0))*($G$18:$G$379&gt;0)*($L$18:$L$379&lt;&gt;L67)*($G$18:$G$379))+SUMPRODUCT(($A$381:$A$498=A67)*(IFERROR($B$381:$B$498&gt;=E67-30,0))*(IFERROR($B$381:$B$498&lt;=E67+30,0))*($G$381:$G$498&gt;0)*($L$381:$L$498&lt;&gt;L67)*($G$381:$G$498))))</f>
        <v/>
      </c>
      <c r="P67" s="28" t="str">
        <f>IF(OR(A67="",M67&lt;=0,J67&gt;=0),"",SUMPRODUCT(($A$18:$A$379=A67)*(IFERROR($B$18:$B$379&gt;=E67-30,0))*(IFERROR($B$18:$B$379&lt;=E67+30,0))*($G$18:$G$379&gt;0)*($L$18:$L$379&lt;&gt;L67))+SUMPRODUCT(($A$381:$A$498=A67)*(IFERROR($B$381:$B$498&gt;=E67-30,0))*(IFERROR($B$381:$B$498&lt;=E67+30,0))*($G$381:$G$498&gt;0)*($L$381:$L$498&lt;&gt;L67)))</f>
        <v/>
      </c>
      <c r="Q67" s="31" t="str">
        <f>IF(P67=1,IFERROR(INDEX($L$18:$L$379,MATCH(1,INDEX(($A$18:$A$379=A67)*(IFERROR($B$18:$B$379&gt;=E67-30,0))*(IFERROR($B$18:$B$379&lt;=E67+30,0))*($G$18:$G$379&gt;0)*($L$18:$L$379&lt;&gt;L67),0),0)),IFERROR(INDEX($L$381:$L$498,MATCH(1,INDEX(($A$381:$A$498=A67)*(IFERROR($B$381:$B$498&gt;=E67-30,0))*(IFERROR($B$381:$B$498&lt;=E67+30,0))*($G$381:$G$498&gt;0)*($L$381:$L$498&lt;&gt;L67),0),0)),"")),"")</f>
        <v/>
      </c>
      <c r="R67" s="32"/>
      <c r="S67" s="31" t="str">
        <f>IF(R67&lt;&gt;"",R67,Q67)</f>
        <v/>
      </c>
      <c r="T67" s="63">
        <f>IF(OR(N67="",O67=0),0,N67*O67)</f>
        <v>0</v>
      </c>
      <c r="U67" s="63">
        <f>IF(COUNTIF($S$18:$S$498,L67)=0,"",SUMIF($S$18:$S$498,L67,$T$18:$T$498))</f>
        <v>0</v>
      </c>
      <c r="V67" s="63" t="str">
        <f>IF(H67="","",IFERROR(H67+U67,H67))</f>
        <v/>
      </c>
      <c r="W67" s="63" t="str">
        <f>IF(OR(V67="",C67=""),"",V67/C67)</f>
        <v/>
      </c>
      <c r="X67" s="11" t="str">
        <f>IF(A67="","",IF(AND(U67&lt;&gt;"",U67&lt;&gt;0,M67=0),"Replacement lot receiving wash basis",IF(J67="","",IF(J67&gt;=0,"",IF(O67=0,"No replacement buy found",IF(P67&gt;1,"Manual selection needed","Auto matched"))))))</f>
        <v/>
      </c>
      <c r="Z67" t="str">
        <f>IF(K67="Yes",COUNTIF($K$18:K67,"Yes"),"")</f>
        <v/>
      </c>
    </row>
    <row r="68" spans="1:26" ht="33.75" customHeight="1" x14ac:dyDescent="0.2">
      <c r="A68" s="9"/>
      <c r="B68" s="69"/>
      <c r="C68" s="30"/>
      <c r="D68" s="70"/>
      <c r="E68" s="69"/>
      <c r="F68" s="70"/>
      <c r="G68" s="30"/>
      <c r="H68" s="63" t="str">
        <f>IF(OR(C68="",D68=""),"",C68*D68)</f>
        <v/>
      </c>
      <c r="I68" s="63" t="str">
        <f>IF(OR(E68="",F68="",M68&lt;=0),"",M68*F68)</f>
        <v/>
      </c>
      <c r="J68" s="63" t="str">
        <f>IF(I68="","",I68-(M68*D68))</f>
        <v/>
      </c>
      <c r="K68" s="28" t="str">
        <f>IF(A68="","",IF(T68&gt;0,"Yes","No"))</f>
        <v/>
      </c>
      <c r="L68" s="28" t="str">
        <f>IF(A68="","",A68&amp;"-"&amp;TEXT(B68,"yyyymmdd")&amp;"-R"&amp;ROW())</f>
        <v/>
      </c>
      <c r="M68" s="28" t="str">
        <f>IF(OR(C68="",G68=""),"",C68-G68)</f>
        <v/>
      </c>
      <c r="N68" s="63" t="str">
        <f>IF(OR(M68&lt;=0,J68&gt;=0),"",ABS(J68)/M68)</f>
        <v/>
      </c>
      <c r="O68" s="63" t="str">
        <f>IF(OR(A68="",M68&lt;=0,J68&gt;=0),"",MIN(M68,SUMPRODUCT(($A$18:$A$379=A68)*(IFERROR($B$18:$B$379&gt;=E68-30,0))*(IFERROR($B$18:$B$379&lt;=E68+30,0))*($G$18:$G$379&gt;0)*($L$18:$L$379&lt;&gt;L68)*($G$18:$G$379))+SUMPRODUCT(($A$381:$A$498=A68)*(IFERROR($B$381:$B$498&gt;=E68-30,0))*(IFERROR($B$381:$B$498&lt;=E68+30,0))*($G$381:$G$498&gt;0)*($L$381:$L$498&lt;&gt;L68)*($G$381:$G$498))))</f>
        <v/>
      </c>
      <c r="P68" s="28" t="str">
        <f>IF(OR(A68="",M68&lt;=0,J68&gt;=0),"",SUMPRODUCT(($A$18:$A$379=A68)*(IFERROR($B$18:$B$379&gt;=E68-30,0))*(IFERROR($B$18:$B$379&lt;=E68+30,0))*($G$18:$G$379&gt;0)*($L$18:$L$379&lt;&gt;L68))+SUMPRODUCT(($A$381:$A$498=A68)*(IFERROR($B$381:$B$498&gt;=E68-30,0))*(IFERROR($B$381:$B$498&lt;=E68+30,0))*($G$381:$G$498&gt;0)*($L$381:$L$498&lt;&gt;L68)))</f>
        <v/>
      </c>
      <c r="Q68" s="31" t="str">
        <f>IF(P68=1,IFERROR(INDEX($L$18:$L$379,MATCH(1,INDEX(($A$18:$A$379=A68)*(IFERROR($B$18:$B$379&gt;=E68-30,0))*(IFERROR($B$18:$B$379&lt;=E68+30,0))*($G$18:$G$379&gt;0)*($L$18:$L$379&lt;&gt;L68),0),0)),IFERROR(INDEX($L$381:$L$498,MATCH(1,INDEX(($A$381:$A$498=A68)*(IFERROR($B$381:$B$498&gt;=E68-30,0))*(IFERROR($B$381:$B$498&lt;=E68+30,0))*($G$381:$G$498&gt;0)*($L$381:$L$498&lt;&gt;L68),0),0)),"")),"")</f>
        <v/>
      </c>
      <c r="R68" s="32"/>
      <c r="S68" s="31" t="str">
        <f>IF(R68&lt;&gt;"",R68,Q68)</f>
        <v/>
      </c>
      <c r="T68" s="63">
        <f>IF(OR(N68="",O68=0),0,N68*O68)</f>
        <v>0</v>
      </c>
      <c r="U68" s="63">
        <f>IF(COUNTIF($S$18:$S$498,L68)=0,"",SUMIF($S$18:$S$498,L68,$T$18:$T$498))</f>
        <v>0</v>
      </c>
      <c r="V68" s="63" t="str">
        <f>IF(H68="","",IFERROR(H68+U68,H68))</f>
        <v/>
      </c>
      <c r="W68" s="63" t="str">
        <f>IF(OR(V68="",C68=""),"",V68/C68)</f>
        <v/>
      </c>
      <c r="X68" s="11" t="str">
        <f>IF(A68="","",IF(AND(U68&lt;&gt;"",U68&lt;&gt;0,M68=0),"Replacement lot receiving wash basis",IF(J68="","",IF(J68&gt;=0,"",IF(O68=0,"No replacement buy found",IF(P68&gt;1,"Manual selection needed","Auto matched"))))))</f>
        <v/>
      </c>
      <c r="Z68" t="str">
        <f>IF(K68="Yes",COUNTIF($K$18:K68,"Yes"),"")</f>
        <v/>
      </c>
    </row>
    <row r="69" spans="1:26" ht="33.75" customHeight="1" x14ac:dyDescent="0.2">
      <c r="A69" s="9"/>
      <c r="B69" s="69"/>
      <c r="C69" s="30"/>
      <c r="D69" s="70"/>
      <c r="E69" s="69"/>
      <c r="F69" s="70"/>
      <c r="G69" s="30"/>
      <c r="H69" s="63" t="str">
        <f>IF(OR(C69="",D69=""),"",C69*D69)</f>
        <v/>
      </c>
      <c r="I69" s="63" t="str">
        <f>IF(OR(E69="",F69="",M69&lt;=0),"",M69*F69)</f>
        <v/>
      </c>
      <c r="J69" s="63" t="str">
        <f>IF(I69="","",I69-(M69*D69))</f>
        <v/>
      </c>
      <c r="K69" s="28" t="str">
        <f>IF(A69="","",IF(T69&gt;0,"Yes","No"))</f>
        <v/>
      </c>
      <c r="L69" s="28" t="str">
        <f>IF(A69="","",A69&amp;"-"&amp;TEXT(B69,"yyyymmdd")&amp;"-R"&amp;ROW())</f>
        <v/>
      </c>
      <c r="M69" s="28" t="str">
        <f>IF(OR(C69="",G69=""),"",C69-G69)</f>
        <v/>
      </c>
      <c r="N69" s="63" t="str">
        <f>IF(OR(M69&lt;=0,J69&gt;=0),"",ABS(J69)/M69)</f>
        <v/>
      </c>
      <c r="O69" s="63" t="str">
        <f>IF(OR(A69="",M69&lt;=0,J69&gt;=0),"",MIN(M69,SUMPRODUCT(($A$18:$A$379=A69)*(IFERROR($B$18:$B$379&gt;=E69-30,0))*(IFERROR($B$18:$B$379&lt;=E69+30,0))*($G$18:$G$379&gt;0)*($L$18:$L$379&lt;&gt;L69)*($G$18:$G$379))+SUMPRODUCT(($A$381:$A$498=A69)*(IFERROR($B$381:$B$498&gt;=E69-30,0))*(IFERROR($B$381:$B$498&lt;=E69+30,0))*($G$381:$G$498&gt;0)*($L$381:$L$498&lt;&gt;L69)*($G$381:$G$498))))</f>
        <v/>
      </c>
      <c r="P69" s="28" t="str">
        <f>IF(OR(A69="",M69&lt;=0,J69&gt;=0),"",SUMPRODUCT(($A$18:$A$379=A69)*(IFERROR($B$18:$B$379&gt;=E69-30,0))*(IFERROR($B$18:$B$379&lt;=E69+30,0))*($G$18:$G$379&gt;0)*($L$18:$L$379&lt;&gt;L69))+SUMPRODUCT(($A$381:$A$498=A69)*(IFERROR($B$381:$B$498&gt;=E69-30,0))*(IFERROR($B$381:$B$498&lt;=E69+30,0))*($G$381:$G$498&gt;0)*($L$381:$L$498&lt;&gt;L69)))</f>
        <v/>
      </c>
      <c r="Q69" s="31" t="str">
        <f>IF(P69=1,IFERROR(INDEX($L$18:$L$379,MATCH(1,INDEX(($A$18:$A$379=A69)*(IFERROR($B$18:$B$379&gt;=E69-30,0))*(IFERROR($B$18:$B$379&lt;=E69+30,0))*($G$18:$G$379&gt;0)*($L$18:$L$379&lt;&gt;L69),0),0)),IFERROR(INDEX($L$381:$L$498,MATCH(1,INDEX(($A$381:$A$498=A69)*(IFERROR($B$381:$B$498&gt;=E69-30,0))*(IFERROR($B$381:$B$498&lt;=E69+30,0))*($G$381:$G$498&gt;0)*($L$381:$L$498&lt;&gt;L69),0),0)),"")),"")</f>
        <v/>
      </c>
      <c r="R69" s="32"/>
      <c r="S69" s="31" t="str">
        <f>IF(R69&lt;&gt;"",R69,Q69)</f>
        <v/>
      </c>
      <c r="T69" s="63">
        <f>IF(OR(N69="",O69=0),0,N69*O69)</f>
        <v>0</v>
      </c>
      <c r="U69" s="63">
        <f>IF(COUNTIF($S$18:$S$498,L69)=0,"",SUMIF($S$18:$S$498,L69,$T$18:$T$498))</f>
        <v>0</v>
      </c>
      <c r="V69" s="63" t="str">
        <f>IF(H69="","",IFERROR(H69+U69,H69))</f>
        <v/>
      </c>
      <c r="W69" s="63" t="str">
        <f>IF(OR(V69="",C69=""),"",V69/C69)</f>
        <v/>
      </c>
      <c r="X69" s="11" t="str">
        <f>IF(A69="","",IF(AND(U69&lt;&gt;"",U69&lt;&gt;0,M69=0),"Replacement lot receiving wash basis",IF(J69="","",IF(J69&gt;=0,"",IF(O69=0,"No replacement buy found",IF(P69&gt;1,"Manual selection needed","Auto matched"))))))</f>
        <v/>
      </c>
      <c r="Z69" t="str">
        <f>IF(K69="Yes",COUNTIF($K$18:K69,"Yes"),"")</f>
        <v/>
      </c>
    </row>
    <row r="70" spans="1:26" ht="33.75" customHeight="1" x14ac:dyDescent="0.2">
      <c r="A70" s="9"/>
      <c r="B70" s="69"/>
      <c r="C70" s="30"/>
      <c r="D70" s="70"/>
      <c r="E70" s="69"/>
      <c r="F70" s="70"/>
      <c r="G70" s="30"/>
      <c r="H70" s="63" t="str">
        <f>IF(OR(C70="",D70=""),"",C70*D70)</f>
        <v/>
      </c>
      <c r="I70" s="63" t="str">
        <f>IF(OR(E70="",F70="",M70&lt;=0),"",M70*F70)</f>
        <v/>
      </c>
      <c r="J70" s="63" t="str">
        <f>IF(I70="","",I70-(M70*D70))</f>
        <v/>
      </c>
      <c r="K70" s="28" t="str">
        <f>IF(A70="","",IF(T70&gt;0,"Yes","No"))</f>
        <v/>
      </c>
      <c r="L70" s="28" t="str">
        <f>IF(A70="","",A70&amp;"-"&amp;TEXT(B70,"yyyymmdd")&amp;"-R"&amp;ROW())</f>
        <v/>
      </c>
      <c r="M70" s="28" t="str">
        <f>IF(OR(C70="",G70=""),"",C70-G70)</f>
        <v/>
      </c>
      <c r="N70" s="63" t="str">
        <f>IF(OR(M70&lt;=0,J70&gt;=0),"",ABS(J70)/M70)</f>
        <v/>
      </c>
      <c r="O70" s="63" t="str">
        <f>IF(OR(A70="",M70&lt;=0,J70&gt;=0),"",MIN(M70,SUMPRODUCT(($A$18:$A$379=A70)*(IFERROR($B$18:$B$379&gt;=E70-30,0))*(IFERROR($B$18:$B$379&lt;=E70+30,0))*($G$18:$G$379&gt;0)*($L$18:$L$379&lt;&gt;L70)*($G$18:$G$379))+SUMPRODUCT(($A$381:$A$498=A70)*(IFERROR($B$381:$B$498&gt;=E70-30,0))*(IFERROR($B$381:$B$498&lt;=E70+30,0))*($G$381:$G$498&gt;0)*($L$381:$L$498&lt;&gt;L70)*($G$381:$G$498))))</f>
        <v/>
      </c>
      <c r="P70" s="28" t="str">
        <f>IF(OR(A70="",M70&lt;=0,J70&gt;=0),"",SUMPRODUCT(($A$18:$A$379=A70)*(IFERROR($B$18:$B$379&gt;=E70-30,0))*(IFERROR($B$18:$B$379&lt;=E70+30,0))*($G$18:$G$379&gt;0)*($L$18:$L$379&lt;&gt;L70))+SUMPRODUCT(($A$381:$A$498=A70)*(IFERROR($B$381:$B$498&gt;=E70-30,0))*(IFERROR($B$381:$B$498&lt;=E70+30,0))*($G$381:$G$498&gt;0)*($L$381:$L$498&lt;&gt;L70)))</f>
        <v/>
      </c>
      <c r="Q70" s="31" t="str">
        <f>IF(P70=1,IFERROR(INDEX($L$18:$L$379,MATCH(1,INDEX(($A$18:$A$379=A70)*(IFERROR($B$18:$B$379&gt;=E70-30,0))*(IFERROR($B$18:$B$379&lt;=E70+30,0))*($G$18:$G$379&gt;0)*($L$18:$L$379&lt;&gt;L70),0),0)),IFERROR(INDEX($L$381:$L$498,MATCH(1,INDEX(($A$381:$A$498=A70)*(IFERROR($B$381:$B$498&gt;=E70-30,0))*(IFERROR($B$381:$B$498&lt;=E70+30,0))*($G$381:$G$498&gt;0)*($L$381:$L$498&lt;&gt;L70),0),0)),"")),"")</f>
        <v/>
      </c>
      <c r="R70" s="32"/>
      <c r="S70" s="31" t="str">
        <f>IF(R70&lt;&gt;"",R70,Q70)</f>
        <v/>
      </c>
      <c r="T70" s="63">
        <f>IF(OR(N70="",O70=0),0,N70*O70)</f>
        <v>0</v>
      </c>
      <c r="U70" s="63">
        <f>IF(COUNTIF($S$18:$S$498,L70)=0,"",SUMIF($S$18:$S$498,L70,$T$18:$T$498))</f>
        <v>0</v>
      </c>
      <c r="V70" s="63" t="str">
        <f>IF(H70="","",IFERROR(H70+U70,H70))</f>
        <v/>
      </c>
      <c r="W70" s="63" t="str">
        <f>IF(OR(V70="",C70=""),"",V70/C70)</f>
        <v/>
      </c>
      <c r="X70" s="11" t="str">
        <f>IF(A70="","",IF(AND(U70&lt;&gt;"",U70&lt;&gt;0,M70=0),"Replacement lot receiving wash basis",IF(J70="","",IF(J70&gt;=0,"",IF(O70=0,"No replacement buy found",IF(P70&gt;1,"Manual selection needed","Auto matched"))))))</f>
        <v/>
      </c>
      <c r="Z70" t="str">
        <f>IF(K70="Yes",COUNTIF($K$18:K70,"Yes"),"")</f>
        <v/>
      </c>
    </row>
    <row r="71" spans="1:26" ht="33.75" customHeight="1" x14ac:dyDescent="0.2">
      <c r="A71" s="9"/>
      <c r="B71" s="69"/>
      <c r="C71" s="30"/>
      <c r="D71" s="70"/>
      <c r="E71" s="69"/>
      <c r="F71" s="70"/>
      <c r="G71" s="30"/>
      <c r="H71" s="63" t="str">
        <f>IF(OR(C71="",D71=""),"",C71*D71)</f>
        <v/>
      </c>
      <c r="I71" s="63" t="str">
        <f>IF(OR(E71="",F71="",M71&lt;=0),"",M71*F71)</f>
        <v/>
      </c>
      <c r="J71" s="63" t="str">
        <f>IF(I71="","",I71-(M71*D71))</f>
        <v/>
      </c>
      <c r="K71" s="28" t="str">
        <f>IF(A71="","",IF(T71&gt;0,"Yes","No"))</f>
        <v/>
      </c>
      <c r="L71" s="28" t="str">
        <f>IF(A71="","",A71&amp;"-"&amp;TEXT(B71,"yyyymmdd")&amp;"-R"&amp;ROW())</f>
        <v/>
      </c>
      <c r="M71" s="28" t="str">
        <f>IF(OR(C71="",G71=""),"",C71-G71)</f>
        <v/>
      </c>
      <c r="N71" s="63" t="str">
        <f>IF(OR(M71&lt;=0,J71&gt;=0),"",ABS(J71)/M71)</f>
        <v/>
      </c>
      <c r="O71" s="63" t="str">
        <f>IF(OR(A71="",M71&lt;=0,J71&gt;=0),"",MIN(M71,SUMPRODUCT(($A$18:$A$379=A71)*(IFERROR($B$18:$B$379&gt;=E71-30,0))*(IFERROR($B$18:$B$379&lt;=E71+30,0))*($G$18:$G$379&gt;0)*($L$18:$L$379&lt;&gt;L71)*($G$18:$G$379))+SUMPRODUCT(($A$381:$A$498=A71)*(IFERROR($B$381:$B$498&gt;=E71-30,0))*(IFERROR($B$381:$B$498&lt;=E71+30,0))*($G$381:$G$498&gt;0)*($L$381:$L$498&lt;&gt;L71)*($G$381:$G$498))))</f>
        <v/>
      </c>
      <c r="P71" s="28" t="str">
        <f>IF(OR(A71="",M71&lt;=0,J71&gt;=0),"",SUMPRODUCT(($A$18:$A$379=A71)*(IFERROR($B$18:$B$379&gt;=E71-30,0))*(IFERROR($B$18:$B$379&lt;=E71+30,0))*($G$18:$G$379&gt;0)*($L$18:$L$379&lt;&gt;L71))+SUMPRODUCT(($A$381:$A$498=A71)*(IFERROR($B$381:$B$498&gt;=E71-30,0))*(IFERROR($B$381:$B$498&lt;=E71+30,0))*($G$381:$G$498&gt;0)*($L$381:$L$498&lt;&gt;L71)))</f>
        <v/>
      </c>
      <c r="Q71" s="31" t="str">
        <f>IF(P71=1,IFERROR(INDEX($L$18:$L$379,MATCH(1,INDEX(($A$18:$A$379=A71)*(IFERROR($B$18:$B$379&gt;=E71-30,0))*(IFERROR($B$18:$B$379&lt;=E71+30,0))*($G$18:$G$379&gt;0)*($L$18:$L$379&lt;&gt;L71),0),0)),IFERROR(INDEX($L$381:$L$498,MATCH(1,INDEX(($A$381:$A$498=A71)*(IFERROR($B$381:$B$498&gt;=E71-30,0))*(IFERROR($B$381:$B$498&lt;=E71+30,0))*($G$381:$G$498&gt;0)*($L$381:$L$498&lt;&gt;L71),0),0)),"")),"")</f>
        <v/>
      </c>
      <c r="R71" s="32"/>
      <c r="S71" s="31" t="str">
        <f>IF(R71&lt;&gt;"",R71,Q71)</f>
        <v/>
      </c>
      <c r="T71" s="63">
        <f>IF(OR(N71="",O71=0),0,N71*O71)</f>
        <v>0</v>
      </c>
      <c r="U71" s="63">
        <f>IF(COUNTIF($S$18:$S$498,L71)=0,"",SUMIF($S$18:$S$498,L71,$T$18:$T$498))</f>
        <v>0</v>
      </c>
      <c r="V71" s="63" t="str">
        <f>IF(H71="","",IFERROR(H71+U71,H71))</f>
        <v/>
      </c>
      <c r="W71" s="63" t="str">
        <f>IF(OR(V71="",C71=""),"",V71/C71)</f>
        <v/>
      </c>
      <c r="X71" s="11" t="str">
        <f>IF(A71="","",IF(AND(U71&lt;&gt;"",U71&lt;&gt;0,M71=0),"Replacement lot receiving wash basis",IF(J71="","",IF(J71&gt;=0,"",IF(O71=0,"No replacement buy found",IF(P71&gt;1,"Manual selection needed","Auto matched"))))))</f>
        <v/>
      </c>
      <c r="Z71" t="str">
        <f>IF(K71="Yes",COUNTIF($K$18:K71,"Yes"),"")</f>
        <v/>
      </c>
    </row>
    <row r="72" spans="1:26" ht="33.75" customHeight="1" x14ac:dyDescent="0.2">
      <c r="A72" s="9"/>
      <c r="B72" s="69"/>
      <c r="C72" s="30"/>
      <c r="D72" s="70"/>
      <c r="E72" s="69"/>
      <c r="F72" s="70"/>
      <c r="G72" s="30"/>
      <c r="H72" s="63" t="str">
        <f>IF(OR(C72="",D72=""),"",C72*D72)</f>
        <v/>
      </c>
      <c r="I72" s="63" t="str">
        <f>IF(OR(E72="",F72="",M72&lt;=0),"",M72*F72)</f>
        <v/>
      </c>
      <c r="J72" s="63" t="str">
        <f>IF(I72="","",I72-(M72*D72))</f>
        <v/>
      </c>
      <c r="K72" s="28" t="str">
        <f>IF(A72="","",IF(T72&gt;0,"Yes","No"))</f>
        <v/>
      </c>
      <c r="L72" s="28" t="str">
        <f>IF(A72="","",A72&amp;"-"&amp;TEXT(B72,"yyyymmdd")&amp;"-R"&amp;ROW())</f>
        <v/>
      </c>
      <c r="M72" s="28" t="str">
        <f>IF(OR(C72="",G72=""),"",C72-G72)</f>
        <v/>
      </c>
      <c r="N72" s="63" t="str">
        <f>IF(OR(M72&lt;=0,J72&gt;=0),"",ABS(J72)/M72)</f>
        <v/>
      </c>
      <c r="O72" s="63" t="str">
        <f>IF(OR(A72="",M72&lt;=0,J72&gt;=0),"",MIN(M72,SUMPRODUCT(($A$18:$A$379=A72)*(IFERROR($B$18:$B$379&gt;=E72-30,0))*(IFERROR($B$18:$B$379&lt;=E72+30,0))*($G$18:$G$379&gt;0)*($L$18:$L$379&lt;&gt;L72)*($G$18:$G$379))+SUMPRODUCT(($A$381:$A$498=A72)*(IFERROR($B$381:$B$498&gt;=E72-30,0))*(IFERROR($B$381:$B$498&lt;=E72+30,0))*($G$381:$G$498&gt;0)*($L$381:$L$498&lt;&gt;L72)*($G$381:$G$498))))</f>
        <v/>
      </c>
      <c r="P72" s="28" t="str">
        <f>IF(OR(A72="",M72&lt;=0,J72&gt;=0),"",SUMPRODUCT(($A$18:$A$379=A72)*(IFERROR($B$18:$B$379&gt;=E72-30,0))*(IFERROR($B$18:$B$379&lt;=E72+30,0))*($G$18:$G$379&gt;0)*($L$18:$L$379&lt;&gt;L72))+SUMPRODUCT(($A$381:$A$498=A72)*(IFERROR($B$381:$B$498&gt;=E72-30,0))*(IFERROR($B$381:$B$498&lt;=E72+30,0))*($G$381:$G$498&gt;0)*($L$381:$L$498&lt;&gt;L72)))</f>
        <v/>
      </c>
      <c r="Q72" s="31" t="str">
        <f>IF(P72=1,IFERROR(INDEX($L$18:$L$379,MATCH(1,INDEX(($A$18:$A$379=A72)*(IFERROR($B$18:$B$379&gt;=E72-30,0))*(IFERROR($B$18:$B$379&lt;=E72+30,0))*($G$18:$G$379&gt;0)*($L$18:$L$379&lt;&gt;L72),0),0)),IFERROR(INDEX($L$381:$L$498,MATCH(1,INDEX(($A$381:$A$498=A72)*(IFERROR($B$381:$B$498&gt;=E72-30,0))*(IFERROR($B$381:$B$498&lt;=E72+30,0))*($G$381:$G$498&gt;0)*($L$381:$L$498&lt;&gt;L72),0),0)),"")),"")</f>
        <v/>
      </c>
      <c r="R72" s="32"/>
      <c r="S72" s="31" t="str">
        <f>IF(R72&lt;&gt;"",R72,Q72)</f>
        <v/>
      </c>
      <c r="T72" s="63">
        <f>IF(OR(N72="",O72=0),0,N72*O72)</f>
        <v>0</v>
      </c>
      <c r="U72" s="63">
        <f>IF(COUNTIF($S$18:$S$498,L72)=0,"",SUMIF($S$18:$S$498,L72,$T$18:$T$498))</f>
        <v>0</v>
      </c>
      <c r="V72" s="63" t="str">
        <f>IF(H72="","",IFERROR(H72+U72,H72))</f>
        <v/>
      </c>
      <c r="W72" s="63" t="str">
        <f>IF(OR(V72="",C72=""),"",V72/C72)</f>
        <v/>
      </c>
      <c r="X72" s="11" t="str">
        <f>IF(A72="","",IF(AND(U72&lt;&gt;"",U72&lt;&gt;0,M72=0),"Replacement lot receiving wash basis",IF(J72="","",IF(J72&gt;=0,"",IF(O72=0,"No replacement buy found",IF(P72&gt;1,"Manual selection needed","Auto matched"))))))</f>
        <v/>
      </c>
      <c r="Z72" t="str">
        <f>IF(K72="Yes",COUNTIF($K$18:K72,"Yes"),"")</f>
        <v/>
      </c>
    </row>
    <row r="73" spans="1:26" ht="33.75" customHeight="1" x14ac:dyDescent="0.2">
      <c r="A73" s="9"/>
      <c r="B73" s="69"/>
      <c r="C73" s="30"/>
      <c r="D73" s="70"/>
      <c r="E73" s="69"/>
      <c r="F73" s="70"/>
      <c r="G73" s="30"/>
      <c r="H73" s="63" t="str">
        <f>IF(OR(C73="",D73=""),"",C73*D73)</f>
        <v/>
      </c>
      <c r="I73" s="63" t="str">
        <f>IF(OR(E73="",F73="",M73&lt;=0),"",M73*F73)</f>
        <v/>
      </c>
      <c r="J73" s="63" t="str">
        <f>IF(I73="","",I73-(M73*D73))</f>
        <v/>
      </c>
      <c r="K73" s="28" t="str">
        <f>IF(A73="","",IF(T73&gt;0,"Yes","No"))</f>
        <v/>
      </c>
      <c r="L73" s="28" t="str">
        <f>IF(A73="","",A73&amp;"-"&amp;TEXT(B73,"yyyymmdd")&amp;"-R"&amp;ROW())</f>
        <v/>
      </c>
      <c r="M73" s="28" t="str">
        <f>IF(OR(C73="",G73=""),"",C73-G73)</f>
        <v/>
      </c>
      <c r="N73" s="63" t="str">
        <f>IF(OR(M73&lt;=0,J73&gt;=0),"",ABS(J73)/M73)</f>
        <v/>
      </c>
      <c r="O73" s="63" t="str">
        <f>IF(OR(A73="",M73&lt;=0,J73&gt;=0),"",MIN(M73,SUMPRODUCT(($A$18:$A$379=A73)*(IFERROR($B$18:$B$379&gt;=E73-30,0))*(IFERROR($B$18:$B$379&lt;=E73+30,0))*($G$18:$G$379&gt;0)*($L$18:$L$379&lt;&gt;L73)*($G$18:$G$379))+SUMPRODUCT(($A$381:$A$498=A73)*(IFERROR($B$381:$B$498&gt;=E73-30,0))*(IFERROR($B$381:$B$498&lt;=E73+30,0))*($G$381:$G$498&gt;0)*($L$381:$L$498&lt;&gt;L73)*($G$381:$G$498))))</f>
        <v/>
      </c>
      <c r="P73" s="28" t="str">
        <f>IF(OR(A73="",M73&lt;=0,J73&gt;=0),"",SUMPRODUCT(($A$18:$A$379=A73)*(IFERROR($B$18:$B$379&gt;=E73-30,0))*(IFERROR($B$18:$B$379&lt;=E73+30,0))*($G$18:$G$379&gt;0)*($L$18:$L$379&lt;&gt;L73))+SUMPRODUCT(($A$381:$A$498=A73)*(IFERROR($B$381:$B$498&gt;=E73-30,0))*(IFERROR($B$381:$B$498&lt;=E73+30,0))*($G$381:$G$498&gt;0)*($L$381:$L$498&lt;&gt;L73)))</f>
        <v/>
      </c>
      <c r="Q73" s="31" t="str">
        <f>IF(P73=1,IFERROR(INDEX($L$18:$L$379,MATCH(1,INDEX(($A$18:$A$379=A73)*(IFERROR($B$18:$B$379&gt;=E73-30,0))*(IFERROR($B$18:$B$379&lt;=E73+30,0))*($G$18:$G$379&gt;0)*($L$18:$L$379&lt;&gt;L73),0),0)),IFERROR(INDEX($L$381:$L$498,MATCH(1,INDEX(($A$381:$A$498=A73)*(IFERROR($B$381:$B$498&gt;=E73-30,0))*(IFERROR($B$381:$B$498&lt;=E73+30,0))*($G$381:$G$498&gt;0)*($L$381:$L$498&lt;&gt;L73),0),0)),"")),"")</f>
        <v/>
      </c>
      <c r="R73" s="32"/>
      <c r="S73" s="31" t="str">
        <f>IF(R73&lt;&gt;"",R73,Q73)</f>
        <v/>
      </c>
      <c r="T73" s="63">
        <f>IF(OR(N73="",O73=0),0,N73*O73)</f>
        <v>0</v>
      </c>
      <c r="U73" s="63">
        <f>IF(COUNTIF($S$18:$S$498,L73)=0,"",SUMIF($S$18:$S$498,L73,$T$18:$T$498))</f>
        <v>0</v>
      </c>
      <c r="V73" s="63" t="str">
        <f>IF(H73="","",IFERROR(H73+U73,H73))</f>
        <v/>
      </c>
      <c r="W73" s="63" t="str">
        <f>IF(OR(V73="",C73=""),"",V73/C73)</f>
        <v/>
      </c>
      <c r="X73" s="11" t="str">
        <f>IF(A73="","",IF(AND(U73&lt;&gt;"",U73&lt;&gt;0,M73=0),"Replacement lot receiving wash basis",IF(J73="","",IF(J73&gt;=0,"",IF(O73=0,"No replacement buy found",IF(P73&gt;1,"Manual selection needed","Auto matched"))))))</f>
        <v/>
      </c>
      <c r="Z73" t="str">
        <f>IF(K73="Yes",COUNTIF($K$18:K73,"Yes"),"")</f>
        <v/>
      </c>
    </row>
    <row r="74" spans="1:26" ht="33.75" customHeight="1" x14ac:dyDescent="0.2">
      <c r="A74" s="9"/>
      <c r="B74" s="69"/>
      <c r="C74" s="30"/>
      <c r="D74" s="70"/>
      <c r="E74" s="69"/>
      <c r="F74" s="70"/>
      <c r="G74" s="30"/>
      <c r="H74" s="63" t="str">
        <f>IF(OR(C74="",D74=""),"",C74*D74)</f>
        <v/>
      </c>
      <c r="I74" s="63" t="str">
        <f>IF(OR(E74="",F74="",M74&lt;=0),"",M74*F74)</f>
        <v/>
      </c>
      <c r="J74" s="63" t="str">
        <f>IF(I74="","",I74-(M74*D74))</f>
        <v/>
      </c>
      <c r="K74" s="28" t="str">
        <f>IF(A74="","",IF(T74&gt;0,"Yes","No"))</f>
        <v/>
      </c>
      <c r="L74" s="28" t="str">
        <f>IF(A74="","",A74&amp;"-"&amp;TEXT(B74,"yyyymmdd")&amp;"-R"&amp;ROW())</f>
        <v/>
      </c>
      <c r="M74" s="28" t="str">
        <f>IF(OR(C74="",G74=""),"",C74-G74)</f>
        <v/>
      </c>
      <c r="N74" s="63" t="str">
        <f>IF(OR(M74&lt;=0,J74&gt;=0),"",ABS(J74)/M74)</f>
        <v/>
      </c>
      <c r="O74" s="63" t="str">
        <f>IF(OR(A74="",M74&lt;=0,J74&gt;=0),"",MIN(M74,SUMPRODUCT(($A$18:$A$379=A74)*(IFERROR($B$18:$B$379&gt;=E74-30,0))*(IFERROR($B$18:$B$379&lt;=E74+30,0))*($G$18:$G$379&gt;0)*($L$18:$L$379&lt;&gt;L74)*($G$18:$G$379))+SUMPRODUCT(($A$381:$A$498=A74)*(IFERROR($B$381:$B$498&gt;=E74-30,0))*(IFERROR($B$381:$B$498&lt;=E74+30,0))*($G$381:$G$498&gt;0)*($L$381:$L$498&lt;&gt;L74)*($G$381:$G$498))))</f>
        <v/>
      </c>
      <c r="P74" s="28" t="str">
        <f>IF(OR(A74="",M74&lt;=0,J74&gt;=0),"",SUMPRODUCT(($A$18:$A$379=A74)*(IFERROR($B$18:$B$379&gt;=E74-30,0))*(IFERROR($B$18:$B$379&lt;=E74+30,0))*($G$18:$G$379&gt;0)*($L$18:$L$379&lt;&gt;L74))+SUMPRODUCT(($A$381:$A$498=A74)*(IFERROR($B$381:$B$498&gt;=E74-30,0))*(IFERROR($B$381:$B$498&lt;=E74+30,0))*($G$381:$G$498&gt;0)*($L$381:$L$498&lt;&gt;L74)))</f>
        <v/>
      </c>
      <c r="Q74" s="31" t="str">
        <f>IF(P74=1,IFERROR(INDEX($L$18:$L$379,MATCH(1,INDEX(($A$18:$A$379=A74)*(IFERROR($B$18:$B$379&gt;=E74-30,0))*(IFERROR($B$18:$B$379&lt;=E74+30,0))*($G$18:$G$379&gt;0)*($L$18:$L$379&lt;&gt;L74),0),0)),IFERROR(INDEX($L$381:$L$498,MATCH(1,INDEX(($A$381:$A$498=A74)*(IFERROR($B$381:$B$498&gt;=E74-30,0))*(IFERROR($B$381:$B$498&lt;=E74+30,0))*($G$381:$G$498&gt;0)*($L$381:$L$498&lt;&gt;L74),0),0)),"")),"")</f>
        <v/>
      </c>
      <c r="R74" s="32"/>
      <c r="S74" s="31" t="str">
        <f>IF(R74&lt;&gt;"",R74,Q74)</f>
        <v/>
      </c>
      <c r="T74" s="63">
        <f>IF(OR(N74="",O74=0),0,N74*O74)</f>
        <v>0</v>
      </c>
      <c r="U74" s="63">
        <f>IF(COUNTIF($S$18:$S$498,L74)=0,"",SUMIF($S$18:$S$498,L74,$T$18:$T$498))</f>
        <v>0</v>
      </c>
      <c r="V74" s="63" t="str">
        <f>IF(H74="","",IFERROR(H74+U74,H74))</f>
        <v/>
      </c>
      <c r="W74" s="63" t="str">
        <f>IF(OR(V74="",C74=""),"",V74/C74)</f>
        <v/>
      </c>
      <c r="X74" s="11" t="str">
        <f>IF(A74="","",IF(AND(U74&lt;&gt;"",U74&lt;&gt;0,M74=0),"Replacement lot receiving wash basis",IF(J74="","",IF(J74&gt;=0,"",IF(O74=0,"No replacement buy found",IF(P74&gt;1,"Manual selection needed","Auto matched"))))))</f>
        <v/>
      </c>
      <c r="Z74" t="str">
        <f>IF(K74="Yes",COUNTIF($K$18:K74,"Yes"),"")</f>
        <v/>
      </c>
    </row>
    <row r="75" spans="1:26" ht="33.75" customHeight="1" x14ac:dyDescent="0.2">
      <c r="A75" s="9"/>
      <c r="B75" s="69"/>
      <c r="C75" s="30"/>
      <c r="D75" s="70"/>
      <c r="E75" s="69"/>
      <c r="F75" s="70"/>
      <c r="G75" s="30"/>
      <c r="H75" s="63" t="str">
        <f>IF(OR(C75="",D75=""),"",C75*D75)</f>
        <v/>
      </c>
      <c r="I75" s="63" t="str">
        <f>IF(OR(E75="",F75="",M75&lt;=0),"",M75*F75)</f>
        <v/>
      </c>
      <c r="J75" s="63" t="str">
        <f>IF(I75="","",I75-(M75*D75))</f>
        <v/>
      </c>
      <c r="K75" s="28" t="str">
        <f>IF(A75="","",IF(T75&gt;0,"Yes","No"))</f>
        <v/>
      </c>
      <c r="L75" s="28" t="str">
        <f>IF(A75="","",A75&amp;"-"&amp;TEXT(B75,"yyyymmdd")&amp;"-R"&amp;ROW())</f>
        <v/>
      </c>
      <c r="M75" s="28" t="str">
        <f>IF(OR(C75="",G75=""),"",C75-G75)</f>
        <v/>
      </c>
      <c r="N75" s="63" t="str">
        <f>IF(OR(M75&lt;=0,J75&gt;=0),"",ABS(J75)/M75)</f>
        <v/>
      </c>
      <c r="O75" s="63" t="str">
        <f>IF(OR(A75="",M75&lt;=0,J75&gt;=0),"",MIN(M75,SUMPRODUCT(($A$18:$A$379=A75)*(IFERROR($B$18:$B$379&gt;=E75-30,0))*(IFERROR($B$18:$B$379&lt;=E75+30,0))*($G$18:$G$379&gt;0)*($L$18:$L$379&lt;&gt;L75)*($G$18:$G$379))+SUMPRODUCT(($A$381:$A$498=A75)*(IFERROR($B$381:$B$498&gt;=E75-30,0))*(IFERROR($B$381:$B$498&lt;=E75+30,0))*($G$381:$G$498&gt;0)*($L$381:$L$498&lt;&gt;L75)*($G$381:$G$498))))</f>
        <v/>
      </c>
      <c r="P75" s="28" t="str">
        <f>IF(OR(A75="",M75&lt;=0,J75&gt;=0),"",SUMPRODUCT(($A$18:$A$379=A75)*(IFERROR($B$18:$B$379&gt;=E75-30,0))*(IFERROR($B$18:$B$379&lt;=E75+30,0))*($G$18:$G$379&gt;0)*($L$18:$L$379&lt;&gt;L75))+SUMPRODUCT(($A$381:$A$498=A75)*(IFERROR($B$381:$B$498&gt;=E75-30,0))*(IFERROR($B$381:$B$498&lt;=E75+30,0))*($G$381:$G$498&gt;0)*($L$381:$L$498&lt;&gt;L75)))</f>
        <v/>
      </c>
      <c r="Q75" s="31" t="str">
        <f>IF(P75=1,IFERROR(INDEX($L$18:$L$379,MATCH(1,INDEX(($A$18:$A$379=A75)*(IFERROR($B$18:$B$379&gt;=E75-30,0))*(IFERROR($B$18:$B$379&lt;=E75+30,0))*($G$18:$G$379&gt;0)*($L$18:$L$379&lt;&gt;L75),0),0)),IFERROR(INDEX($L$381:$L$498,MATCH(1,INDEX(($A$381:$A$498=A75)*(IFERROR($B$381:$B$498&gt;=E75-30,0))*(IFERROR($B$381:$B$498&lt;=E75+30,0))*($G$381:$G$498&gt;0)*($L$381:$L$498&lt;&gt;L75),0),0)),"")),"")</f>
        <v/>
      </c>
      <c r="R75" s="32"/>
      <c r="S75" s="31" t="str">
        <f>IF(R75&lt;&gt;"",R75,Q75)</f>
        <v/>
      </c>
      <c r="T75" s="63">
        <f>IF(OR(N75="",O75=0),0,N75*O75)</f>
        <v>0</v>
      </c>
      <c r="U75" s="63">
        <f>IF(COUNTIF($S$18:$S$498,L75)=0,"",SUMIF($S$18:$S$498,L75,$T$18:$T$498))</f>
        <v>0</v>
      </c>
      <c r="V75" s="63" t="str">
        <f>IF(H75="","",IFERROR(H75+U75,H75))</f>
        <v/>
      </c>
      <c r="W75" s="63" t="str">
        <f>IF(OR(V75="",C75=""),"",V75/C75)</f>
        <v/>
      </c>
      <c r="X75" s="11" t="str">
        <f>IF(A75="","",IF(AND(U75&lt;&gt;"",U75&lt;&gt;0,M75=0),"Replacement lot receiving wash basis",IF(J75="","",IF(J75&gt;=0,"",IF(O75=0,"No replacement buy found",IF(P75&gt;1,"Manual selection needed","Auto matched"))))))</f>
        <v/>
      </c>
      <c r="Z75" t="str">
        <f>IF(K75="Yes",COUNTIF($K$18:K75,"Yes"),"")</f>
        <v/>
      </c>
    </row>
    <row r="76" spans="1:26" ht="33.75" customHeight="1" x14ac:dyDescent="0.2">
      <c r="A76" s="9"/>
      <c r="B76" s="69"/>
      <c r="C76" s="30"/>
      <c r="D76" s="70"/>
      <c r="E76" s="69"/>
      <c r="F76" s="70"/>
      <c r="G76" s="30"/>
      <c r="H76" s="63" t="str">
        <f>IF(OR(C76="",D76=""),"",C76*D76)</f>
        <v/>
      </c>
      <c r="I76" s="63" t="str">
        <f>IF(OR(E76="",F76="",M76&lt;=0),"",M76*F76)</f>
        <v/>
      </c>
      <c r="J76" s="63" t="str">
        <f>IF(I76="","",I76-(M76*D76))</f>
        <v/>
      </c>
      <c r="K76" s="28" t="str">
        <f>IF(A76="","",IF(T76&gt;0,"Yes","No"))</f>
        <v/>
      </c>
      <c r="L76" s="28" t="str">
        <f>IF(A76="","",A76&amp;"-"&amp;TEXT(B76,"yyyymmdd")&amp;"-R"&amp;ROW())</f>
        <v/>
      </c>
      <c r="M76" s="28" t="str">
        <f>IF(OR(C76="",G76=""),"",C76-G76)</f>
        <v/>
      </c>
      <c r="N76" s="63" t="str">
        <f>IF(OR(M76&lt;=0,J76&gt;=0),"",ABS(J76)/M76)</f>
        <v/>
      </c>
      <c r="O76" s="63" t="str">
        <f>IF(OR(A76="",M76&lt;=0,J76&gt;=0),"",MIN(M76,SUMPRODUCT(($A$18:$A$379=A76)*(IFERROR($B$18:$B$379&gt;=E76-30,0))*(IFERROR($B$18:$B$379&lt;=E76+30,0))*($G$18:$G$379&gt;0)*($L$18:$L$379&lt;&gt;L76)*($G$18:$G$379))+SUMPRODUCT(($A$381:$A$498=A76)*(IFERROR($B$381:$B$498&gt;=E76-30,0))*(IFERROR($B$381:$B$498&lt;=E76+30,0))*($G$381:$G$498&gt;0)*($L$381:$L$498&lt;&gt;L76)*($G$381:$G$498))))</f>
        <v/>
      </c>
      <c r="P76" s="28" t="str">
        <f>IF(OR(A76="",M76&lt;=0,J76&gt;=0),"",SUMPRODUCT(($A$18:$A$379=A76)*(IFERROR($B$18:$B$379&gt;=E76-30,0))*(IFERROR($B$18:$B$379&lt;=E76+30,0))*($G$18:$G$379&gt;0)*($L$18:$L$379&lt;&gt;L76))+SUMPRODUCT(($A$381:$A$498=A76)*(IFERROR($B$381:$B$498&gt;=E76-30,0))*(IFERROR($B$381:$B$498&lt;=E76+30,0))*($G$381:$G$498&gt;0)*($L$381:$L$498&lt;&gt;L76)))</f>
        <v/>
      </c>
      <c r="Q76" s="31" t="str">
        <f>IF(P76=1,IFERROR(INDEX($L$18:$L$379,MATCH(1,INDEX(($A$18:$A$379=A76)*(IFERROR($B$18:$B$379&gt;=E76-30,0))*(IFERROR($B$18:$B$379&lt;=E76+30,0))*($G$18:$G$379&gt;0)*($L$18:$L$379&lt;&gt;L76),0),0)),IFERROR(INDEX($L$381:$L$498,MATCH(1,INDEX(($A$381:$A$498=A76)*(IFERROR($B$381:$B$498&gt;=E76-30,0))*(IFERROR($B$381:$B$498&lt;=E76+30,0))*($G$381:$G$498&gt;0)*($L$381:$L$498&lt;&gt;L76),0),0)),"")),"")</f>
        <v/>
      </c>
      <c r="R76" s="32"/>
      <c r="S76" s="31" t="str">
        <f>IF(R76&lt;&gt;"",R76,Q76)</f>
        <v/>
      </c>
      <c r="T76" s="63">
        <f>IF(OR(N76="",O76=0),0,N76*O76)</f>
        <v>0</v>
      </c>
      <c r="U76" s="63">
        <f>IF(COUNTIF($S$18:$S$498,L76)=0,"",SUMIF($S$18:$S$498,L76,$T$18:$T$498))</f>
        <v>0</v>
      </c>
      <c r="V76" s="63" t="str">
        <f>IF(H76="","",IFERROR(H76+U76,H76))</f>
        <v/>
      </c>
      <c r="W76" s="63" t="str">
        <f>IF(OR(V76="",C76=""),"",V76/C76)</f>
        <v/>
      </c>
      <c r="X76" s="11" t="str">
        <f>IF(A76="","",IF(AND(U76&lt;&gt;"",U76&lt;&gt;0,M76=0),"Replacement lot receiving wash basis",IF(J76="","",IF(J76&gt;=0,"",IF(O76=0,"No replacement buy found",IF(P76&gt;1,"Manual selection needed","Auto matched"))))))</f>
        <v/>
      </c>
      <c r="Z76" t="str">
        <f>IF(K76="Yes",COUNTIF($K$18:K76,"Yes"),"")</f>
        <v/>
      </c>
    </row>
    <row r="77" spans="1:26" ht="33.75" customHeight="1" x14ac:dyDescent="0.2">
      <c r="A77" s="10"/>
      <c r="B77" s="71"/>
      <c r="C77" s="33"/>
      <c r="D77" s="72"/>
      <c r="E77" s="71"/>
      <c r="F77" s="72"/>
      <c r="G77" s="33"/>
      <c r="H77" s="73" t="str">
        <f>IF(OR(C77="",D77=""),"",C77*D77)</f>
        <v/>
      </c>
      <c r="I77" s="73" t="str">
        <f>IF(OR(E77="",F77="",M77&lt;=0),"",M77*F77)</f>
        <v/>
      </c>
      <c r="J77" s="73" t="str">
        <f>IF(I77="","",I77-(M77*D77))</f>
        <v/>
      </c>
      <c r="K77" s="29" t="str">
        <f>IF(A77="","",IF(T77&gt;0,"Yes","No"))</f>
        <v/>
      </c>
      <c r="L77" s="29" t="str">
        <f>IF(A77="","",A77&amp;"-"&amp;TEXT(B77,"yyyymmdd")&amp;"-R"&amp;ROW())</f>
        <v/>
      </c>
      <c r="M77" s="29" t="str">
        <f>IF(OR(C77="",G77=""),"",C77-G77)</f>
        <v/>
      </c>
      <c r="N77" s="73" t="str">
        <f>IF(OR(M77&lt;=0,J77&gt;=0),"",ABS(J77)/M77)</f>
        <v/>
      </c>
      <c r="O77" s="73" t="str">
        <f>IF(OR(A77="",M77&lt;=0,J77&gt;=0),"",MIN(M77,SUMPRODUCT(($A$18:$A$379=A77)*(IFERROR($B$18:$B$379&gt;=E77-30,0))*(IFERROR($B$18:$B$379&lt;=E77+30,0))*($G$18:$G$379&gt;0)*($L$18:$L$379&lt;&gt;L77)*($G$18:$G$379))+SUMPRODUCT(($A$381:$A$498=A77)*(IFERROR($B$381:$B$498&gt;=E77-30,0))*(IFERROR($B$381:$B$498&lt;=E77+30,0))*($G$381:$G$498&gt;0)*($L$381:$L$498&lt;&gt;L77)*($G$381:$G$498))))</f>
        <v/>
      </c>
      <c r="P77" s="29" t="str">
        <f>IF(OR(A77="",M77&lt;=0,J77&gt;=0),"",SUMPRODUCT(($A$18:$A$379=A77)*(IFERROR($B$18:$B$379&gt;=E77-30,0))*(IFERROR($B$18:$B$379&lt;=E77+30,0))*($G$18:$G$379&gt;0)*($L$18:$L$379&lt;&gt;L77))+SUMPRODUCT(($A$381:$A$498=A77)*(IFERROR($B$381:$B$498&gt;=E77-30,0))*(IFERROR($B$381:$B$498&lt;=E77+30,0))*($G$381:$G$498&gt;0)*($L$381:$L$498&lt;&gt;L77)))</f>
        <v/>
      </c>
      <c r="Q77" s="34" t="str">
        <f>IF(P77=1,IFERROR(INDEX($L$18:$L$379,MATCH(1,INDEX(($A$18:$A$379=A77)*(IFERROR($B$18:$B$379&gt;=E77-30,0))*(IFERROR($B$18:$B$379&lt;=E77+30,0))*($G$18:$G$379&gt;0)*($L$18:$L$379&lt;&gt;L77),0),0)),IFERROR(INDEX($L$381:$L$498,MATCH(1,INDEX(($A$381:$A$498=A77)*(IFERROR($B$381:$B$498&gt;=E77-30,0))*(IFERROR($B$381:$B$498&lt;=E77+30,0))*($G$381:$G$498&gt;0)*($L$381:$L$498&lt;&gt;L77),0),0)),"")),"")</f>
        <v/>
      </c>
      <c r="R77" s="35"/>
      <c r="S77" s="34" t="str">
        <f>IF(R77&lt;&gt;"",R77,Q77)</f>
        <v/>
      </c>
      <c r="T77" s="73">
        <f>IF(OR(N77="",O77=0),0,N77*O77)</f>
        <v>0</v>
      </c>
      <c r="U77" s="73">
        <f>IF(COUNTIF($S$18:$S$498,L77)=0,"",SUMIF($S$18:$S$498,L77,$T$18:$T$498))</f>
        <v>0</v>
      </c>
      <c r="V77" s="73" t="str">
        <f>IF(H77="","",IFERROR(H77+U77,H77))</f>
        <v/>
      </c>
      <c r="W77" s="73" t="str">
        <f>IF(OR(V77="",C77=""),"",V77/C77)</f>
        <v/>
      </c>
      <c r="X77" s="12" t="str">
        <f>IF(A77="","",IF(AND(U77&lt;&gt;"",U77&lt;&gt;0,M77=0),"Replacement lot receiving wash basis",IF(J77="","",IF(J77&gt;=0,"",IF(O77=0,"No replacement buy found",IF(P77&gt;1,"Manual selection needed","Auto matched"))))))</f>
        <v/>
      </c>
      <c r="Z77" t="str">
        <f>IF(K77="Yes",COUNTIF($K$18:K77,"Yes"),"")</f>
        <v/>
      </c>
    </row>
    <row r="78" spans="1:26" ht="33.75" customHeight="1" x14ac:dyDescent="0.2">
      <c r="A78" s="9"/>
      <c r="B78" s="69"/>
      <c r="C78" s="30"/>
      <c r="D78" s="70"/>
      <c r="E78" s="69"/>
      <c r="F78" s="70"/>
      <c r="G78" s="30"/>
      <c r="H78" s="63" t="str">
        <f>IF(OR(C78="",D78=""),"",C78*D78)</f>
        <v/>
      </c>
      <c r="I78" s="63" t="str">
        <f>IF(OR(E78="",F78="",M78&lt;=0),"",M78*F78)</f>
        <v/>
      </c>
      <c r="J78" s="63" t="str">
        <f>IF(I78="","",I78-(M78*D78))</f>
        <v/>
      </c>
      <c r="K78" s="28" t="str">
        <f>IF(A78="","",IF(T78&gt;0,"Yes","No"))</f>
        <v/>
      </c>
      <c r="L78" s="28" t="str">
        <f>IF(A78="","",A78&amp;"-"&amp;TEXT(B78,"yyyymmdd")&amp;"-R"&amp;ROW())</f>
        <v/>
      </c>
      <c r="M78" s="28" t="str">
        <f>IF(OR(C78="",G78=""),"",C78-G78)</f>
        <v/>
      </c>
      <c r="N78" s="63" t="str">
        <f>IF(OR(M78&lt;=0,J78&gt;=0),"",ABS(J78)/M78)</f>
        <v/>
      </c>
      <c r="O78" s="63" t="str">
        <f>IF(OR(A78="",M78&lt;=0,J78&gt;=0),"",MIN(M78,SUMPRODUCT(($A$18:$A$379=A78)*(IFERROR($B$18:$B$379&gt;=E78-30,0))*(IFERROR($B$18:$B$379&lt;=E78+30,0))*($G$18:$G$379&gt;0)*($L$18:$L$379&lt;&gt;L78)*($G$18:$G$379))+SUMPRODUCT(($A$381:$A$498=A78)*(IFERROR($B$381:$B$498&gt;=E78-30,0))*(IFERROR($B$381:$B$498&lt;=E78+30,0))*($G$381:$G$498&gt;0)*($L$381:$L$498&lt;&gt;L78)*($G$381:$G$498))))</f>
        <v/>
      </c>
      <c r="P78" s="28" t="str">
        <f>IF(OR(A78="",M78&lt;=0,J78&gt;=0),"",SUMPRODUCT(($A$18:$A$379=A78)*(IFERROR($B$18:$B$379&gt;=E78-30,0))*(IFERROR($B$18:$B$379&lt;=E78+30,0))*($G$18:$G$379&gt;0)*($L$18:$L$379&lt;&gt;L78))+SUMPRODUCT(($A$381:$A$498=A78)*(IFERROR($B$381:$B$498&gt;=E78-30,0))*(IFERROR($B$381:$B$498&lt;=E78+30,0))*($G$381:$G$498&gt;0)*($L$381:$L$498&lt;&gt;L78)))</f>
        <v/>
      </c>
      <c r="Q78" s="31" t="str">
        <f>IF(P78=1,IFERROR(INDEX($L$18:$L$379,MATCH(1,INDEX(($A$18:$A$379=A78)*(IFERROR($B$18:$B$379&gt;=E78-30,0))*(IFERROR($B$18:$B$379&lt;=E78+30,0))*($G$18:$G$379&gt;0)*($L$18:$L$379&lt;&gt;L78),0),0)),IFERROR(INDEX($L$381:$L$498,MATCH(1,INDEX(($A$381:$A$498=A78)*(IFERROR($B$381:$B$498&gt;=E78-30,0))*(IFERROR($B$381:$B$498&lt;=E78+30,0))*($G$381:$G$498&gt;0)*($L$381:$L$498&lt;&gt;L78),0),0)),"")),"")</f>
        <v/>
      </c>
      <c r="R78" s="32"/>
      <c r="S78" s="31" t="str">
        <f>IF(R78&lt;&gt;"",R78,Q78)</f>
        <v/>
      </c>
      <c r="T78" s="63">
        <f>IF(OR(N78="",O78=0),0,N78*O78)</f>
        <v>0</v>
      </c>
      <c r="U78" s="63">
        <f>IF(COUNTIF($S$18:$S$498,L78)=0,"",SUMIF($S$18:$S$498,L78,$T$18:$T$498))</f>
        <v>0</v>
      </c>
      <c r="V78" s="63" t="str">
        <f>IF(H78="","",IFERROR(H78+U78,H78))</f>
        <v/>
      </c>
      <c r="W78" s="63" t="str">
        <f>IF(OR(V78="",C78=""),"",V78/C78)</f>
        <v/>
      </c>
      <c r="X78" s="11" t="str">
        <f>IF(A78="","",IF(AND(U78&lt;&gt;"",U78&lt;&gt;0,M78=0),"Replacement lot receiving wash basis",IF(J78="","",IF(J78&gt;=0,"",IF(O78=0,"No replacement buy found",IF(P78&gt;1,"Manual selection needed","Auto matched"))))))</f>
        <v/>
      </c>
      <c r="Z78" t="str">
        <f>IF(K78="Yes",COUNTIF($K$18:K78,"Yes"),"")</f>
        <v/>
      </c>
    </row>
    <row r="79" spans="1:26" ht="33.75" customHeight="1" x14ac:dyDescent="0.2">
      <c r="A79" s="9"/>
      <c r="B79" s="69"/>
      <c r="C79" s="30"/>
      <c r="D79" s="70"/>
      <c r="E79" s="69"/>
      <c r="F79" s="70"/>
      <c r="G79" s="30"/>
      <c r="H79" s="63" t="str">
        <f>IF(OR(C79="",D79=""),"",C79*D79)</f>
        <v/>
      </c>
      <c r="I79" s="63" t="str">
        <f>IF(OR(E79="",F79="",M79&lt;=0),"",M79*F79)</f>
        <v/>
      </c>
      <c r="J79" s="63" t="str">
        <f>IF(I79="","",I79-(M79*D79))</f>
        <v/>
      </c>
      <c r="K79" s="28" t="str">
        <f>IF(A79="","",IF(T79&gt;0,"Yes","No"))</f>
        <v/>
      </c>
      <c r="L79" s="28" t="str">
        <f>IF(A79="","",A79&amp;"-"&amp;TEXT(B79,"yyyymmdd")&amp;"-R"&amp;ROW())</f>
        <v/>
      </c>
      <c r="M79" s="28" t="str">
        <f>IF(OR(C79="",G79=""),"",C79-G79)</f>
        <v/>
      </c>
      <c r="N79" s="63" t="str">
        <f>IF(OR(M79&lt;=0,J79&gt;=0),"",ABS(J79)/M79)</f>
        <v/>
      </c>
      <c r="O79" s="63" t="str">
        <f>IF(OR(A79="",M79&lt;=0,J79&gt;=0),"",MIN(M79,SUMPRODUCT(($A$18:$A$379=A79)*(IFERROR($B$18:$B$379&gt;=E79-30,0))*(IFERROR($B$18:$B$379&lt;=E79+30,0))*($G$18:$G$379&gt;0)*($L$18:$L$379&lt;&gt;L79)*($G$18:$G$379))+SUMPRODUCT(($A$381:$A$498=A79)*(IFERROR($B$381:$B$498&gt;=E79-30,0))*(IFERROR($B$381:$B$498&lt;=E79+30,0))*($G$381:$G$498&gt;0)*($L$381:$L$498&lt;&gt;L79)*($G$381:$G$498))))</f>
        <v/>
      </c>
      <c r="P79" s="28" t="str">
        <f>IF(OR(A79="",M79&lt;=0,J79&gt;=0),"",SUMPRODUCT(($A$18:$A$379=A79)*(IFERROR($B$18:$B$379&gt;=E79-30,0))*(IFERROR($B$18:$B$379&lt;=E79+30,0))*($G$18:$G$379&gt;0)*($L$18:$L$379&lt;&gt;L79))+SUMPRODUCT(($A$381:$A$498=A79)*(IFERROR($B$381:$B$498&gt;=E79-30,0))*(IFERROR($B$381:$B$498&lt;=E79+30,0))*($G$381:$G$498&gt;0)*($L$381:$L$498&lt;&gt;L79)))</f>
        <v/>
      </c>
      <c r="Q79" s="31" t="str">
        <f>IF(P79=1,IFERROR(INDEX($L$18:$L$379,MATCH(1,INDEX(($A$18:$A$379=A79)*(IFERROR($B$18:$B$379&gt;=E79-30,0))*(IFERROR($B$18:$B$379&lt;=E79+30,0))*($G$18:$G$379&gt;0)*($L$18:$L$379&lt;&gt;L79),0),0)),IFERROR(INDEX($L$381:$L$498,MATCH(1,INDEX(($A$381:$A$498=A79)*(IFERROR($B$381:$B$498&gt;=E79-30,0))*(IFERROR($B$381:$B$498&lt;=E79+30,0))*($G$381:$G$498&gt;0)*($L$381:$L$498&lt;&gt;L79),0),0)),"")),"")</f>
        <v/>
      </c>
      <c r="R79" s="32"/>
      <c r="S79" s="31" t="str">
        <f>IF(R79&lt;&gt;"",R79,Q79)</f>
        <v/>
      </c>
      <c r="T79" s="63">
        <f>IF(OR(N79="",O79=0),0,N79*O79)</f>
        <v>0</v>
      </c>
      <c r="U79" s="63">
        <f>IF(COUNTIF($S$18:$S$498,L79)=0,"",SUMIF($S$18:$S$498,L79,$T$18:$T$498))</f>
        <v>0</v>
      </c>
      <c r="V79" s="63" t="str">
        <f>IF(H79="","",IFERROR(H79+U79,H79))</f>
        <v/>
      </c>
      <c r="W79" s="63" t="str">
        <f>IF(OR(V79="",C79=""),"",V79/C79)</f>
        <v/>
      </c>
      <c r="X79" s="11" t="str">
        <f>IF(A79="","",IF(AND(U79&lt;&gt;"",U79&lt;&gt;0,M79=0),"Replacement lot receiving wash basis",IF(J79="","",IF(J79&gt;=0,"",IF(O79=0,"No replacement buy found",IF(P79&gt;1,"Manual selection needed","Auto matched"))))))</f>
        <v/>
      </c>
      <c r="Z79" t="str">
        <f>IF(K79="Yes",COUNTIF($K$18:K79,"Yes"),"")</f>
        <v/>
      </c>
    </row>
    <row r="80" spans="1:26" ht="33.75" customHeight="1" x14ac:dyDescent="0.2">
      <c r="A80" s="9"/>
      <c r="B80" s="69"/>
      <c r="C80" s="30"/>
      <c r="D80" s="70"/>
      <c r="E80" s="69"/>
      <c r="F80" s="70"/>
      <c r="G80" s="30"/>
      <c r="H80" s="63" t="str">
        <f>IF(OR(C80="",D80=""),"",C80*D80)</f>
        <v/>
      </c>
      <c r="I80" s="63" t="str">
        <f>IF(OR(E80="",F80="",M80&lt;=0),"",M80*F80)</f>
        <v/>
      </c>
      <c r="J80" s="63" t="str">
        <f>IF(I80="","",I80-(M80*D80))</f>
        <v/>
      </c>
      <c r="K80" s="28" t="str">
        <f>IF(A80="","",IF(T80&gt;0,"Yes","No"))</f>
        <v/>
      </c>
      <c r="L80" s="28" t="str">
        <f>IF(A80="","",A80&amp;"-"&amp;TEXT(B80,"yyyymmdd")&amp;"-R"&amp;ROW())</f>
        <v/>
      </c>
      <c r="M80" s="28" t="str">
        <f>IF(OR(C80="",G80=""),"",C80-G80)</f>
        <v/>
      </c>
      <c r="N80" s="63" t="str">
        <f>IF(OR(M80&lt;=0,J80&gt;=0),"",ABS(J80)/M80)</f>
        <v/>
      </c>
      <c r="O80" s="63" t="str">
        <f>IF(OR(A80="",M80&lt;=0,J80&gt;=0),"",MIN(M80,SUMPRODUCT(($A$18:$A$379=A80)*(IFERROR($B$18:$B$379&gt;=E80-30,0))*(IFERROR($B$18:$B$379&lt;=E80+30,0))*($G$18:$G$379&gt;0)*($L$18:$L$379&lt;&gt;L80)*($G$18:$G$379))+SUMPRODUCT(($A$381:$A$498=A80)*(IFERROR($B$381:$B$498&gt;=E80-30,0))*(IFERROR($B$381:$B$498&lt;=E80+30,0))*($G$381:$G$498&gt;0)*($L$381:$L$498&lt;&gt;L80)*($G$381:$G$498))))</f>
        <v/>
      </c>
      <c r="P80" s="28" t="str">
        <f>IF(OR(A80="",M80&lt;=0,J80&gt;=0),"",SUMPRODUCT(($A$18:$A$379=A80)*(IFERROR($B$18:$B$379&gt;=E80-30,0))*(IFERROR($B$18:$B$379&lt;=E80+30,0))*($G$18:$G$379&gt;0)*($L$18:$L$379&lt;&gt;L80))+SUMPRODUCT(($A$381:$A$498=A80)*(IFERROR($B$381:$B$498&gt;=E80-30,0))*(IFERROR($B$381:$B$498&lt;=E80+30,0))*($G$381:$G$498&gt;0)*($L$381:$L$498&lt;&gt;L80)))</f>
        <v/>
      </c>
      <c r="Q80" s="31" t="str">
        <f>IF(P80=1,IFERROR(INDEX($L$18:$L$379,MATCH(1,INDEX(($A$18:$A$379=A80)*(IFERROR($B$18:$B$379&gt;=E80-30,0))*(IFERROR($B$18:$B$379&lt;=E80+30,0))*($G$18:$G$379&gt;0)*($L$18:$L$379&lt;&gt;L80),0),0)),IFERROR(INDEX($L$381:$L$498,MATCH(1,INDEX(($A$381:$A$498=A80)*(IFERROR($B$381:$B$498&gt;=E80-30,0))*(IFERROR($B$381:$B$498&lt;=E80+30,0))*($G$381:$G$498&gt;0)*($L$381:$L$498&lt;&gt;L80),0),0)),"")),"")</f>
        <v/>
      </c>
      <c r="R80" s="32"/>
      <c r="S80" s="31" t="str">
        <f>IF(R80&lt;&gt;"",R80,Q80)</f>
        <v/>
      </c>
      <c r="T80" s="63">
        <f>IF(OR(N80="",O80=0),0,N80*O80)</f>
        <v>0</v>
      </c>
      <c r="U80" s="63">
        <f>IF(COUNTIF($S$18:$S$498,L80)=0,"",SUMIF($S$18:$S$498,L80,$T$18:$T$498))</f>
        <v>0</v>
      </c>
      <c r="V80" s="63" t="str">
        <f>IF(H80="","",IFERROR(H80+U80,H80))</f>
        <v/>
      </c>
      <c r="W80" s="63" t="str">
        <f>IF(OR(V80="",C80=""),"",V80/C80)</f>
        <v/>
      </c>
      <c r="X80" s="11" t="str">
        <f>IF(A80="","",IF(AND(U80&lt;&gt;"",U80&lt;&gt;0,M80=0),"Replacement lot receiving wash basis",IF(J80="","",IF(J80&gt;=0,"",IF(O80=0,"No replacement buy found",IF(P80&gt;1,"Manual selection needed","Auto matched"))))))</f>
        <v/>
      </c>
      <c r="Z80" t="str">
        <f>IF(K80="Yes",COUNTIF($K$18:K80,"Yes"),"")</f>
        <v/>
      </c>
    </row>
    <row r="81" spans="1:26" ht="33.75" customHeight="1" x14ac:dyDescent="0.2">
      <c r="A81" s="9"/>
      <c r="B81" s="69"/>
      <c r="C81" s="30"/>
      <c r="D81" s="70"/>
      <c r="E81" s="69"/>
      <c r="F81" s="70"/>
      <c r="G81" s="30"/>
      <c r="H81" s="63" t="str">
        <f>IF(OR(C81="",D81=""),"",C81*D81)</f>
        <v/>
      </c>
      <c r="I81" s="63" t="str">
        <f>IF(OR(E81="",F81="",M81&lt;=0),"",M81*F81)</f>
        <v/>
      </c>
      <c r="J81" s="63" t="str">
        <f>IF(I81="","",I81-(M81*D81))</f>
        <v/>
      </c>
      <c r="K81" s="28" t="str">
        <f>IF(A81="","",IF(T81&gt;0,"Yes","No"))</f>
        <v/>
      </c>
      <c r="L81" s="28" t="str">
        <f>IF(A81="","",A81&amp;"-"&amp;TEXT(B81,"yyyymmdd")&amp;"-R"&amp;ROW())</f>
        <v/>
      </c>
      <c r="M81" s="28" t="str">
        <f>IF(OR(C81="",G81=""),"",C81-G81)</f>
        <v/>
      </c>
      <c r="N81" s="63" t="str">
        <f>IF(OR(M81&lt;=0,J81&gt;=0),"",ABS(J81)/M81)</f>
        <v/>
      </c>
      <c r="O81" s="63" t="str">
        <f>IF(OR(A81="",M81&lt;=0,J81&gt;=0),"",MIN(M81,SUMPRODUCT(($A$18:$A$379=A81)*(IFERROR($B$18:$B$379&gt;=E81-30,0))*(IFERROR($B$18:$B$379&lt;=E81+30,0))*($G$18:$G$379&gt;0)*($L$18:$L$379&lt;&gt;L81)*($G$18:$G$379))+SUMPRODUCT(($A$381:$A$498=A81)*(IFERROR($B$381:$B$498&gt;=E81-30,0))*(IFERROR($B$381:$B$498&lt;=E81+30,0))*($G$381:$G$498&gt;0)*($L$381:$L$498&lt;&gt;L81)*($G$381:$G$498))))</f>
        <v/>
      </c>
      <c r="P81" s="28" t="str">
        <f>IF(OR(A81="",M81&lt;=0,J81&gt;=0),"",SUMPRODUCT(($A$18:$A$379=A81)*(IFERROR($B$18:$B$379&gt;=E81-30,0))*(IFERROR($B$18:$B$379&lt;=E81+30,0))*($G$18:$G$379&gt;0)*($L$18:$L$379&lt;&gt;L81))+SUMPRODUCT(($A$381:$A$498=A81)*(IFERROR($B$381:$B$498&gt;=E81-30,0))*(IFERROR($B$381:$B$498&lt;=E81+30,0))*($G$381:$G$498&gt;0)*($L$381:$L$498&lt;&gt;L81)))</f>
        <v/>
      </c>
      <c r="Q81" s="31" t="str">
        <f>IF(P81=1,IFERROR(INDEX($L$18:$L$379,MATCH(1,INDEX(($A$18:$A$379=A81)*(IFERROR($B$18:$B$379&gt;=E81-30,0))*(IFERROR($B$18:$B$379&lt;=E81+30,0))*($G$18:$G$379&gt;0)*($L$18:$L$379&lt;&gt;L81),0),0)),IFERROR(INDEX($L$381:$L$498,MATCH(1,INDEX(($A$381:$A$498=A81)*(IFERROR($B$381:$B$498&gt;=E81-30,0))*(IFERROR($B$381:$B$498&lt;=E81+30,0))*($G$381:$G$498&gt;0)*($L$381:$L$498&lt;&gt;L81),0),0)),"")),"")</f>
        <v/>
      </c>
      <c r="R81" s="32"/>
      <c r="S81" s="31" t="str">
        <f>IF(R81&lt;&gt;"",R81,Q81)</f>
        <v/>
      </c>
      <c r="T81" s="63">
        <f>IF(OR(N81="",O81=0),0,N81*O81)</f>
        <v>0</v>
      </c>
      <c r="U81" s="63">
        <f>IF(COUNTIF($S$18:$S$498,L81)=0,"",SUMIF($S$18:$S$498,L81,$T$18:$T$498))</f>
        <v>0</v>
      </c>
      <c r="V81" s="63" t="str">
        <f>IF(H81="","",IFERROR(H81+U81,H81))</f>
        <v/>
      </c>
      <c r="W81" s="63" t="str">
        <f>IF(OR(V81="",C81=""),"",V81/C81)</f>
        <v/>
      </c>
      <c r="X81" s="11" t="str">
        <f>IF(A81="","",IF(AND(U81&lt;&gt;"",U81&lt;&gt;0,M81=0),"Replacement lot receiving wash basis",IF(J81="","",IF(J81&gt;=0,"",IF(O81=0,"No replacement buy found",IF(P81&gt;1,"Manual selection needed","Auto matched"))))))</f>
        <v/>
      </c>
      <c r="Z81" t="str">
        <f>IF(K81="Yes",COUNTIF($K$18:K81,"Yes"),"")</f>
        <v/>
      </c>
    </row>
    <row r="82" spans="1:26" ht="33.75" customHeight="1" x14ac:dyDescent="0.2">
      <c r="A82" s="9"/>
      <c r="B82" s="69"/>
      <c r="C82" s="30"/>
      <c r="D82" s="70"/>
      <c r="E82" s="69"/>
      <c r="F82" s="70"/>
      <c r="G82" s="30"/>
      <c r="H82" s="63" t="str">
        <f>IF(OR(C82="",D82=""),"",C82*D82)</f>
        <v/>
      </c>
      <c r="I82" s="63" t="str">
        <f>IF(OR(E82="",F82="",M82&lt;=0),"",M82*F82)</f>
        <v/>
      </c>
      <c r="J82" s="63" t="str">
        <f>IF(I82="","",I82-(M82*D82))</f>
        <v/>
      </c>
      <c r="K82" s="28" t="str">
        <f>IF(A82="","",IF(T82&gt;0,"Yes","No"))</f>
        <v/>
      </c>
      <c r="L82" s="28" t="str">
        <f>IF(A82="","",A82&amp;"-"&amp;TEXT(B82,"yyyymmdd")&amp;"-R"&amp;ROW())</f>
        <v/>
      </c>
      <c r="M82" s="28" t="str">
        <f>IF(OR(C82="",G82=""),"",C82-G82)</f>
        <v/>
      </c>
      <c r="N82" s="63" t="str">
        <f>IF(OR(M82&lt;=0,J82&gt;=0),"",ABS(J82)/M82)</f>
        <v/>
      </c>
      <c r="O82" s="63" t="str">
        <f>IF(OR(A82="",M82&lt;=0,J82&gt;=0),"",MIN(M82,SUMPRODUCT(($A$18:$A$379=A82)*(IFERROR($B$18:$B$379&gt;=E82-30,0))*(IFERROR($B$18:$B$379&lt;=E82+30,0))*($G$18:$G$379&gt;0)*($L$18:$L$379&lt;&gt;L82)*($G$18:$G$379))+SUMPRODUCT(($A$381:$A$498=A82)*(IFERROR($B$381:$B$498&gt;=E82-30,0))*(IFERROR($B$381:$B$498&lt;=E82+30,0))*($G$381:$G$498&gt;0)*($L$381:$L$498&lt;&gt;L82)*($G$381:$G$498))))</f>
        <v/>
      </c>
      <c r="P82" s="28" t="str">
        <f>IF(OR(A82="",M82&lt;=0,J82&gt;=0),"",SUMPRODUCT(($A$18:$A$379=A82)*(IFERROR($B$18:$B$379&gt;=E82-30,0))*(IFERROR($B$18:$B$379&lt;=E82+30,0))*($G$18:$G$379&gt;0)*($L$18:$L$379&lt;&gt;L82))+SUMPRODUCT(($A$381:$A$498=A82)*(IFERROR($B$381:$B$498&gt;=E82-30,0))*(IFERROR($B$381:$B$498&lt;=E82+30,0))*($G$381:$G$498&gt;0)*($L$381:$L$498&lt;&gt;L82)))</f>
        <v/>
      </c>
      <c r="Q82" s="31" t="str">
        <f>IF(P82=1,IFERROR(INDEX($L$18:$L$379,MATCH(1,INDEX(($A$18:$A$379=A82)*(IFERROR($B$18:$B$379&gt;=E82-30,0))*(IFERROR($B$18:$B$379&lt;=E82+30,0))*($G$18:$G$379&gt;0)*($L$18:$L$379&lt;&gt;L82),0),0)),IFERROR(INDEX($L$381:$L$498,MATCH(1,INDEX(($A$381:$A$498=A82)*(IFERROR($B$381:$B$498&gt;=E82-30,0))*(IFERROR($B$381:$B$498&lt;=E82+30,0))*($G$381:$G$498&gt;0)*($L$381:$L$498&lt;&gt;L82),0),0)),"")),"")</f>
        <v/>
      </c>
      <c r="R82" s="32"/>
      <c r="S82" s="31" t="str">
        <f>IF(R82&lt;&gt;"",R82,Q82)</f>
        <v/>
      </c>
      <c r="T82" s="63">
        <f>IF(OR(N82="",O82=0),0,N82*O82)</f>
        <v>0</v>
      </c>
      <c r="U82" s="63">
        <f>IF(COUNTIF($S$18:$S$498,L82)=0,"",SUMIF($S$18:$S$498,L82,$T$18:$T$498))</f>
        <v>0</v>
      </c>
      <c r="V82" s="63" t="str">
        <f>IF(H82="","",IFERROR(H82+U82,H82))</f>
        <v/>
      </c>
      <c r="W82" s="63" t="str">
        <f>IF(OR(V82="",C82=""),"",V82/C82)</f>
        <v/>
      </c>
      <c r="X82" s="11" t="str">
        <f>IF(A82="","",IF(AND(U82&lt;&gt;"",U82&lt;&gt;0,M82=0),"Replacement lot receiving wash basis",IF(J82="","",IF(J82&gt;=0,"",IF(O82=0,"No replacement buy found",IF(P82&gt;1,"Manual selection needed","Auto matched"))))))</f>
        <v/>
      </c>
      <c r="Z82" t="str">
        <f>IF(K82="Yes",COUNTIF($K$18:K82,"Yes"),"")</f>
        <v/>
      </c>
    </row>
    <row r="83" spans="1:26" ht="33.75" customHeight="1" x14ac:dyDescent="0.2">
      <c r="A83" s="9"/>
      <c r="B83" s="69"/>
      <c r="C83" s="30"/>
      <c r="D83" s="70"/>
      <c r="E83" s="69"/>
      <c r="F83" s="70"/>
      <c r="G83" s="30"/>
      <c r="H83" s="63" t="str">
        <f>IF(OR(C83="",D83=""),"",C83*D83)</f>
        <v/>
      </c>
      <c r="I83" s="63" t="str">
        <f>IF(OR(E83="",F83="",M83&lt;=0),"",M83*F83)</f>
        <v/>
      </c>
      <c r="J83" s="63" t="str">
        <f>IF(I83="","",I83-(M83*D83))</f>
        <v/>
      </c>
      <c r="K83" s="28" t="str">
        <f>IF(A83="","",IF(T83&gt;0,"Yes","No"))</f>
        <v/>
      </c>
      <c r="L83" s="28" t="str">
        <f>IF(A83="","",A83&amp;"-"&amp;TEXT(B83,"yyyymmdd")&amp;"-R"&amp;ROW())</f>
        <v/>
      </c>
      <c r="M83" s="28" t="str">
        <f>IF(OR(C83="",G83=""),"",C83-G83)</f>
        <v/>
      </c>
      <c r="N83" s="63" t="str">
        <f>IF(OR(M83&lt;=0,J83&gt;=0),"",ABS(J83)/M83)</f>
        <v/>
      </c>
      <c r="O83" s="63" t="str">
        <f>IF(OR(A83="",M83&lt;=0,J83&gt;=0),"",MIN(M83,SUMPRODUCT(($A$18:$A$379=A83)*(IFERROR($B$18:$B$379&gt;=E83-30,0))*(IFERROR($B$18:$B$379&lt;=E83+30,0))*($G$18:$G$379&gt;0)*($L$18:$L$379&lt;&gt;L83)*($G$18:$G$379))+SUMPRODUCT(($A$381:$A$498=A83)*(IFERROR($B$381:$B$498&gt;=E83-30,0))*(IFERROR($B$381:$B$498&lt;=E83+30,0))*($G$381:$G$498&gt;0)*($L$381:$L$498&lt;&gt;L83)*($G$381:$G$498))))</f>
        <v/>
      </c>
      <c r="P83" s="28" t="str">
        <f>IF(OR(A83="",M83&lt;=0,J83&gt;=0),"",SUMPRODUCT(($A$18:$A$379=A83)*(IFERROR($B$18:$B$379&gt;=E83-30,0))*(IFERROR($B$18:$B$379&lt;=E83+30,0))*($G$18:$G$379&gt;0)*($L$18:$L$379&lt;&gt;L83))+SUMPRODUCT(($A$381:$A$498=A83)*(IFERROR($B$381:$B$498&gt;=E83-30,0))*(IFERROR($B$381:$B$498&lt;=E83+30,0))*($G$381:$G$498&gt;0)*($L$381:$L$498&lt;&gt;L83)))</f>
        <v/>
      </c>
      <c r="Q83" s="31" t="str">
        <f>IF(P83=1,IFERROR(INDEX($L$18:$L$379,MATCH(1,INDEX(($A$18:$A$379=A83)*(IFERROR($B$18:$B$379&gt;=E83-30,0))*(IFERROR($B$18:$B$379&lt;=E83+30,0))*($G$18:$G$379&gt;0)*($L$18:$L$379&lt;&gt;L83),0),0)),IFERROR(INDEX($L$381:$L$498,MATCH(1,INDEX(($A$381:$A$498=A83)*(IFERROR($B$381:$B$498&gt;=E83-30,0))*(IFERROR($B$381:$B$498&lt;=E83+30,0))*($G$381:$G$498&gt;0)*($L$381:$L$498&lt;&gt;L83),0),0)),"")),"")</f>
        <v/>
      </c>
      <c r="R83" s="32"/>
      <c r="S83" s="31" t="str">
        <f>IF(R83&lt;&gt;"",R83,Q83)</f>
        <v/>
      </c>
      <c r="T83" s="63">
        <f>IF(OR(N83="",O83=0),0,N83*O83)</f>
        <v>0</v>
      </c>
      <c r="U83" s="63">
        <f>IF(COUNTIF($S$18:$S$498,L83)=0,"",SUMIF($S$18:$S$498,L83,$T$18:$T$498))</f>
        <v>0</v>
      </c>
      <c r="V83" s="63" t="str">
        <f>IF(H83="","",IFERROR(H83+U83,H83))</f>
        <v/>
      </c>
      <c r="W83" s="63" t="str">
        <f>IF(OR(V83="",C83=""),"",V83/C83)</f>
        <v/>
      </c>
      <c r="X83" s="11" t="str">
        <f>IF(A83="","",IF(AND(U83&lt;&gt;"",U83&lt;&gt;0,M83=0),"Replacement lot receiving wash basis",IF(J83="","",IF(J83&gt;=0,"",IF(O83=0,"No replacement buy found",IF(P83&gt;1,"Manual selection needed","Auto matched"))))))</f>
        <v/>
      </c>
      <c r="Z83" t="str">
        <f>IF(K83="Yes",COUNTIF($K$18:K83,"Yes"),"")</f>
        <v/>
      </c>
    </row>
    <row r="84" spans="1:26" ht="33.75" customHeight="1" x14ac:dyDescent="0.2">
      <c r="A84" s="9"/>
      <c r="B84" s="69"/>
      <c r="C84" s="30"/>
      <c r="D84" s="70"/>
      <c r="E84" s="69"/>
      <c r="F84" s="70"/>
      <c r="G84" s="30"/>
      <c r="H84" s="63" t="str">
        <f>IF(OR(C84="",D84=""),"",C84*D84)</f>
        <v/>
      </c>
      <c r="I84" s="63" t="str">
        <f>IF(OR(E84="",F84="",M84&lt;=0),"",M84*F84)</f>
        <v/>
      </c>
      <c r="J84" s="63" t="str">
        <f>IF(I84="","",I84-(M84*D84))</f>
        <v/>
      </c>
      <c r="K84" s="28" t="str">
        <f>IF(A84="","",IF(T84&gt;0,"Yes","No"))</f>
        <v/>
      </c>
      <c r="L84" s="28" t="str">
        <f>IF(A84="","",A84&amp;"-"&amp;TEXT(B84,"yyyymmdd")&amp;"-R"&amp;ROW())</f>
        <v/>
      </c>
      <c r="M84" s="28" t="str">
        <f>IF(OR(C84="",G84=""),"",C84-G84)</f>
        <v/>
      </c>
      <c r="N84" s="63" t="str">
        <f>IF(OR(M84&lt;=0,J84&gt;=0),"",ABS(J84)/M84)</f>
        <v/>
      </c>
      <c r="O84" s="63" t="str">
        <f>IF(OR(A84="",M84&lt;=0,J84&gt;=0),"",MIN(M84,SUMPRODUCT(($A$18:$A$379=A84)*(IFERROR($B$18:$B$379&gt;=E84-30,0))*(IFERROR($B$18:$B$379&lt;=E84+30,0))*($G$18:$G$379&gt;0)*($L$18:$L$379&lt;&gt;L84)*($G$18:$G$379))+SUMPRODUCT(($A$381:$A$498=A84)*(IFERROR($B$381:$B$498&gt;=E84-30,0))*(IFERROR($B$381:$B$498&lt;=E84+30,0))*($G$381:$G$498&gt;0)*($L$381:$L$498&lt;&gt;L84)*($G$381:$G$498))))</f>
        <v/>
      </c>
      <c r="P84" s="28" t="str">
        <f>IF(OR(A84="",M84&lt;=0,J84&gt;=0),"",SUMPRODUCT(($A$18:$A$379=A84)*(IFERROR($B$18:$B$379&gt;=E84-30,0))*(IFERROR($B$18:$B$379&lt;=E84+30,0))*($G$18:$G$379&gt;0)*($L$18:$L$379&lt;&gt;L84))+SUMPRODUCT(($A$381:$A$498=A84)*(IFERROR($B$381:$B$498&gt;=E84-30,0))*(IFERROR($B$381:$B$498&lt;=E84+30,0))*($G$381:$G$498&gt;0)*($L$381:$L$498&lt;&gt;L84)))</f>
        <v/>
      </c>
      <c r="Q84" s="31" t="str">
        <f>IF(P84=1,IFERROR(INDEX($L$18:$L$379,MATCH(1,INDEX(($A$18:$A$379=A84)*(IFERROR($B$18:$B$379&gt;=E84-30,0))*(IFERROR($B$18:$B$379&lt;=E84+30,0))*($G$18:$G$379&gt;0)*($L$18:$L$379&lt;&gt;L84),0),0)),IFERROR(INDEX($L$381:$L$498,MATCH(1,INDEX(($A$381:$A$498=A84)*(IFERROR($B$381:$B$498&gt;=E84-30,0))*(IFERROR($B$381:$B$498&lt;=E84+30,0))*($G$381:$G$498&gt;0)*($L$381:$L$498&lt;&gt;L84),0),0)),"")),"")</f>
        <v/>
      </c>
      <c r="R84" s="32"/>
      <c r="S84" s="31" t="str">
        <f>IF(R84&lt;&gt;"",R84,Q84)</f>
        <v/>
      </c>
      <c r="T84" s="63">
        <f>IF(OR(N84="",O84=0),0,N84*O84)</f>
        <v>0</v>
      </c>
      <c r="U84" s="63">
        <f>IF(COUNTIF($S$18:$S$498,L84)=0,"",SUMIF($S$18:$S$498,L84,$T$18:$T$498))</f>
        <v>0</v>
      </c>
      <c r="V84" s="63" t="str">
        <f>IF(H84="","",IFERROR(H84+U84,H84))</f>
        <v/>
      </c>
      <c r="W84" s="63" t="str">
        <f>IF(OR(V84="",C84=""),"",V84/C84)</f>
        <v/>
      </c>
      <c r="X84" s="11" t="str">
        <f>IF(A84="","",IF(AND(U84&lt;&gt;"",U84&lt;&gt;0,M84=0),"Replacement lot receiving wash basis",IF(J84="","",IF(J84&gt;=0,"",IF(O84=0,"No replacement buy found",IF(P84&gt;1,"Manual selection needed","Auto matched"))))))</f>
        <v/>
      </c>
      <c r="Z84" t="str">
        <f>IF(K84="Yes",COUNTIF($K$18:K84,"Yes"),"")</f>
        <v/>
      </c>
    </row>
    <row r="85" spans="1:26" ht="34.15" customHeight="1" x14ac:dyDescent="0.2">
      <c r="A85" s="9"/>
      <c r="B85" s="69"/>
      <c r="C85" s="30"/>
      <c r="D85" s="70"/>
      <c r="E85" s="69"/>
      <c r="F85" s="70"/>
      <c r="G85" s="30"/>
      <c r="H85" s="63" t="str">
        <f>IF(OR(C85="",D85=""),"",C85*D85)</f>
        <v/>
      </c>
      <c r="I85" s="63" t="str">
        <f>IF(OR(E85="",F85="",M85&lt;=0),"",M85*F85)</f>
        <v/>
      </c>
      <c r="J85" s="63" t="str">
        <f>IF(I85="","",I85-(M85*D85))</f>
        <v/>
      </c>
      <c r="K85" s="28" t="str">
        <f>IF(A85="","",IF(T85&gt;0,"Yes","No"))</f>
        <v/>
      </c>
      <c r="L85" s="28" t="str">
        <f>IF(A85="","",A85&amp;"-"&amp;TEXT(B85,"yyyymmdd")&amp;"-R"&amp;ROW())</f>
        <v/>
      </c>
      <c r="M85" s="28" t="str">
        <f>IF(OR(C85="",G85=""),"",C85-G85)</f>
        <v/>
      </c>
      <c r="N85" s="63" t="str">
        <f>IF(OR(M85&lt;=0,J85&gt;=0),"",ABS(J85)/M85)</f>
        <v/>
      </c>
      <c r="O85" s="63" t="str">
        <f>IF(OR(A85="",M85&lt;=0,J85&gt;=0),"",MIN(M85,SUMPRODUCT(($A$18:$A$379=A85)*(IFERROR($B$18:$B$379&gt;=E85-30,0))*(IFERROR($B$18:$B$379&lt;=E85+30,0))*($G$18:$G$379&gt;0)*($L$18:$L$379&lt;&gt;L85)*($G$18:$G$379))+SUMPRODUCT(($A$381:$A$498=A85)*(IFERROR($B$381:$B$498&gt;=E85-30,0))*(IFERROR($B$381:$B$498&lt;=E85+30,0))*($G$381:$G$498&gt;0)*($L$381:$L$498&lt;&gt;L85)*($G$381:$G$498))))</f>
        <v/>
      </c>
      <c r="P85" s="28" t="str">
        <f>IF(OR(A85="",M85&lt;=0,J85&gt;=0),"",SUMPRODUCT(($A$18:$A$379=A85)*(IFERROR($B$18:$B$379&gt;=E85-30,0))*(IFERROR($B$18:$B$379&lt;=E85+30,0))*($G$18:$G$379&gt;0)*($L$18:$L$379&lt;&gt;L85))+SUMPRODUCT(($A$381:$A$498=A85)*(IFERROR($B$381:$B$498&gt;=E85-30,0))*(IFERROR($B$381:$B$498&lt;=E85+30,0))*($G$381:$G$498&gt;0)*($L$381:$L$498&lt;&gt;L85)))</f>
        <v/>
      </c>
      <c r="Q85" s="31" t="str">
        <f>IF(P85=1,IFERROR(INDEX($L$18:$L$379,MATCH(1,INDEX(($A$18:$A$379=A85)*(IFERROR($B$18:$B$379&gt;=E85-30,0))*(IFERROR($B$18:$B$379&lt;=E85+30,0))*($G$18:$G$379&gt;0)*($L$18:$L$379&lt;&gt;L85),0),0)),IFERROR(INDEX($L$381:$L$498,MATCH(1,INDEX(($A$381:$A$498=A85)*(IFERROR($B$381:$B$498&gt;=E85-30,0))*(IFERROR($B$381:$B$498&lt;=E85+30,0))*($G$381:$G$498&gt;0)*($L$381:$L$498&lt;&gt;L85),0),0)),"")),"")</f>
        <v/>
      </c>
      <c r="R85" s="32"/>
      <c r="S85" s="31" t="str">
        <f>IF(R85&lt;&gt;"",R85,Q85)</f>
        <v/>
      </c>
      <c r="T85" s="63">
        <f>IF(OR(N85="",O85=0),0,N85*O85)</f>
        <v>0</v>
      </c>
      <c r="U85" s="63">
        <f>IF(COUNTIF($S$18:$S$498,L85)=0,"",SUMIF($S$18:$S$498,L85,$T$18:$T$498))</f>
        <v>0</v>
      </c>
      <c r="V85" s="63" t="str">
        <f>IF(H85="","",IFERROR(H85+U85,H85))</f>
        <v/>
      </c>
      <c r="W85" s="63" t="str">
        <f>IF(OR(V85="",C85=""),"",V85/C85)</f>
        <v/>
      </c>
      <c r="X85" s="11" t="str">
        <f>IF(A85="","",IF(AND(U85&lt;&gt;"",U85&lt;&gt;0,M85=0),"Replacement lot receiving wash basis",IF(J85="","",IF(J85&gt;=0,"",IF(O85=0,"No replacement buy found",IF(P85&gt;1,"Manual selection needed","Auto matched"))))))</f>
        <v/>
      </c>
      <c r="Z85" t="str">
        <f>IF(K85="Yes",COUNTIF($K$18:K85,"Yes"),"")</f>
        <v/>
      </c>
    </row>
    <row r="86" spans="1:26" ht="34.15" customHeight="1" x14ac:dyDescent="0.2">
      <c r="A86" s="9"/>
      <c r="B86" s="69"/>
      <c r="C86" s="30"/>
      <c r="D86" s="70"/>
      <c r="E86" s="69"/>
      <c r="F86" s="70"/>
      <c r="G86" s="30"/>
      <c r="H86" s="63" t="str">
        <f>IF(OR(C86="",D86=""),"",C86*D86)</f>
        <v/>
      </c>
      <c r="I86" s="63" t="str">
        <f>IF(OR(E86="",F86="",M86&lt;=0),"",M86*F86)</f>
        <v/>
      </c>
      <c r="J86" s="63" t="str">
        <f>IF(I86="","",I86-(M86*D86))</f>
        <v/>
      </c>
      <c r="K86" s="28" t="str">
        <f>IF(A86="","",IF(T86&gt;0,"Yes","No"))</f>
        <v/>
      </c>
      <c r="L86" s="28" t="str">
        <f>IF(A86="","",A86&amp;"-"&amp;TEXT(B86,"yyyymmdd")&amp;"-R"&amp;ROW())</f>
        <v/>
      </c>
      <c r="M86" s="28" t="str">
        <f>IF(OR(C86="",G86=""),"",C86-G86)</f>
        <v/>
      </c>
      <c r="N86" s="63" t="str">
        <f>IF(OR(M86&lt;=0,J86&gt;=0),"",ABS(J86)/M86)</f>
        <v/>
      </c>
      <c r="O86" s="63" t="str">
        <f>IF(OR(A86="",M86&lt;=0,J86&gt;=0),"",MIN(M86,SUMPRODUCT(($A$18:$A$379=A86)*(IFERROR($B$18:$B$379&gt;=E86-30,0))*(IFERROR($B$18:$B$379&lt;=E86+30,0))*($G$18:$G$379&gt;0)*($L$18:$L$379&lt;&gt;L86)*($G$18:$G$379))+SUMPRODUCT(($A$381:$A$498=A86)*(IFERROR($B$381:$B$498&gt;=E86-30,0))*(IFERROR($B$381:$B$498&lt;=E86+30,0))*($G$381:$G$498&gt;0)*($L$381:$L$498&lt;&gt;L86)*($G$381:$G$498))))</f>
        <v/>
      </c>
      <c r="P86" s="28" t="str">
        <f>IF(OR(A86="",M86&lt;=0,J86&gt;=0),"",SUMPRODUCT(($A$18:$A$379=A86)*(IFERROR($B$18:$B$379&gt;=E86-30,0))*(IFERROR($B$18:$B$379&lt;=E86+30,0))*($G$18:$G$379&gt;0)*($L$18:$L$379&lt;&gt;L86))+SUMPRODUCT(($A$381:$A$498=A86)*(IFERROR($B$381:$B$498&gt;=E86-30,0))*(IFERROR($B$381:$B$498&lt;=E86+30,0))*($G$381:$G$498&gt;0)*($L$381:$L$498&lt;&gt;L86)))</f>
        <v/>
      </c>
      <c r="Q86" s="31" t="str">
        <f>IF(P86=1,IFERROR(INDEX($L$18:$L$379,MATCH(1,INDEX(($A$18:$A$379=A86)*(IFERROR($B$18:$B$379&gt;=E86-30,0))*(IFERROR($B$18:$B$379&lt;=E86+30,0))*($G$18:$G$379&gt;0)*($L$18:$L$379&lt;&gt;L86),0),0)),IFERROR(INDEX($L$381:$L$498,MATCH(1,INDEX(($A$381:$A$498=A86)*(IFERROR($B$381:$B$498&gt;=E86-30,0))*(IFERROR($B$381:$B$498&lt;=E86+30,0))*($G$381:$G$498&gt;0)*($L$381:$L$498&lt;&gt;L86),0),0)),"")),"")</f>
        <v/>
      </c>
      <c r="R86" s="32"/>
      <c r="S86" s="31" t="str">
        <f>IF(R86&lt;&gt;"",R86,Q86)</f>
        <v/>
      </c>
      <c r="T86" s="63">
        <f>IF(OR(N86="",O86=0),0,N86*O86)</f>
        <v>0</v>
      </c>
      <c r="U86" s="63">
        <f>IF(COUNTIF($S$18:$S$498,L86)=0,"",SUMIF($S$18:$S$498,L86,$T$18:$T$498))</f>
        <v>0</v>
      </c>
      <c r="V86" s="63" t="str">
        <f>IF(H86="","",IFERROR(H86+U86,H86))</f>
        <v/>
      </c>
      <c r="W86" s="63" t="str">
        <f>IF(OR(V86="",C86=""),"",V86/C86)</f>
        <v/>
      </c>
      <c r="X86" s="11" t="str">
        <f>IF(A86="","",IF(AND(U86&lt;&gt;"",U86&lt;&gt;0,M86=0),"Replacement lot receiving wash basis",IF(J86="","",IF(J86&gt;=0,"",IF(O86=0,"No replacement buy found",IF(P86&gt;1,"Manual selection needed","Auto matched"))))))</f>
        <v/>
      </c>
      <c r="Z86" t="str">
        <f>IF(K86="Yes",COUNTIF($K$18:K86,"Yes"),"")</f>
        <v/>
      </c>
    </row>
    <row r="87" spans="1:26" ht="34.15" customHeight="1" x14ac:dyDescent="0.2">
      <c r="A87" s="9"/>
      <c r="B87" s="69"/>
      <c r="C87" s="30"/>
      <c r="D87" s="70"/>
      <c r="E87" s="69"/>
      <c r="F87" s="70"/>
      <c r="G87" s="30"/>
      <c r="H87" s="63" t="str">
        <f>IF(OR(C87="",D87=""),"",C87*D87)</f>
        <v/>
      </c>
      <c r="I87" s="63" t="str">
        <f>IF(OR(E87="",F87="",M87&lt;=0),"",M87*F87)</f>
        <v/>
      </c>
      <c r="J87" s="63" t="str">
        <f>IF(I87="","",I87-(M87*D87))</f>
        <v/>
      </c>
      <c r="K87" s="28" t="str">
        <f>IF(A87="","",IF(T87&gt;0,"Yes","No"))</f>
        <v/>
      </c>
      <c r="L87" s="28" t="str">
        <f>IF(A87="","",A87&amp;"-"&amp;TEXT(B87,"yyyymmdd")&amp;"-R"&amp;ROW())</f>
        <v/>
      </c>
      <c r="M87" s="28" t="str">
        <f>IF(OR(C87="",G87=""),"",C87-G87)</f>
        <v/>
      </c>
      <c r="N87" s="63" t="str">
        <f>IF(OR(M87&lt;=0,J87&gt;=0),"",ABS(J87)/M87)</f>
        <v/>
      </c>
      <c r="O87" s="63" t="str">
        <f>IF(OR(A87="",M87&lt;=0,J87&gt;=0),"",MIN(M87,SUMPRODUCT(($A$18:$A$379=A87)*(IFERROR($B$18:$B$379&gt;=E87-30,0))*(IFERROR($B$18:$B$379&lt;=E87+30,0))*($G$18:$G$379&gt;0)*($L$18:$L$379&lt;&gt;L87)*($G$18:$G$379))+SUMPRODUCT(($A$381:$A$498=A87)*(IFERROR($B$381:$B$498&gt;=E87-30,0))*(IFERROR($B$381:$B$498&lt;=E87+30,0))*($G$381:$G$498&gt;0)*($L$381:$L$498&lt;&gt;L87)*($G$381:$G$498))))</f>
        <v/>
      </c>
      <c r="P87" s="28" t="str">
        <f>IF(OR(A87="",M87&lt;=0,J87&gt;=0),"",SUMPRODUCT(($A$18:$A$379=A87)*(IFERROR($B$18:$B$379&gt;=E87-30,0))*(IFERROR($B$18:$B$379&lt;=E87+30,0))*($G$18:$G$379&gt;0)*($L$18:$L$379&lt;&gt;L87))+SUMPRODUCT(($A$381:$A$498=A87)*(IFERROR($B$381:$B$498&gt;=E87-30,0))*(IFERROR($B$381:$B$498&lt;=E87+30,0))*($G$381:$G$498&gt;0)*($L$381:$L$498&lt;&gt;L87)))</f>
        <v/>
      </c>
      <c r="Q87" s="31" t="str">
        <f>IF(P87=1,IFERROR(INDEX($L$18:$L$379,MATCH(1,INDEX(($A$18:$A$379=A87)*(IFERROR($B$18:$B$379&gt;=E87-30,0))*(IFERROR($B$18:$B$379&lt;=E87+30,0))*($G$18:$G$379&gt;0)*($L$18:$L$379&lt;&gt;L87),0),0)),IFERROR(INDEX($L$381:$L$498,MATCH(1,INDEX(($A$381:$A$498=A87)*(IFERROR($B$381:$B$498&gt;=E87-30,0))*(IFERROR($B$381:$B$498&lt;=E87+30,0))*($G$381:$G$498&gt;0)*($L$381:$L$498&lt;&gt;L87),0),0)),"")),"")</f>
        <v/>
      </c>
      <c r="R87" s="32"/>
      <c r="S87" s="31" t="str">
        <f>IF(R87&lt;&gt;"",R87,Q87)</f>
        <v/>
      </c>
      <c r="T87" s="63">
        <f>IF(OR(N87="",O87=0),0,N87*O87)</f>
        <v>0</v>
      </c>
      <c r="U87" s="63">
        <f>IF(COUNTIF($S$18:$S$498,L87)=0,"",SUMIF($S$18:$S$498,L87,$T$18:$T$498))</f>
        <v>0</v>
      </c>
      <c r="V87" s="63" t="str">
        <f>IF(H87="","",IFERROR(H87+U87,H87))</f>
        <v/>
      </c>
      <c r="W87" s="63" t="str">
        <f>IF(OR(V87="",C87=""),"",V87/C87)</f>
        <v/>
      </c>
      <c r="X87" s="11" t="str">
        <f>IF(A87="","",IF(AND(U87&lt;&gt;"",U87&lt;&gt;0,M87=0),"Replacement lot receiving wash basis",IF(J87="","",IF(J87&gt;=0,"",IF(O87=0,"No replacement buy found",IF(P87&gt;1,"Manual selection needed","Auto matched"))))))</f>
        <v/>
      </c>
      <c r="Z87" t="str">
        <f>IF(K87="Yes",COUNTIF($K$18:K87,"Yes"),"")</f>
        <v/>
      </c>
    </row>
    <row r="88" spans="1:26" ht="34.15" customHeight="1" x14ac:dyDescent="0.2">
      <c r="A88" s="9"/>
      <c r="B88" s="69"/>
      <c r="C88" s="30"/>
      <c r="D88" s="70"/>
      <c r="E88" s="69"/>
      <c r="F88" s="70"/>
      <c r="G88" s="30"/>
      <c r="H88" s="63" t="str">
        <f>IF(OR(C88="",D88=""),"",C88*D88)</f>
        <v/>
      </c>
      <c r="I88" s="63" t="str">
        <f>IF(OR(E88="",F88="",M88&lt;=0),"",M88*F88)</f>
        <v/>
      </c>
      <c r="J88" s="63" t="str">
        <f>IF(I88="","",I88-(M88*D88))</f>
        <v/>
      </c>
      <c r="K88" s="28" t="str">
        <f>IF(A88="","",IF(T88&gt;0,"Yes","No"))</f>
        <v/>
      </c>
      <c r="L88" s="28" t="str">
        <f>IF(A88="","",A88&amp;"-"&amp;TEXT(B88,"yyyymmdd")&amp;"-R"&amp;ROW())</f>
        <v/>
      </c>
      <c r="M88" s="28" t="str">
        <f>IF(OR(C88="",G88=""),"",C88-G88)</f>
        <v/>
      </c>
      <c r="N88" s="63" t="str">
        <f>IF(OR(M88&lt;=0,J88&gt;=0),"",ABS(J88)/M88)</f>
        <v/>
      </c>
      <c r="O88" s="63" t="str">
        <f>IF(OR(A88="",M88&lt;=0,J88&gt;=0),"",MIN(M88,SUMPRODUCT(($A$18:$A$379=A88)*(IFERROR($B$18:$B$379&gt;=E88-30,0))*(IFERROR($B$18:$B$379&lt;=E88+30,0))*($G$18:$G$379&gt;0)*($L$18:$L$379&lt;&gt;L88)*($G$18:$G$379))+SUMPRODUCT(($A$381:$A$498=A88)*(IFERROR($B$381:$B$498&gt;=E88-30,0))*(IFERROR($B$381:$B$498&lt;=E88+30,0))*($G$381:$G$498&gt;0)*($L$381:$L$498&lt;&gt;L88)*($G$381:$G$498))))</f>
        <v/>
      </c>
      <c r="P88" s="28" t="str">
        <f>IF(OR(A88="",M88&lt;=0,J88&gt;=0),"",SUMPRODUCT(($A$18:$A$379=A88)*(IFERROR($B$18:$B$379&gt;=E88-30,0))*(IFERROR($B$18:$B$379&lt;=E88+30,0))*($G$18:$G$379&gt;0)*($L$18:$L$379&lt;&gt;L88))+SUMPRODUCT(($A$381:$A$498=A88)*(IFERROR($B$381:$B$498&gt;=E88-30,0))*(IFERROR($B$381:$B$498&lt;=E88+30,0))*($G$381:$G$498&gt;0)*($L$381:$L$498&lt;&gt;L88)))</f>
        <v/>
      </c>
      <c r="Q88" s="31" t="str">
        <f>IF(P88=1,IFERROR(INDEX($L$18:$L$379,MATCH(1,INDEX(($A$18:$A$379=A88)*(IFERROR($B$18:$B$379&gt;=E88-30,0))*(IFERROR($B$18:$B$379&lt;=E88+30,0))*($G$18:$G$379&gt;0)*($L$18:$L$379&lt;&gt;L88),0),0)),IFERROR(INDEX($L$381:$L$498,MATCH(1,INDEX(($A$381:$A$498=A88)*(IFERROR($B$381:$B$498&gt;=E88-30,0))*(IFERROR($B$381:$B$498&lt;=E88+30,0))*($G$381:$G$498&gt;0)*($L$381:$L$498&lt;&gt;L88),0),0)),"")),"")</f>
        <v/>
      </c>
      <c r="R88" s="32"/>
      <c r="S88" s="31" t="str">
        <f>IF(R88&lt;&gt;"",R88,Q88)</f>
        <v/>
      </c>
      <c r="T88" s="63">
        <f>IF(OR(N88="",O88=0),0,N88*O88)</f>
        <v>0</v>
      </c>
      <c r="U88" s="63">
        <f>IF(COUNTIF($S$18:$S$498,L88)=0,"",SUMIF($S$18:$S$498,L88,$T$18:$T$498))</f>
        <v>0</v>
      </c>
      <c r="V88" s="63" t="str">
        <f>IF(H88="","",IFERROR(H88+U88,H88))</f>
        <v/>
      </c>
      <c r="W88" s="63" t="str">
        <f>IF(OR(V88="",C88=""),"",V88/C88)</f>
        <v/>
      </c>
      <c r="X88" s="11" t="str">
        <f>IF(A88="","",IF(AND(U88&lt;&gt;"",U88&lt;&gt;0,M88=0),"Replacement lot receiving wash basis",IF(J88="","",IF(J88&gt;=0,"",IF(O88=0,"No replacement buy found",IF(P88&gt;1,"Manual selection needed","Auto matched"))))))</f>
        <v/>
      </c>
      <c r="Z88" t="str">
        <f>IF(K88="Yes",COUNTIF($K$18:K88,"Yes"),"")</f>
        <v/>
      </c>
    </row>
    <row r="89" spans="1:26" ht="34.15" customHeight="1" x14ac:dyDescent="0.2">
      <c r="A89" s="9"/>
      <c r="B89" s="69"/>
      <c r="C89" s="30"/>
      <c r="D89" s="70"/>
      <c r="E89" s="69"/>
      <c r="F89" s="70"/>
      <c r="G89" s="30"/>
      <c r="H89" s="63" t="str">
        <f>IF(OR(C89="",D89=""),"",C89*D89)</f>
        <v/>
      </c>
      <c r="I89" s="63" t="str">
        <f>IF(OR(E89="",F89="",M89&lt;=0),"",M89*F89)</f>
        <v/>
      </c>
      <c r="J89" s="63" t="str">
        <f>IF(I89="","",I89-(M89*D89))</f>
        <v/>
      </c>
      <c r="K89" s="28" t="str">
        <f>IF(A89="","",IF(T89&gt;0,"Yes","No"))</f>
        <v/>
      </c>
      <c r="L89" s="28" t="str">
        <f>IF(A89="","",A89&amp;"-"&amp;TEXT(B89,"yyyymmdd")&amp;"-R"&amp;ROW())</f>
        <v/>
      </c>
      <c r="M89" s="28" t="str">
        <f>IF(OR(C89="",G89=""),"",C89-G89)</f>
        <v/>
      </c>
      <c r="N89" s="63" t="str">
        <f>IF(OR(M89&lt;=0,J89&gt;=0),"",ABS(J89)/M89)</f>
        <v/>
      </c>
      <c r="O89" s="63" t="str">
        <f>IF(OR(A89="",M89&lt;=0,J89&gt;=0),"",MIN(M89,SUMPRODUCT(($A$18:$A$379=A89)*(IFERROR($B$18:$B$379&gt;=E89-30,0))*(IFERROR($B$18:$B$379&lt;=E89+30,0))*($G$18:$G$379&gt;0)*($L$18:$L$379&lt;&gt;L89)*($G$18:$G$379))+SUMPRODUCT(($A$381:$A$498=A89)*(IFERROR($B$381:$B$498&gt;=E89-30,0))*(IFERROR($B$381:$B$498&lt;=E89+30,0))*($G$381:$G$498&gt;0)*($L$381:$L$498&lt;&gt;L89)*($G$381:$G$498))))</f>
        <v/>
      </c>
      <c r="P89" s="28" t="str">
        <f>IF(OR(A89="",M89&lt;=0,J89&gt;=0),"",SUMPRODUCT(($A$18:$A$379=A89)*(IFERROR($B$18:$B$379&gt;=E89-30,0))*(IFERROR($B$18:$B$379&lt;=E89+30,0))*($G$18:$G$379&gt;0)*($L$18:$L$379&lt;&gt;L89))+SUMPRODUCT(($A$381:$A$498=A89)*(IFERROR($B$381:$B$498&gt;=E89-30,0))*(IFERROR($B$381:$B$498&lt;=E89+30,0))*($G$381:$G$498&gt;0)*($L$381:$L$498&lt;&gt;L89)))</f>
        <v/>
      </c>
      <c r="Q89" s="31" t="str">
        <f>IF(P89=1,IFERROR(INDEX($L$18:$L$379,MATCH(1,INDEX(($A$18:$A$379=A89)*(IFERROR($B$18:$B$379&gt;=E89-30,0))*(IFERROR($B$18:$B$379&lt;=E89+30,0))*($G$18:$G$379&gt;0)*($L$18:$L$379&lt;&gt;L89),0),0)),IFERROR(INDEX($L$381:$L$498,MATCH(1,INDEX(($A$381:$A$498=A89)*(IFERROR($B$381:$B$498&gt;=E89-30,0))*(IFERROR($B$381:$B$498&lt;=E89+30,0))*($G$381:$G$498&gt;0)*($L$381:$L$498&lt;&gt;L89),0),0)),"")),"")</f>
        <v/>
      </c>
      <c r="R89" s="32"/>
      <c r="S89" s="31" t="str">
        <f>IF(R89&lt;&gt;"",R89,Q89)</f>
        <v/>
      </c>
      <c r="T89" s="63">
        <f>IF(OR(N89="",O89=0),0,N89*O89)</f>
        <v>0</v>
      </c>
      <c r="U89" s="63">
        <f>IF(COUNTIF($S$18:$S$498,L89)=0,"",SUMIF($S$18:$S$498,L89,$T$18:$T$498))</f>
        <v>0</v>
      </c>
      <c r="V89" s="63" t="str">
        <f>IF(H89="","",IFERROR(H89+U89,H89))</f>
        <v/>
      </c>
      <c r="W89" s="63" t="str">
        <f>IF(OR(V89="",C89=""),"",V89/C89)</f>
        <v/>
      </c>
      <c r="X89" s="11" t="str">
        <f>IF(A89="","",IF(AND(U89&lt;&gt;"",U89&lt;&gt;0,M89=0),"Replacement lot receiving wash basis",IF(J89="","",IF(J89&gt;=0,"",IF(O89=0,"No replacement buy found",IF(P89&gt;1,"Manual selection needed","Auto matched"))))))</f>
        <v/>
      </c>
      <c r="Z89" t="str">
        <f>IF(K89="Yes",COUNTIF($K$18:K89,"Yes"),"")</f>
        <v/>
      </c>
    </row>
    <row r="90" spans="1:26" ht="34.15" customHeight="1" x14ac:dyDescent="0.2">
      <c r="A90" s="9"/>
      <c r="B90" s="69"/>
      <c r="C90" s="30"/>
      <c r="D90" s="70"/>
      <c r="E90" s="69"/>
      <c r="F90" s="70"/>
      <c r="G90" s="30"/>
      <c r="H90" s="63" t="str">
        <f>IF(OR(C90="",D90=""),"",C90*D90)</f>
        <v/>
      </c>
      <c r="I90" s="63" t="str">
        <f>IF(OR(E90="",F90="",M90&lt;=0),"",M90*F90)</f>
        <v/>
      </c>
      <c r="J90" s="63" t="str">
        <f>IF(I90="","",I90-(M90*D90))</f>
        <v/>
      </c>
      <c r="K90" s="28" t="str">
        <f>IF(A90="","",IF(T90&gt;0,"Yes","No"))</f>
        <v/>
      </c>
      <c r="L90" s="28" t="str">
        <f>IF(A90="","",A90&amp;"-"&amp;TEXT(B90,"yyyymmdd")&amp;"-R"&amp;ROW())</f>
        <v/>
      </c>
      <c r="M90" s="28" t="str">
        <f>IF(OR(C90="",G90=""),"",C90-G90)</f>
        <v/>
      </c>
      <c r="N90" s="63" t="str">
        <f>IF(OR(M90&lt;=0,J90&gt;=0),"",ABS(J90)/M90)</f>
        <v/>
      </c>
      <c r="O90" s="63" t="str">
        <f>IF(OR(A90="",M90&lt;=0,J90&gt;=0),"",MIN(M90,SUMPRODUCT(($A$18:$A$379=A90)*(IFERROR($B$18:$B$379&gt;=E90-30,0))*(IFERROR($B$18:$B$379&lt;=E90+30,0))*($G$18:$G$379&gt;0)*($L$18:$L$379&lt;&gt;L90)*($G$18:$G$379))+SUMPRODUCT(($A$381:$A$498=A90)*(IFERROR($B$381:$B$498&gt;=E90-30,0))*(IFERROR($B$381:$B$498&lt;=E90+30,0))*($G$381:$G$498&gt;0)*($L$381:$L$498&lt;&gt;L90)*($G$381:$G$498))))</f>
        <v/>
      </c>
      <c r="P90" s="28" t="str">
        <f>IF(OR(A90="",M90&lt;=0,J90&gt;=0),"",SUMPRODUCT(($A$18:$A$379=A90)*(IFERROR($B$18:$B$379&gt;=E90-30,0))*(IFERROR($B$18:$B$379&lt;=E90+30,0))*($G$18:$G$379&gt;0)*($L$18:$L$379&lt;&gt;L90))+SUMPRODUCT(($A$381:$A$498=A90)*(IFERROR($B$381:$B$498&gt;=E90-30,0))*(IFERROR($B$381:$B$498&lt;=E90+30,0))*($G$381:$G$498&gt;0)*($L$381:$L$498&lt;&gt;L90)))</f>
        <v/>
      </c>
      <c r="Q90" s="31" t="str">
        <f>IF(P90=1,IFERROR(INDEX($L$18:$L$379,MATCH(1,INDEX(($A$18:$A$379=A90)*(IFERROR($B$18:$B$379&gt;=E90-30,0))*(IFERROR($B$18:$B$379&lt;=E90+30,0))*($G$18:$G$379&gt;0)*($L$18:$L$379&lt;&gt;L90),0),0)),IFERROR(INDEX($L$381:$L$498,MATCH(1,INDEX(($A$381:$A$498=A90)*(IFERROR($B$381:$B$498&gt;=E90-30,0))*(IFERROR($B$381:$B$498&lt;=E90+30,0))*($G$381:$G$498&gt;0)*($L$381:$L$498&lt;&gt;L90),0),0)),"")),"")</f>
        <v/>
      </c>
      <c r="R90" s="32"/>
      <c r="S90" s="31" t="str">
        <f>IF(R90&lt;&gt;"",R90,Q90)</f>
        <v/>
      </c>
      <c r="T90" s="63">
        <f>IF(OR(N90="",O90=0),0,N90*O90)</f>
        <v>0</v>
      </c>
      <c r="U90" s="63">
        <f>IF(COUNTIF($S$18:$S$498,L90)=0,"",SUMIF($S$18:$S$498,L90,$T$18:$T$498))</f>
        <v>0</v>
      </c>
      <c r="V90" s="63" t="str">
        <f>IF(H90="","",IFERROR(H90+U90,H90))</f>
        <v/>
      </c>
      <c r="W90" s="63" t="str">
        <f>IF(OR(V90="",C90=""),"",V90/C90)</f>
        <v/>
      </c>
      <c r="X90" s="11" t="str">
        <f>IF(A90="","",IF(AND(U90&lt;&gt;"",U90&lt;&gt;0,M90=0),"Replacement lot receiving wash basis",IF(J90="","",IF(J90&gt;=0,"",IF(O90=0,"No replacement buy found",IF(P90&gt;1,"Manual selection needed","Auto matched"))))))</f>
        <v/>
      </c>
      <c r="Z90" t="str">
        <f>IF(K90="Yes",COUNTIF($K$18:K90,"Yes"),"")</f>
        <v/>
      </c>
    </row>
    <row r="91" spans="1:26" ht="34.15" customHeight="1" x14ac:dyDescent="0.2">
      <c r="A91" s="9"/>
      <c r="B91" s="69"/>
      <c r="C91" s="30"/>
      <c r="D91" s="70"/>
      <c r="E91" s="69"/>
      <c r="F91" s="70"/>
      <c r="G91" s="30"/>
      <c r="H91" s="63" t="str">
        <f>IF(OR(C91="",D91=""),"",C91*D91)</f>
        <v/>
      </c>
      <c r="I91" s="63" t="str">
        <f>IF(OR(E91="",F91="",M91&lt;=0),"",M91*F91)</f>
        <v/>
      </c>
      <c r="J91" s="63" t="str">
        <f>IF(I91="","",I91-(M91*D91))</f>
        <v/>
      </c>
      <c r="K91" s="28" t="str">
        <f>IF(A91="","",IF(T91&gt;0,"Yes","No"))</f>
        <v/>
      </c>
      <c r="L91" s="28" t="str">
        <f>IF(A91="","",A91&amp;"-"&amp;TEXT(B91,"yyyymmdd")&amp;"-R"&amp;ROW())</f>
        <v/>
      </c>
      <c r="M91" s="28" t="str">
        <f>IF(OR(C91="",G91=""),"",C91-G91)</f>
        <v/>
      </c>
      <c r="N91" s="63" t="str">
        <f>IF(OR(M91&lt;=0,J91&gt;=0),"",ABS(J91)/M91)</f>
        <v/>
      </c>
      <c r="O91" s="63" t="str">
        <f>IF(OR(A91="",M91&lt;=0,J91&gt;=0),"",MIN(M91,SUMPRODUCT(($A$18:$A$379=A91)*(IFERROR($B$18:$B$379&gt;=E91-30,0))*(IFERROR($B$18:$B$379&lt;=E91+30,0))*($G$18:$G$379&gt;0)*($L$18:$L$379&lt;&gt;L91)*($G$18:$G$379))+SUMPRODUCT(($A$381:$A$498=A91)*(IFERROR($B$381:$B$498&gt;=E91-30,0))*(IFERROR($B$381:$B$498&lt;=E91+30,0))*($G$381:$G$498&gt;0)*($L$381:$L$498&lt;&gt;L91)*($G$381:$G$498))))</f>
        <v/>
      </c>
      <c r="P91" s="28" t="str">
        <f>IF(OR(A91="",M91&lt;=0,J91&gt;=0),"",SUMPRODUCT(($A$18:$A$379=A91)*(IFERROR($B$18:$B$379&gt;=E91-30,0))*(IFERROR($B$18:$B$379&lt;=E91+30,0))*($G$18:$G$379&gt;0)*($L$18:$L$379&lt;&gt;L91))+SUMPRODUCT(($A$381:$A$498=A91)*(IFERROR($B$381:$B$498&gt;=E91-30,0))*(IFERROR($B$381:$B$498&lt;=E91+30,0))*($G$381:$G$498&gt;0)*($L$381:$L$498&lt;&gt;L91)))</f>
        <v/>
      </c>
      <c r="Q91" s="31" t="str">
        <f>IF(P91=1,IFERROR(INDEX($L$18:$L$379,MATCH(1,INDEX(($A$18:$A$379=A91)*(IFERROR($B$18:$B$379&gt;=E91-30,0))*(IFERROR($B$18:$B$379&lt;=E91+30,0))*($G$18:$G$379&gt;0)*($L$18:$L$379&lt;&gt;L91),0),0)),IFERROR(INDEX($L$381:$L$498,MATCH(1,INDEX(($A$381:$A$498=A91)*(IFERROR($B$381:$B$498&gt;=E91-30,0))*(IFERROR($B$381:$B$498&lt;=E91+30,0))*($G$381:$G$498&gt;0)*($L$381:$L$498&lt;&gt;L91),0),0)),"")),"")</f>
        <v/>
      </c>
      <c r="R91" s="32"/>
      <c r="S91" s="31" t="str">
        <f>IF(R91&lt;&gt;"",R91,Q91)</f>
        <v/>
      </c>
      <c r="T91" s="63">
        <f>IF(OR(N91="",O91=0),0,N91*O91)</f>
        <v>0</v>
      </c>
      <c r="U91" s="63">
        <f>IF(COUNTIF($S$18:$S$498,L91)=0,"",SUMIF($S$18:$S$498,L91,$T$18:$T$498))</f>
        <v>0</v>
      </c>
      <c r="V91" s="63" t="str">
        <f>IF(H91="","",IFERROR(H91+U91,H91))</f>
        <v/>
      </c>
      <c r="W91" s="63" t="str">
        <f>IF(OR(V91="",C91=""),"",V91/C91)</f>
        <v/>
      </c>
      <c r="X91" s="11" t="str">
        <f>IF(A91="","",IF(AND(U91&lt;&gt;"",U91&lt;&gt;0,M91=0),"Replacement lot receiving wash basis",IF(J91="","",IF(J91&gt;=0,"",IF(O91=0,"No replacement buy found",IF(P91&gt;1,"Manual selection needed","Auto matched"))))))</f>
        <v/>
      </c>
      <c r="Z91" t="str">
        <f>IF(K91="Yes",COUNTIF($K$18:K91,"Yes"),"")</f>
        <v/>
      </c>
    </row>
    <row r="92" spans="1:26" ht="34.15" customHeight="1" x14ac:dyDescent="0.2">
      <c r="A92" s="9"/>
      <c r="B92" s="69"/>
      <c r="C92" s="30"/>
      <c r="D92" s="70"/>
      <c r="E92" s="69"/>
      <c r="F92" s="70"/>
      <c r="G92" s="30"/>
      <c r="H92" s="63" t="str">
        <f>IF(OR(C92="",D92=""),"",C92*D92)</f>
        <v/>
      </c>
      <c r="I92" s="63" t="str">
        <f>IF(OR(E92="",F92="",M92&lt;=0),"",M92*F92)</f>
        <v/>
      </c>
      <c r="J92" s="63" t="str">
        <f>IF(I92="","",I92-(M92*D92))</f>
        <v/>
      </c>
      <c r="K92" s="28" t="str">
        <f>IF(A92="","",IF(T92&gt;0,"Yes","No"))</f>
        <v/>
      </c>
      <c r="L92" s="28" t="str">
        <f>IF(A92="","",A92&amp;"-"&amp;TEXT(B92,"yyyymmdd")&amp;"-R"&amp;ROW())</f>
        <v/>
      </c>
      <c r="M92" s="28" t="str">
        <f>IF(OR(C92="",G92=""),"",C92-G92)</f>
        <v/>
      </c>
      <c r="N92" s="63" t="str">
        <f>IF(OR(M92&lt;=0,J92&gt;=0),"",ABS(J92)/M92)</f>
        <v/>
      </c>
      <c r="O92" s="63" t="str">
        <f>IF(OR(A92="",M92&lt;=0,J92&gt;=0),"",MIN(M92,SUMPRODUCT(($A$18:$A$379=A92)*(IFERROR($B$18:$B$379&gt;=E92-30,0))*(IFERROR($B$18:$B$379&lt;=E92+30,0))*($G$18:$G$379&gt;0)*($L$18:$L$379&lt;&gt;L92)*($G$18:$G$379))+SUMPRODUCT(($A$381:$A$498=A92)*(IFERROR($B$381:$B$498&gt;=E92-30,0))*(IFERROR($B$381:$B$498&lt;=E92+30,0))*($G$381:$G$498&gt;0)*($L$381:$L$498&lt;&gt;L92)*($G$381:$G$498))))</f>
        <v/>
      </c>
      <c r="P92" s="28" t="str">
        <f>IF(OR(A92="",M92&lt;=0,J92&gt;=0),"",SUMPRODUCT(($A$18:$A$379=A92)*(IFERROR($B$18:$B$379&gt;=E92-30,0))*(IFERROR($B$18:$B$379&lt;=E92+30,0))*($G$18:$G$379&gt;0)*($L$18:$L$379&lt;&gt;L92))+SUMPRODUCT(($A$381:$A$498=A92)*(IFERROR($B$381:$B$498&gt;=E92-30,0))*(IFERROR($B$381:$B$498&lt;=E92+30,0))*($G$381:$G$498&gt;0)*($L$381:$L$498&lt;&gt;L92)))</f>
        <v/>
      </c>
      <c r="Q92" s="31" t="str">
        <f>IF(P92=1,IFERROR(INDEX($L$18:$L$379,MATCH(1,INDEX(($A$18:$A$379=A92)*(IFERROR($B$18:$B$379&gt;=E92-30,0))*(IFERROR($B$18:$B$379&lt;=E92+30,0))*($G$18:$G$379&gt;0)*($L$18:$L$379&lt;&gt;L92),0),0)),IFERROR(INDEX($L$381:$L$498,MATCH(1,INDEX(($A$381:$A$498=A92)*(IFERROR($B$381:$B$498&gt;=E92-30,0))*(IFERROR($B$381:$B$498&lt;=E92+30,0))*($G$381:$G$498&gt;0)*($L$381:$L$498&lt;&gt;L92),0),0)),"")),"")</f>
        <v/>
      </c>
      <c r="R92" s="32"/>
      <c r="S92" s="31" t="str">
        <f>IF(R92&lt;&gt;"",R92,Q92)</f>
        <v/>
      </c>
      <c r="T92" s="63">
        <f>IF(OR(N92="",O92=0),0,N92*O92)</f>
        <v>0</v>
      </c>
      <c r="U92" s="63">
        <f>IF(COUNTIF($S$18:$S$498,L92)=0,"",SUMIF($S$18:$S$498,L92,$T$18:$T$498))</f>
        <v>0</v>
      </c>
      <c r="V92" s="63" t="str">
        <f>IF(H92="","",IFERROR(H92+U92,H92))</f>
        <v/>
      </c>
      <c r="W92" s="63" t="str">
        <f>IF(OR(V92="",C92=""),"",V92/C92)</f>
        <v/>
      </c>
      <c r="X92" s="11" t="str">
        <f>IF(A92="","",IF(AND(U92&lt;&gt;"",U92&lt;&gt;0,M92=0),"Replacement lot receiving wash basis",IF(J92="","",IF(J92&gt;=0,"",IF(O92=0,"No replacement buy found",IF(P92&gt;1,"Manual selection needed","Auto matched"))))))</f>
        <v/>
      </c>
      <c r="Z92" t="str">
        <f>IF(K92="Yes",COUNTIF($K$18:K92,"Yes"),"")</f>
        <v/>
      </c>
    </row>
    <row r="93" spans="1:26" ht="34.15" customHeight="1" x14ac:dyDescent="0.2">
      <c r="A93" s="9"/>
      <c r="B93" s="69"/>
      <c r="C93" s="30"/>
      <c r="D93" s="70"/>
      <c r="E93" s="69"/>
      <c r="F93" s="70"/>
      <c r="G93" s="30"/>
      <c r="H93" s="63" t="str">
        <f>IF(OR(C93="",D93=""),"",C93*D93)</f>
        <v/>
      </c>
      <c r="I93" s="63" t="str">
        <f>IF(OR(E93="",F93="",M93&lt;=0),"",M93*F93)</f>
        <v/>
      </c>
      <c r="J93" s="63" t="str">
        <f>IF(I93="","",I93-(M93*D93))</f>
        <v/>
      </c>
      <c r="K93" s="28" t="str">
        <f>IF(A93="","",IF(T93&gt;0,"Yes","No"))</f>
        <v/>
      </c>
      <c r="L93" s="28" t="str">
        <f>IF(A93="","",A93&amp;"-"&amp;TEXT(B93,"yyyymmdd")&amp;"-R"&amp;ROW())</f>
        <v/>
      </c>
      <c r="M93" s="28" t="str">
        <f>IF(OR(C93="",G93=""),"",C93-G93)</f>
        <v/>
      </c>
      <c r="N93" s="63" t="str">
        <f>IF(OR(M93&lt;=0,J93&gt;=0),"",ABS(J93)/M93)</f>
        <v/>
      </c>
      <c r="O93" s="63" t="str">
        <f>IF(OR(A93="",M93&lt;=0,J93&gt;=0),"",MIN(M93,SUMPRODUCT(($A$18:$A$379=A93)*(IFERROR($B$18:$B$379&gt;=E93-30,0))*(IFERROR($B$18:$B$379&lt;=E93+30,0))*($G$18:$G$379&gt;0)*($L$18:$L$379&lt;&gt;L93)*($G$18:$G$379))+SUMPRODUCT(($A$381:$A$498=A93)*(IFERROR($B$381:$B$498&gt;=E93-30,0))*(IFERROR($B$381:$B$498&lt;=E93+30,0))*($G$381:$G$498&gt;0)*($L$381:$L$498&lt;&gt;L93)*($G$381:$G$498))))</f>
        <v/>
      </c>
      <c r="P93" s="28" t="str">
        <f>IF(OR(A93="",M93&lt;=0,J93&gt;=0),"",SUMPRODUCT(($A$18:$A$379=A93)*(IFERROR($B$18:$B$379&gt;=E93-30,0))*(IFERROR($B$18:$B$379&lt;=E93+30,0))*($G$18:$G$379&gt;0)*($L$18:$L$379&lt;&gt;L93))+SUMPRODUCT(($A$381:$A$498=A93)*(IFERROR($B$381:$B$498&gt;=E93-30,0))*(IFERROR($B$381:$B$498&lt;=E93+30,0))*($G$381:$G$498&gt;0)*($L$381:$L$498&lt;&gt;L93)))</f>
        <v/>
      </c>
      <c r="Q93" s="31" t="str">
        <f>IF(P93=1,IFERROR(INDEX($L$18:$L$379,MATCH(1,INDEX(($A$18:$A$379=A93)*(IFERROR($B$18:$B$379&gt;=E93-30,0))*(IFERROR($B$18:$B$379&lt;=E93+30,0))*($G$18:$G$379&gt;0)*($L$18:$L$379&lt;&gt;L93),0),0)),IFERROR(INDEX($L$381:$L$498,MATCH(1,INDEX(($A$381:$A$498=A93)*(IFERROR($B$381:$B$498&gt;=E93-30,0))*(IFERROR($B$381:$B$498&lt;=E93+30,0))*($G$381:$G$498&gt;0)*($L$381:$L$498&lt;&gt;L93),0),0)),"")),"")</f>
        <v/>
      </c>
      <c r="R93" s="32"/>
      <c r="S93" s="31" t="str">
        <f>IF(R93&lt;&gt;"",R93,Q93)</f>
        <v/>
      </c>
      <c r="T93" s="63">
        <f>IF(OR(N93="",O93=0),0,N93*O93)</f>
        <v>0</v>
      </c>
      <c r="U93" s="63">
        <f>IF(COUNTIF($S$18:$S$498,L93)=0,"",SUMIF($S$18:$S$498,L93,$T$18:$T$498))</f>
        <v>0</v>
      </c>
      <c r="V93" s="63" t="str">
        <f>IF(H93="","",IFERROR(H93+U93,H93))</f>
        <v/>
      </c>
      <c r="W93" s="63" t="str">
        <f>IF(OR(V93="",C93=""),"",V93/C93)</f>
        <v/>
      </c>
      <c r="X93" s="11" t="str">
        <f>IF(A93="","",IF(AND(U93&lt;&gt;"",U93&lt;&gt;0,M93=0),"Replacement lot receiving wash basis",IF(J93="","",IF(J93&gt;=0,"",IF(O93=0,"No replacement buy found",IF(P93&gt;1,"Manual selection needed","Auto matched"))))))</f>
        <v/>
      </c>
      <c r="Z93" t="str">
        <f>IF(K93="Yes",COUNTIF($K$18:K93,"Yes"),"")</f>
        <v/>
      </c>
    </row>
    <row r="94" spans="1:26" ht="34.15" customHeight="1" x14ac:dyDescent="0.2">
      <c r="A94" s="9"/>
      <c r="B94" s="69"/>
      <c r="C94" s="30"/>
      <c r="D94" s="70"/>
      <c r="E94" s="69"/>
      <c r="F94" s="70"/>
      <c r="G94" s="30"/>
      <c r="H94" s="63" t="str">
        <f>IF(OR(C94="",D94=""),"",C94*D94)</f>
        <v/>
      </c>
      <c r="I94" s="63" t="str">
        <f>IF(OR(E94="",F94="",M94&lt;=0),"",M94*F94)</f>
        <v/>
      </c>
      <c r="J94" s="63" t="str">
        <f>IF(I94="","",I94-(M94*D94))</f>
        <v/>
      </c>
      <c r="K94" s="28" t="str">
        <f>IF(A94="","",IF(T94&gt;0,"Yes","No"))</f>
        <v/>
      </c>
      <c r="L94" s="28" t="str">
        <f>IF(A94="","",A94&amp;"-"&amp;TEXT(B94,"yyyymmdd")&amp;"-R"&amp;ROW())</f>
        <v/>
      </c>
      <c r="M94" s="28" t="str">
        <f>IF(OR(C94="",G94=""),"",C94-G94)</f>
        <v/>
      </c>
      <c r="N94" s="63" t="str">
        <f>IF(OR(M94&lt;=0,J94&gt;=0),"",ABS(J94)/M94)</f>
        <v/>
      </c>
      <c r="O94" s="63" t="str">
        <f>IF(OR(A94="",M94&lt;=0,J94&gt;=0),"",MIN(M94,SUMPRODUCT(($A$18:$A$379=A94)*(IFERROR($B$18:$B$379&gt;=E94-30,0))*(IFERROR($B$18:$B$379&lt;=E94+30,0))*($G$18:$G$379&gt;0)*($L$18:$L$379&lt;&gt;L94)*($G$18:$G$379))+SUMPRODUCT(($A$381:$A$498=A94)*(IFERROR($B$381:$B$498&gt;=E94-30,0))*(IFERROR($B$381:$B$498&lt;=E94+30,0))*($G$381:$G$498&gt;0)*($L$381:$L$498&lt;&gt;L94)*($G$381:$G$498))))</f>
        <v/>
      </c>
      <c r="P94" s="28" t="str">
        <f>IF(OR(A94="",M94&lt;=0,J94&gt;=0),"",SUMPRODUCT(($A$18:$A$379=A94)*(IFERROR($B$18:$B$379&gt;=E94-30,0))*(IFERROR($B$18:$B$379&lt;=E94+30,0))*($G$18:$G$379&gt;0)*($L$18:$L$379&lt;&gt;L94))+SUMPRODUCT(($A$381:$A$498=A94)*(IFERROR($B$381:$B$498&gt;=E94-30,0))*(IFERROR($B$381:$B$498&lt;=E94+30,0))*($G$381:$G$498&gt;0)*($L$381:$L$498&lt;&gt;L94)))</f>
        <v/>
      </c>
      <c r="Q94" s="31" t="str">
        <f>IF(P94=1,IFERROR(INDEX($L$18:$L$379,MATCH(1,INDEX(($A$18:$A$379=A94)*(IFERROR($B$18:$B$379&gt;=E94-30,0))*(IFERROR($B$18:$B$379&lt;=E94+30,0))*($G$18:$G$379&gt;0)*($L$18:$L$379&lt;&gt;L94),0),0)),IFERROR(INDEX($L$381:$L$498,MATCH(1,INDEX(($A$381:$A$498=A94)*(IFERROR($B$381:$B$498&gt;=E94-30,0))*(IFERROR($B$381:$B$498&lt;=E94+30,0))*($G$381:$G$498&gt;0)*($L$381:$L$498&lt;&gt;L94),0),0)),"")),"")</f>
        <v/>
      </c>
      <c r="R94" s="32"/>
      <c r="S94" s="31" t="str">
        <f>IF(R94&lt;&gt;"",R94,Q94)</f>
        <v/>
      </c>
      <c r="T94" s="63">
        <f>IF(OR(N94="",O94=0),0,N94*O94)</f>
        <v>0</v>
      </c>
      <c r="U94" s="63">
        <f>IF(COUNTIF($S$18:$S$498,L94)=0,"",SUMIF($S$18:$S$498,L94,$T$18:$T$498))</f>
        <v>0</v>
      </c>
      <c r="V94" s="63" t="str">
        <f>IF(H94="","",IFERROR(H94+U94,H94))</f>
        <v/>
      </c>
      <c r="W94" s="63" t="str">
        <f>IF(OR(V94="",C94=""),"",V94/C94)</f>
        <v/>
      </c>
      <c r="X94" s="11" t="str">
        <f>IF(A94="","",IF(AND(U94&lt;&gt;"",U94&lt;&gt;0,M94=0),"Replacement lot receiving wash basis",IF(J94="","",IF(J94&gt;=0,"",IF(O94=0,"No replacement buy found",IF(P94&gt;1,"Manual selection needed","Auto matched"))))))</f>
        <v/>
      </c>
      <c r="Z94" t="str">
        <f>IF(K94="Yes",COUNTIF($K$18:K94,"Yes"),"")</f>
        <v/>
      </c>
    </row>
    <row r="95" spans="1:26" ht="34.15" customHeight="1" x14ac:dyDescent="0.2">
      <c r="A95" s="9"/>
      <c r="B95" s="69"/>
      <c r="C95" s="30"/>
      <c r="D95" s="70"/>
      <c r="E95" s="69"/>
      <c r="F95" s="70"/>
      <c r="G95" s="30"/>
      <c r="H95" s="63" t="str">
        <f>IF(OR(C95="",D95=""),"",C95*D95)</f>
        <v/>
      </c>
      <c r="I95" s="63" t="str">
        <f>IF(OR(E95="",F95="",M95&lt;=0),"",M95*F95)</f>
        <v/>
      </c>
      <c r="J95" s="63" t="str">
        <f>IF(I95="","",I95-(M95*D95))</f>
        <v/>
      </c>
      <c r="K95" s="28" t="str">
        <f>IF(A95="","",IF(T95&gt;0,"Yes","No"))</f>
        <v/>
      </c>
      <c r="L95" s="28" t="str">
        <f>IF(A95="","",A95&amp;"-"&amp;TEXT(B95,"yyyymmdd")&amp;"-R"&amp;ROW())</f>
        <v/>
      </c>
      <c r="M95" s="28" t="str">
        <f>IF(OR(C95="",G95=""),"",C95-G95)</f>
        <v/>
      </c>
      <c r="N95" s="63" t="str">
        <f>IF(OR(M95&lt;=0,J95&gt;=0),"",ABS(J95)/M95)</f>
        <v/>
      </c>
      <c r="O95" s="63" t="str">
        <f>IF(OR(A95="",M95&lt;=0,J95&gt;=0),"",MIN(M95,SUMPRODUCT(($A$18:$A$379=A95)*(IFERROR($B$18:$B$379&gt;=E95-30,0))*(IFERROR($B$18:$B$379&lt;=E95+30,0))*($G$18:$G$379&gt;0)*($L$18:$L$379&lt;&gt;L95)*($G$18:$G$379))+SUMPRODUCT(($A$381:$A$498=A95)*(IFERROR($B$381:$B$498&gt;=E95-30,0))*(IFERROR($B$381:$B$498&lt;=E95+30,0))*($G$381:$G$498&gt;0)*($L$381:$L$498&lt;&gt;L95)*($G$381:$G$498))))</f>
        <v/>
      </c>
      <c r="P95" s="28" t="str">
        <f>IF(OR(A95="",M95&lt;=0,J95&gt;=0),"",SUMPRODUCT(($A$18:$A$379=A95)*(IFERROR($B$18:$B$379&gt;=E95-30,0))*(IFERROR($B$18:$B$379&lt;=E95+30,0))*($G$18:$G$379&gt;0)*($L$18:$L$379&lt;&gt;L95))+SUMPRODUCT(($A$381:$A$498=A95)*(IFERROR($B$381:$B$498&gt;=E95-30,0))*(IFERROR($B$381:$B$498&lt;=E95+30,0))*($G$381:$G$498&gt;0)*($L$381:$L$498&lt;&gt;L95)))</f>
        <v/>
      </c>
      <c r="Q95" s="31" t="str">
        <f>IF(P95=1,IFERROR(INDEX($L$18:$L$379,MATCH(1,INDEX(($A$18:$A$379=A95)*(IFERROR($B$18:$B$379&gt;=E95-30,0))*(IFERROR($B$18:$B$379&lt;=E95+30,0))*($G$18:$G$379&gt;0)*($L$18:$L$379&lt;&gt;L95),0),0)),IFERROR(INDEX($L$381:$L$498,MATCH(1,INDEX(($A$381:$A$498=A95)*(IFERROR($B$381:$B$498&gt;=E95-30,0))*(IFERROR($B$381:$B$498&lt;=E95+30,0))*($G$381:$G$498&gt;0)*($L$381:$L$498&lt;&gt;L95),0),0)),"")),"")</f>
        <v/>
      </c>
      <c r="R95" s="32"/>
      <c r="S95" s="31" t="str">
        <f>IF(R95&lt;&gt;"",R95,Q95)</f>
        <v/>
      </c>
      <c r="T95" s="63">
        <f>IF(OR(N95="",O95=0),0,N95*O95)</f>
        <v>0</v>
      </c>
      <c r="U95" s="63">
        <f>IF(COUNTIF($S$18:$S$498,L95)=0,"",SUMIF($S$18:$S$498,L95,$T$18:$T$498))</f>
        <v>0</v>
      </c>
      <c r="V95" s="63" t="str">
        <f>IF(H95="","",IFERROR(H95+U95,H95))</f>
        <v/>
      </c>
      <c r="W95" s="63" t="str">
        <f>IF(OR(V95="",C95=""),"",V95/C95)</f>
        <v/>
      </c>
      <c r="X95" s="11" t="str">
        <f>IF(A95="","",IF(AND(U95&lt;&gt;"",U95&lt;&gt;0,M95=0),"Replacement lot receiving wash basis",IF(J95="","",IF(J95&gt;=0,"",IF(O95=0,"No replacement buy found",IF(P95&gt;1,"Manual selection needed","Auto matched"))))))</f>
        <v/>
      </c>
      <c r="Z95" t="str">
        <f>IF(K95="Yes",COUNTIF($K$18:K95,"Yes"),"")</f>
        <v/>
      </c>
    </row>
    <row r="96" spans="1:26" ht="34.15" customHeight="1" x14ac:dyDescent="0.2">
      <c r="A96" s="9"/>
      <c r="B96" s="69"/>
      <c r="C96" s="30"/>
      <c r="D96" s="70"/>
      <c r="E96" s="69"/>
      <c r="F96" s="70"/>
      <c r="G96" s="30"/>
      <c r="H96" s="63" t="str">
        <f>IF(OR(C96="",D96=""),"",C96*D96)</f>
        <v/>
      </c>
      <c r="I96" s="63" t="str">
        <f>IF(OR(E96="",F96="",M96&lt;=0),"",M96*F96)</f>
        <v/>
      </c>
      <c r="J96" s="63" t="str">
        <f>IF(I96="","",I96-(M96*D96))</f>
        <v/>
      </c>
      <c r="K96" s="28" t="str">
        <f>IF(A96="","",IF(T96&gt;0,"Yes","No"))</f>
        <v/>
      </c>
      <c r="L96" s="28" t="str">
        <f>IF(A96="","",A96&amp;"-"&amp;TEXT(B96,"yyyymmdd")&amp;"-R"&amp;ROW())</f>
        <v/>
      </c>
      <c r="M96" s="28" t="str">
        <f>IF(OR(C96="",G96=""),"",C96-G96)</f>
        <v/>
      </c>
      <c r="N96" s="63" t="str">
        <f>IF(OR(M96&lt;=0,J96&gt;=0),"",ABS(J96)/M96)</f>
        <v/>
      </c>
      <c r="O96" s="63" t="str">
        <f>IF(OR(A96="",M96&lt;=0,J96&gt;=0),"",MIN(M96,SUMPRODUCT(($A$18:$A$379=A96)*(IFERROR($B$18:$B$379&gt;=E96-30,0))*(IFERROR($B$18:$B$379&lt;=E96+30,0))*($G$18:$G$379&gt;0)*($L$18:$L$379&lt;&gt;L96)*($G$18:$G$379))+SUMPRODUCT(($A$381:$A$498=A96)*(IFERROR($B$381:$B$498&gt;=E96-30,0))*(IFERROR($B$381:$B$498&lt;=E96+30,0))*($G$381:$G$498&gt;0)*($L$381:$L$498&lt;&gt;L96)*($G$381:$G$498))))</f>
        <v/>
      </c>
      <c r="P96" s="28" t="str">
        <f>IF(OR(A96="",M96&lt;=0,J96&gt;=0),"",SUMPRODUCT(($A$18:$A$379=A96)*(IFERROR($B$18:$B$379&gt;=E96-30,0))*(IFERROR($B$18:$B$379&lt;=E96+30,0))*($G$18:$G$379&gt;0)*($L$18:$L$379&lt;&gt;L96))+SUMPRODUCT(($A$381:$A$498=A96)*(IFERROR($B$381:$B$498&gt;=E96-30,0))*(IFERROR($B$381:$B$498&lt;=E96+30,0))*($G$381:$G$498&gt;0)*($L$381:$L$498&lt;&gt;L96)))</f>
        <v/>
      </c>
      <c r="Q96" s="31" t="str">
        <f>IF(P96=1,IFERROR(INDEX($L$18:$L$379,MATCH(1,INDEX(($A$18:$A$379=A96)*(IFERROR($B$18:$B$379&gt;=E96-30,0))*(IFERROR($B$18:$B$379&lt;=E96+30,0))*($G$18:$G$379&gt;0)*($L$18:$L$379&lt;&gt;L96),0),0)),IFERROR(INDEX($L$381:$L$498,MATCH(1,INDEX(($A$381:$A$498=A96)*(IFERROR($B$381:$B$498&gt;=E96-30,0))*(IFERROR($B$381:$B$498&lt;=E96+30,0))*($G$381:$G$498&gt;0)*($L$381:$L$498&lt;&gt;L96),0),0)),"")),"")</f>
        <v/>
      </c>
      <c r="R96" s="32"/>
      <c r="S96" s="31" t="str">
        <f>IF(R96&lt;&gt;"",R96,Q96)</f>
        <v/>
      </c>
      <c r="T96" s="63">
        <f>IF(OR(N96="",O96=0),0,N96*O96)</f>
        <v>0</v>
      </c>
      <c r="U96" s="63">
        <f>IF(COUNTIF($S$18:$S$498,L96)=0,"",SUMIF($S$18:$S$498,L96,$T$18:$T$498))</f>
        <v>0</v>
      </c>
      <c r="V96" s="63" t="str">
        <f>IF(H96="","",IFERROR(H96+U96,H96))</f>
        <v/>
      </c>
      <c r="W96" s="63" t="str">
        <f>IF(OR(V96="",C96=""),"",V96/C96)</f>
        <v/>
      </c>
      <c r="X96" s="11" t="str">
        <f>IF(A96="","",IF(AND(U96&lt;&gt;"",U96&lt;&gt;0,M96=0),"Replacement lot receiving wash basis",IF(J96="","",IF(J96&gt;=0,"",IF(O96=0,"No replacement buy found",IF(P96&gt;1,"Manual selection needed","Auto matched"))))))</f>
        <v/>
      </c>
      <c r="Z96" t="str">
        <f>IF(K96="Yes",COUNTIF($K$18:K96,"Yes"),"")</f>
        <v/>
      </c>
    </row>
    <row r="97" spans="1:26" ht="34.15" customHeight="1" x14ac:dyDescent="0.2">
      <c r="A97" s="9"/>
      <c r="B97" s="69"/>
      <c r="C97" s="30"/>
      <c r="D97" s="70"/>
      <c r="E97" s="69"/>
      <c r="F97" s="70"/>
      <c r="G97" s="30"/>
      <c r="H97" s="63" t="str">
        <f>IF(OR(C97="",D97=""),"",C97*D97)</f>
        <v/>
      </c>
      <c r="I97" s="63" t="str">
        <f>IF(OR(E97="",F97="",M97&lt;=0),"",M97*F97)</f>
        <v/>
      </c>
      <c r="J97" s="63" t="str">
        <f>IF(I97="","",I97-(M97*D97))</f>
        <v/>
      </c>
      <c r="K97" s="28" t="str">
        <f>IF(A97="","",IF(T97&gt;0,"Yes","No"))</f>
        <v/>
      </c>
      <c r="L97" s="28" t="str">
        <f>IF(A97="","",A97&amp;"-"&amp;TEXT(B97,"yyyymmdd")&amp;"-R"&amp;ROW())</f>
        <v/>
      </c>
      <c r="M97" s="28" t="str">
        <f>IF(OR(C97="",G97=""),"",C97-G97)</f>
        <v/>
      </c>
      <c r="N97" s="63" t="str">
        <f>IF(OR(M97&lt;=0,J97&gt;=0),"",ABS(J97)/M97)</f>
        <v/>
      </c>
      <c r="O97" s="63" t="str">
        <f>IF(OR(A97="",M97&lt;=0,J97&gt;=0),"",MIN(M97,SUMPRODUCT(($A$18:$A$379=A97)*(IFERROR($B$18:$B$379&gt;=E97-30,0))*(IFERROR($B$18:$B$379&lt;=E97+30,0))*($G$18:$G$379&gt;0)*($L$18:$L$379&lt;&gt;L97)*($G$18:$G$379))+SUMPRODUCT(($A$381:$A$498=A97)*(IFERROR($B$381:$B$498&gt;=E97-30,0))*(IFERROR($B$381:$B$498&lt;=E97+30,0))*($G$381:$G$498&gt;0)*($L$381:$L$498&lt;&gt;L97)*($G$381:$G$498))))</f>
        <v/>
      </c>
      <c r="P97" s="28" t="str">
        <f>IF(OR(A97="",M97&lt;=0,J97&gt;=0),"",SUMPRODUCT(($A$18:$A$379=A97)*(IFERROR($B$18:$B$379&gt;=E97-30,0))*(IFERROR($B$18:$B$379&lt;=E97+30,0))*($G$18:$G$379&gt;0)*($L$18:$L$379&lt;&gt;L97))+SUMPRODUCT(($A$381:$A$498=A97)*(IFERROR($B$381:$B$498&gt;=E97-30,0))*(IFERROR($B$381:$B$498&lt;=E97+30,0))*($G$381:$G$498&gt;0)*($L$381:$L$498&lt;&gt;L97)))</f>
        <v/>
      </c>
      <c r="Q97" s="31" t="str">
        <f>IF(P97=1,IFERROR(INDEX($L$18:$L$379,MATCH(1,INDEX(($A$18:$A$379=A97)*(IFERROR($B$18:$B$379&gt;=E97-30,0))*(IFERROR($B$18:$B$379&lt;=E97+30,0))*($G$18:$G$379&gt;0)*($L$18:$L$379&lt;&gt;L97),0),0)),IFERROR(INDEX($L$381:$L$498,MATCH(1,INDEX(($A$381:$A$498=A97)*(IFERROR($B$381:$B$498&gt;=E97-30,0))*(IFERROR($B$381:$B$498&lt;=E97+30,0))*($G$381:$G$498&gt;0)*($L$381:$L$498&lt;&gt;L97),0),0)),"")),"")</f>
        <v/>
      </c>
      <c r="R97" s="32"/>
      <c r="S97" s="31" t="str">
        <f>IF(R97&lt;&gt;"",R97,Q97)</f>
        <v/>
      </c>
      <c r="T97" s="63">
        <f>IF(OR(N97="",O97=0),0,N97*O97)</f>
        <v>0</v>
      </c>
      <c r="U97" s="63">
        <f>IF(COUNTIF($S$18:$S$498,L97)=0,"",SUMIF($S$18:$S$498,L97,$T$18:$T$498))</f>
        <v>0</v>
      </c>
      <c r="V97" s="63" t="str">
        <f>IF(H97="","",IFERROR(H97+U97,H97))</f>
        <v/>
      </c>
      <c r="W97" s="63" t="str">
        <f>IF(OR(V97="",C97=""),"",V97/C97)</f>
        <v/>
      </c>
      <c r="X97" s="11" t="str">
        <f>IF(A97="","",IF(AND(U97&lt;&gt;"",U97&lt;&gt;0,M97=0),"Replacement lot receiving wash basis",IF(J97="","",IF(J97&gt;=0,"",IF(O97=0,"No replacement buy found",IF(P97&gt;1,"Manual selection needed","Auto matched"))))))</f>
        <v/>
      </c>
      <c r="Z97" t="str">
        <f>IF(K97="Yes",COUNTIF($K$18:K97,"Yes"),"")</f>
        <v/>
      </c>
    </row>
    <row r="98" spans="1:26" ht="34.15" customHeight="1" x14ac:dyDescent="0.2">
      <c r="A98" s="9"/>
      <c r="B98" s="69"/>
      <c r="C98" s="30"/>
      <c r="D98" s="70"/>
      <c r="E98" s="69"/>
      <c r="F98" s="70"/>
      <c r="G98" s="30"/>
      <c r="H98" s="63" t="str">
        <f>IF(OR(C98="",D98=""),"",C98*D98)</f>
        <v/>
      </c>
      <c r="I98" s="63" t="str">
        <f>IF(OR(E98="",F98="",M98&lt;=0),"",M98*F98)</f>
        <v/>
      </c>
      <c r="J98" s="63" t="str">
        <f>IF(I98="","",I98-(M98*D98))</f>
        <v/>
      </c>
      <c r="K98" s="28" t="str">
        <f>IF(A98="","",IF(T98&gt;0,"Yes","No"))</f>
        <v/>
      </c>
      <c r="L98" s="28" t="str">
        <f>IF(A98="","",A98&amp;"-"&amp;TEXT(B98,"yyyymmdd")&amp;"-R"&amp;ROW())</f>
        <v/>
      </c>
      <c r="M98" s="28" t="str">
        <f>IF(OR(C98="",G98=""),"",C98-G98)</f>
        <v/>
      </c>
      <c r="N98" s="63" t="str">
        <f>IF(OR(M98&lt;=0,J98&gt;=0),"",ABS(J98)/M98)</f>
        <v/>
      </c>
      <c r="O98" s="63" t="str">
        <f>IF(OR(A98="",M98&lt;=0,J98&gt;=0),"",MIN(M98,SUMPRODUCT(($A$18:$A$379=A98)*(IFERROR($B$18:$B$379&gt;=E98-30,0))*(IFERROR($B$18:$B$379&lt;=E98+30,0))*($G$18:$G$379&gt;0)*($L$18:$L$379&lt;&gt;L98)*($G$18:$G$379))+SUMPRODUCT(($A$381:$A$498=A98)*(IFERROR($B$381:$B$498&gt;=E98-30,0))*(IFERROR($B$381:$B$498&lt;=E98+30,0))*($G$381:$G$498&gt;0)*($L$381:$L$498&lt;&gt;L98)*($G$381:$G$498))))</f>
        <v/>
      </c>
      <c r="P98" s="28" t="str">
        <f>IF(OR(A98="",M98&lt;=0,J98&gt;=0),"",SUMPRODUCT(($A$18:$A$379=A98)*(IFERROR($B$18:$B$379&gt;=E98-30,0))*(IFERROR($B$18:$B$379&lt;=E98+30,0))*($G$18:$G$379&gt;0)*($L$18:$L$379&lt;&gt;L98))+SUMPRODUCT(($A$381:$A$498=A98)*(IFERROR($B$381:$B$498&gt;=E98-30,0))*(IFERROR($B$381:$B$498&lt;=E98+30,0))*($G$381:$G$498&gt;0)*($L$381:$L$498&lt;&gt;L98)))</f>
        <v/>
      </c>
      <c r="Q98" s="31" t="str">
        <f>IF(P98=1,IFERROR(INDEX($L$18:$L$379,MATCH(1,INDEX(($A$18:$A$379=A98)*(IFERROR($B$18:$B$379&gt;=E98-30,0))*(IFERROR($B$18:$B$379&lt;=E98+30,0))*($G$18:$G$379&gt;0)*($L$18:$L$379&lt;&gt;L98),0),0)),IFERROR(INDEX($L$381:$L$498,MATCH(1,INDEX(($A$381:$A$498=A98)*(IFERROR($B$381:$B$498&gt;=E98-30,0))*(IFERROR($B$381:$B$498&lt;=E98+30,0))*($G$381:$G$498&gt;0)*($L$381:$L$498&lt;&gt;L98),0),0)),"")),"")</f>
        <v/>
      </c>
      <c r="R98" s="32"/>
      <c r="S98" s="31" t="str">
        <f>IF(R98&lt;&gt;"",R98,Q98)</f>
        <v/>
      </c>
      <c r="T98" s="63">
        <f>IF(OR(N98="",O98=0),0,N98*O98)</f>
        <v>0</v>
      </c>
      <c r="U98" s="63">
        <f>IF(COUNTIF($S$18:$S$498,L98)=0,"",SUMIF($S$18:$S$498,L98,$T$18:$T$498))</f>
        <v>0</v>
      </c>
      <c r="V98" s="63" t="str">
        <f>IF(H98="","",IFERROR(H98+U98,H98))</f>
        <v/>
      </c>
      <c r="W98" s="63" t="str">
        <f>IF(OR(V98="",C98=""),"",V98/C98)</f>
        <v/>
      </c>
      <c r="X98" s="11" t="str">
        <f>IF(A98="","",IF(AND(U98&lt;&gt;"",U98&lt;&gt;0,M98=0),"Replacement lot receiving wash basis",IF(J98="","",IF(J98&gt;=0,"",IF(O98=0,"No replacement buy found",IF(P98&gt;1,"Manual selection needed","Auto matched"))))))</f>
        <v/>
      </c>
      <c r="Z98" t="str">
        <f>IF(K98="Yes",COUNTIF($K$18:K98,"Yes"),"")</f>
        <v/>
      </c>
    </row>
    <row r="99" spans="1:26" ht="34.15" customHeight="1" x14ac:dyDescent="0.2">
      <c r="A99" s="9"/>
      <c r="B99" s="69"/>
      <c r="C99" s="30"/>
      <c r="D99" s="70"/>
      <c r="E99" s="69"/>
      <c r="F99" s="70"/>
      <c r="G99" s="30"/>
      <c r="H99" s="63" t="str">
        <f>IF(OR(C99="",D99=""),"",C99*D99)</f>
        <v/>
      </c>
      <c r="I99" s="63" t="str">
        <f>IF(OR(E99="",F99="",M99&lt;=0),"",M99*F99)</f>
        <v/>
      </c>
      <c r="J99" s="63" t="str">
        <f>IF(I99="","",I99-(M99*D99))</f>
        <v/>
      </c>
      <c r="K99" s="28" t="str">
        <f>IF(A99="","",IF(T99&gt;0,"Yes","No"))</f>
        <v/>
      </c>
      <c r="L99" s="28" t="str">
        <f>IF(A99="","",A99&amp;"-"&amp;TEXT(B99,"yyyymmdd")&amp;"-R"&amp;ROW())</f>
        <v/>
      </c>
      <c r="M99" s="28" t="str">
        <f>IF(OR(C99="",G99=""),"",C99-G99)</f>
        <v/>
      </c>
      <c r="N99" s="63" t="str">
        <f>IF(OR(M99&lt;=0,J99&gt;=0),"",ABS(J99)/M99)</f>
        <v/>
      </c>
      <c r="O99" s="63" t="str">
        <f>IF(OR(A99="",M99&lt;=0,J99&gt;=0),"",MIN(M99,SUMPRODUCT(($A$18:$A$379=A99)*(IFERROR($B$18:$B$379&gt;=E99-30,0))*(IFERROR($B$18:$B$379&lt;=E99+30,0))*($G$18:$G$379&gt;0)*($L$18:$L$379&lt;&gt;L99)*($G$18:$G$379))+SUMPRODUCT(($A$381:$A$498=A99)*(IFERROR($B$381:$B$498&gt;=E99-30,0))*(IFERROR($B$381:$B$498&lt;=E99+30,0))*($G$381:$G$498&gt;0)*($L$381:$L$498&lt;&gt;L99)*($G$381:$G$498))))</f>
        <v/>
      </c>
      <c r="P99" s="28" t="str">
        <f>IF(OR(A99="",M99&lt;=0,J99&gt;=0),"",SUMPRODUCT(($A$18:$A$379=A99)*(IFERROR($B$18:$B$379&gt;=E99-30,0))*(IFERROR($B$18:$B$379&lt;=E99+30,0))*($G$18:$G$379&gt;0)*($L$18:$L$379&lt;&gt;L99))+SUMPRODUCT(($A$381:$A$498=A99)*(IFERROR($B$381:$B$498&gt;=E99-30,0))*(IFERROR($B$381:$B$498&lt;=E99+30,0))*($G$381:$G$498&gt;0)*($L$381:$L$498&lt;&gt;L99)))</f>
        <v/>
      </c>
      <c r="Q99" s="31" t="str">
        <f>IF(P99=1,IFERROR(INDEX($L$18:$L$379,MATCH(1,INDEX(($A$18:$A$379=A99)*(IFERROR($B$18:$B$379&gt;=E99-30,0))*(IFERROR($B$18:$B$379&lt;=E99+30,0))*($G$18:$G$379&gt;0)*($L$18:$L$379&lt;&gt;L99),0),0)),IFERROR(INDEX($L$381:$L$498,MATCH(1,INDEX(($A$381:$A$498=A99)*(IFERROR($B$381:$B$498&gt;=E99-30,0))*(IFERROR($B$381:$B$498&lt;=E99+30,0))*($G$381:$G$498&gt;0)*($L$381:$L$498&lt;&gt;L99),0),0)),"")),"")</f>
        <v/>
      </c>
      <c r="R99" s="32"/>
      <c r="S99" s="31" t="str">
        <f>IF(R99&lt;&gt;"",R99,Q99)</f>
        <v/>
      </c>
      <c r="T99" s="63">
        <f>IF(OR(N99="",O99=0),0,N99*O99)</f>
        <v>0</v>
      </c>
      <c r="U99" s="63">
        <f>IF(COUNTIF($S$18:$S$498,L99)=0,"",SUMIF($S$18:$S$498,L99,$T$18:$T$498))</f>
        <v>0</v>
      </c>
      <c r="V99" s="63" t="str">
        <f>IF(H99="","",IFERROR(H99+U99,H99))</f>
        <v/>
      </c>
      <c r="W99" s="63" t="str">
        <f>IF(OR(V99="",C99=""),"",V99/C99)</f>
        <v/>
      </c>
      <c r="X99" s="11" t="str">
        <f>IF(A99="","",IF(AND(U99&lt;&gt;"",U99&lt;&gt;0,M99=0),"Replacement lot receiving wash basis",IF(J99="","",IF(J99&gt;=0,"",IF(O99=0,"No replacement buy found",IF(P99&gt;1,"Manual selection needed","Auto matched"))))))</f>
        <v/>
      </c>
      <c r="Z99" t="str">
        <f>IF(K99="Yes",COUNTIF($K$18:K99,"Yes"),"")</f>
        <v/>
      </c>
    </row>
    <row r="100" spans="1:26" ht="34.15" customHeight="1" x14ac:dyDescent="0.2">
      <c r="A100" s="9"/>
      <c r="B100" s="69"/>
      <c r="C100" s="30"/>
      <c r="D100" s="70"/>
      <c r="E100" s="69"/>
      <c r="F100" s="70"/>
      <c r="G100" s="30"/>
      <c r="H100" s="63" t="str">
        <f>IF(OR(C100="",D100=""),"",C100*D100)</f>
        <v/>
      </c>
      <c r="I100" s="63" t="str">
        <f>IF(OR(E100="",F100="",M100&lt;=0),"",M100*F100)</f>
        <v/>
      </c>
      <c r="J100" s="63" t="str">
        <f>IF(I100="","",I100-(M100*D100))</f>
        <v/>
      </c>
      <c r="K100" s="28" t="str">
        <f>IF(A100="","",IF(T100&gt;0,"Yes","No"))</f>
        <v/>
      </c>
      <c r="L100" s="28" t="str">
        <f>IF(A100="","",A100&amp;"-"&amp;TEXT(B100,"yyyymmdd")&amp;"-R"&amp;ROW())</f>
        <v/>
      </c>
      <c r="M100" s="28" t="str">
        <f>IF(OR(C100="",G100=""),"",C100-G100)</f>
        <v/>
      </c>
      <c r="N100" s="63" t="str">
        <f>IF(OR(M100&lt;=0,J100&gt;=0),"",ABS(J100)/M100)</f>
        <v/>
      </c>
      <c r="O100" s="63" t="str">
        <f>IF(OR(A100="",M100&lt;=0,J100&gt;=0),"",MIN(M100,SUMPRODUCT(($A$18:$A$379=A100)*(IFERROR($B$18:$B$379&gt;=E100-30,0))*(IFERROR($B$18:$B$379&lt;=E100+30,0))*($G$18:$G$379&gt;0)*($L$18:$L$379&lt;&gt;L100)*($G$18:$G$379))+SUMPRODUCT(($A$381:$A$498=A100)*(IFERROR($B$381:$B$498&gt;=E100-30,0))*(IFERROR($B$381:$B$498&lt;=E100+30,0))*($G$381:$G$498&gt;0)*($L$381:$L$498&lt;&gt;L100)*($G$381:$G$498))))</f>
        <v/>
      </c>
      <c r="P100" s="28" t="str">
        <f>IF(OR(A100="",M100&lt;=0,J100&gt;=0),"",SUMPRODUCT(($A$18:$A$379=A100)*(IFERROR($B$18:$B$379&gt;=E100-30,0))*(IFERROR($B$18:$B$379&lt;=E100+30,0))*($G$18:$G$379&gt;0)*($L$18:$L$379&lt;&gt;L100))+SUMPRODUCT(($A$381:$A$498=A100)*(IFERROR($B$381:$B$498&gt;=E100-30,0))*(IFERROR($B$381:$B$498&lt;=E100+30,0))*($G$381:$G$498&gt;0)*($L$381:$L$498&lt;&gt;L100)))</f>
        <v/>
      </c>
      <c r="Q100" s="31" t="str">
        <f>IF(P100=1,IFERROR(INDEX($L$18:$L$379,MATCH(1,INDEX(($A$18:$A$379=A100)*(IFERROR($B$18:$B$379&gt;=E100-30,0))*(IFERROR($B$18:$B$379&lt;=E100+30,0))*($G$18:$G$379&gt;0)*($L$18:$L$379&lt;&gt;L100),0),0)),IFERROR(INDEX($L$381:$L$498,MATCH(1,INDEX(($A$381:$A$498=A100)*(IFERROR($B$381:$B$498&gt;=E100-30,0))*(IFERROR($B$381:$B$498&lt;=E100+30,0))*($G$381:$G$498&gt;0)*($L$381:$L$498&lt;&gt;L100),0),0)),"")),"")</f>
        <v/>
      </c>
      <c r="R100" s="32"/>
      <c r="S100" s="31" t="str">
        <f>IF(R100&lt;&gt;"",R100,Q100)</f>
        <v/>
      </c>
      <c r="T100" s="63">
        <f>IF(OR(N100="",O100=0),0,N100*O100)</f>
        <v>0</v>
      </c>
      <c r="U100" s="63">
        <f>IF(COUNTIF($S$18:$S$498,L100)=0,"",SUMIF($S$18:$S$498,L100,$T$18:$T$498))</f>
        <v>0</v>
      </c>
      <c r="V100" s="63" t="str">
        <f>IF(H100="","",IFERROR(H100+U100,H100))</f>
        <v/>
      </c>
      <c r="W100" s="63" t="str">
        <f>IF(OR(V100="",C100=""),"",V100/C100)</f>
        <v/>
      </c>
      <c r="X100" s="11" t="str">
        <f>IF(A100="","",IF(AND(U100&lt;&gt;"",U100&lt;&gt;0,M100=0),"Replacement lot receiving wash basis",IF(J100="","",IF(J100&gt;=0,"",IF(O100=0,"No replacement buy found",IF(P100&gt;1,"Manual selection needed","Auto matched"))))))</f>
        <v/>
      </c>
      <c r="Z100" t="str">
        <f>IF(K100="Yes",COUNTIF($K$18:K100,"Yes"),"")</f>
        <v/>
      </c>
    </row>
    <row r="101" spans="1:26" ht="34.15" customHeight="1" x14ac:dyDescent="0.2">
      <c r="A101" s="9"/>
      <c r="B101" s="69"/>
      <c r="C101" s="30"/>
      <c r="D101" s="70"/>
      <c r="E101" s="69"/>
      <c r="F101" s="70"/>
      <c r="G101" s="30"/>
      <c r="H101" s="63" t="str">
        <f>IF(OR(C101="",D101=""),"",C101*D101)</f>
        <v/>
      </c>
      <c r="I101" s="63" t="str">
        <f>IF(OR(E101="",F101="",M101&lt;=0),"",M101*F101)</f>
        <v/>
      </c>
      <c r="J101" s="63" t="str">
        <f>IF(I101="","",I101-(M101*D101))</f>
        <v/>
      </c>
      <c r="K101" s="28" t="str">
        <f>IF(A101="","",IF(T101&gt;0,"Yes","No"))</f>
        <v/>
      </c>
      <c r="L101" s="28" t="str">
        <f>IF(A101="","",A101&amp;"-"&amp;TEXT(B101,"yyyymmdd")&amp;"-R"&amp;ROW())</f>
        <v/>
      </c>
      <c r="M101" s="28" t="str">
        <f>IF(OR(C101="",G101=""),"",C101-G101)</f>
        <v/>
      </c>
      <c r="N101" s="63" t="str">
        <f>IF(OR(M101&lt;=0,J101&gt;=0),"",ABS(J101)/M101)</f>
        <v/>
      </c>
      <c r="O101" s="63" t="str">
        <f>IF(OR(A101="",M101&lt;=0,J101&gt;=0),"",MIN(M101,SUMPRODUCT(($A$18:$A$379=A101)*(IFERROR($B$18:$B$379&gt;=E101-30,0))*(IFERROR($B$18:$B$379&lt;=E101+30,0))*($G$18:$G$379&gt;0)*($L$18:$L$379&lt;&gt;L101)*($G$18:$G$379))+SUMPRODUCT(($A$381:$A$498=A101)*(IFERROR($B$381:$B$498&gt;=E101-30,0))*(IFERROR($B$381:$B$498&lt;=E101+30,0))*($G$381:$G$498&gt;0)*($L$381:$L$498&lt;&gt;L101)*($G$381:$G$498))))</f>
        <v/>
      </c>
      <c r="P101" s="28" t="str">
        <f>IF(OR(A101="",M101&lt;=0,J101&gt;=0),"",SUMPRODUCT(($A$18:$A$379=A101)*(IFERROR($B$18:$B$379&gt;=E101-30,0))*(IFERROR($B$18:$B$379&lt;=E101+30,0))*($G$18:$G$379&gt;0)*($L$18:$L$379&lt;&gt;L101))+SUMPRODUCT(($A$381:$A$498=A101)*(IFERROR($B$381:$B$498&gt;=E101-30,0))*(IFERROR($B$381:$B$498&lt;=E101+30,0))*($G$381:$G$498&gt;0)*($L$381:$L$498&lt;&gt;L101)))</f>
        <v/>
      </c>
      <c r="Q101" s="31" t="str">
        <f>IF(P101=1,IFERROR(INDEX($L$18:$L$379,MATCH(1,INDEX(($A$18:$A$379=A101)*(IFERROR($B$18:$B$379&gt;=E101-30,0))*(IFERROR($B$18:$B$379&lt;=E101+30,0))*($G$18:$G$379&gt;0)*($L$18:$L$379&lt;&gt;L101),0),0)),IFERROR(INDEX($L$381:$L$498,MATCH(1,INDEX(($A$381:$A$498=A101)*(IFERROR($B$381:$B$498&gt;=E101-30,0))*(IFERROR($B$381:$B$498&lt;=E101+30,0))*($G$381:$G$498&gt;0)*($L$381:$L$498&lt;&gt;L101),0),0)),"")),"")</f>
        <v/>
      </c>
      <c r="R101" s="32"/>
      <c r="S101" s="31" t="str">
        <f>IF(R101&lt;&gt;"",R101,Q101)</f>
        <v/>
      </c>
      <c r="T101" s="63">
        <f>IF(OR(N101="",O101=0),0,N101*O101)</f>
        <v>0</v>
      </c>
      <c r="U101" s="63">
        <f>IF(COUNTIF($S$18:$S$498,L101)=0,"",SUMIF($S$18:$S$498,L101,$T$18:$T$498))</f>
        <v>0</v>
      </c>
      <c r="V101" s="63" t="str">
        <f>IF(H101="","",IFERROR(H101+U101,H101))</f>
        <v/>
      </c>
      <c r="W101" s="63" t="str">
        <f>IF(OR(V101="",C101=""),"",V101/C101)</f>
        <v/>
      </c>
      <c r="X101" s="11" t="str">
        <f>IF(A101="","",IF(AND(U101&lt;&gt;"",U101&lt;&gt;0,M101=0),"Replacement lot receiving wash basis",IF(J101="","",IF(J101&gt;=0,"",IF(O101=0,"No replacement buy found",IF(P101&gt;1,"Manual selection needed","Auto matched"))))))</f>
        <v/>
      </c>
      <c r="Z101" t="str">
        <f>IF(K101="Yes",COUNTIF($K$18:K101,"Yes"),"")</f>
        <v/>
      </c>
    </row>
    <row r="102" spans="1:26" ht="34.15" customHeight="1" x14ac:dyDescent="0.2">
      <c r="A102" s="9"/>
      <c r="B102" s="69"/>
      <c r="C102" s="30"/>
      <c r="D102" s="70"/>
      <c r="E102" s="69"/>
      <c r="F102" s="70"/>
      <c r="G102" s="30"/>
      <c r="H102" s="63" t="str">
        <f>IF(OR(C102="",D102=""),"",C102*D102)</f>
        <v/>
      </c>
      <c r="I102" s="63" t="str">
        <f>IF(OR(E102="",F102="",M102&lt;=0),"",M102*F102)</f>
        <v/>
      </c>
      <c r="J102" s="63" t="str">
        <f>IF(I102="","",I102-(M102*D102))</f>
        <v/>
      </c>
      <c r="K102" s="28" t="str">
        <f>IF(A102="","",IF(T102&gt;0,"Yes","No"))</f>
        <v/>
      </c>
      <c r="L102" s="28" t="str">
        <f>IF(A102="","",A102&amp;"-"&amp;TEXT(B102,"yyyymmdd")&amp;"-R"&amp;ROW())</f>
        <v/>
      </c>
      <c r="M102" s="28" t="str">
        <f>IF(OR(C102="",G102=""),"",C102-G102)</f>
        <v/>
      </c>
      <c r="N102" s="63" t="str">
        <f>IF(OR(M102&lt;=0,J102&gt;=0),"",ABS(J102)/M102)</f>
        <v/>
      </c>
      <c r="O102" s="63" t="str">
        <f>IF(OR(A102="",M102&lt;=0,J102&gt;=0),"",MIN(M102,SUMPRODUCT(($A$18:$A$379=A102)*(IFERROR($B$18:$B$379&gt;=E102-30,0))*(IFERROR($B$18:$B$379&lt;=E102+30,0))*($G$18:$G$379&gt;0)*($L$18:$L$379&lt;&gt;L102)*($G$18:$G$379))+SUMPRODUCT(($A$381:$A$498=A102)*(IFERROR($B$381:$B$498&gt;=E102-30,0))*(IFERROR($B$381:$B$498&lt;=E102+30,0))*($G$381:$G$498&gt;0)*($L$381:$L$498&lt;&gt;L102)*($G$381:$G$498))))</f>
        <v/>
      </c>
      <c r="P102" s="28" t="str">
        <f>IF(OR(A102="",M102&lt;=0,J102&gt;=0),"",SUMPRODUCT(($A$18:$A$379=A102)*(IFERROR($B$18:$B$379&gt;=E102-30,0))*(IFERROR($B$18:$B$379&lt;=E102+30,0))*($G$18:$G$379&gt;0)*($L$18:$L$379&lt;&gt;L102))+SUMPRODUCT(($A$381:$A$498=A102)*(IFERROR($B$381:$B$498&gt;=E102-30,0))*(IFERROR($B$381:$B$498&lt;=E102+30,0))*($G$381:$G$498&gt;0)*($L$381:$L$498&lt;&gt;L102)))</f>
        <v/>
      </c>
      <c r="Q102" s="31" t="str">
        <f>IF(P102=1,IFERROR(INDEX($L$18:$L$379,MATCH(1,INDEX(($A$18:$A$379=A102)*(IFERROR($B$18:$B$379&gt;=E102-30,0))*(IFERROR($B$18:$B$379&lt;=E102+30,0))*($G$18:$G$379&gt;0)*($L$18:$L$379&lt;&gt;L102),0),0)),IFERROR(INDEX($L$381:$L$498,MATCH(1,INDEX(($A$381:$A$498=A102)*(IFERROR($B$381:$B$498&gt;=E102-30,0))*(IFERROR($B$381:$B$498&lt;=E102+30,0))*($G$381:$G$498&gt;0)*($L$381:$L$498&lt;&gt;L102),0),0)),"")),"")</f>
        <v/>
      </c>
      <c r="R102" s="32"/>
      <c r="S102" s="31" t="str">
        <f>IF(R102&lt;&gt;"",R102,Q102)</f>
        <v/>
      </c>
      <c r="T102" s="63">
        <f>IF(OR(N102="",O102=0),0,N102*O102)</f>
        <v>0</v>
      </c>
      <c r="U102" s="63">
        <f>IF(COUNTIF($S$18:$S$498,L102)=0,"",SUMIF($S$18:$S$498,L102,$T$18:$T$498))</f>
        <v>0</v>
      </c>
      <c r="V102" s="63" t="str">
        <f>IF(H102="","",IFERROR(H102+U102,H102))</f>
        <v/>
      </c>
      <c r="W102" s="63" t="str">
        <f>IF(OR(V102="",C102=""),"",V102/C102)</f>
        <v/>
      </c>
      <c r="X102" s="11" t="str">
        <f>IF(A102="","",IF(AND(U102&lt;&gt;"",U102&lt;&gt;0,M102=0),"Replacement lot receiving wash basis",IF(J102="","",IF(J102&gt;=0,"",IF(O102=0,"No replacement buy found",IF(P102&gt;1,"Manual selection needed","Auto matched"))))))</f>
        <v/>
      </c>
      <c r="Z102" t="str">
        <f>IF(K102="Yes",COUNTIF($K$18:K102,"Yes"),"")</f>
        <v/>
      </c>
    </row>
    <row r="103" spans="1:26" ht="34.15" customHeight="1" x14ac:dyDescent="0.2">
      <c r="A103" s="9"/>
      <c r="B103" s="69"/>
      <c r="C103" s="30"/>
      <c r="D103" s="70"/>
      <c r="E103" s="69"/>
      <c r="F103" s="70"/>
      <c r="G103" s="30"/>
      <c r="H103" s="63" t="str">
        <f>IF(OR(C103="",D103=""),"",C103*D103)</f>
        <v/>
      </c>
      <c r="I103" s="63" t="str">
        <f>IF(OR(E103="",F103="",M103&lt;=0),"",M103*F103)</f>
        <v/>
      </c>
      <c r="J103" s="63" t="str">
        <f>IF(I103="","",I103-(M103*D103))</f>
        <v/>
      </c>
      <c r="K103" s="28" t="str">
        <f>IF(A103="","",IF(T103&gt;0,"Yes","No"))</f>
        <v/>
      </c>
      <c r="L103" s="28" t="str">
        <f>IF(A103="","",A103&amp;"-"&amp;TEXT(B103,"yyyymmdd")&amp;"-R"&amp;ROW())</f>
        <v/>
      </c>
      <c r="M103" s="28" t="str">
        <f>IF(OR(C103="",G103=""),"",C103-G103)</f>
        <v/>
      </c>
      <c r="N103" s="63" t="str">
        <f>IF(OR(M103&lt;=0,J103&gt;=0),"",ABS(J103)/M103)</f>
        <v/>
      </c>
      <c r="O103" s="63" t="str">
        <f>IF(OR(A103="",M103&lt;=0,J103&gt;=0),"",MIN(M103,SUMPRODUCT(($A$18:$A$379=A103)*(IFERROR($B$18:$B$379&gt;=E103-30,0))*(IFERROR($B$18:$B$379&lt;=E103+30,0))*($G$18:$G$379&gt;0)*($L$18:$L$379&lt;&gt;L103)*($G$18:$G$379))+SUMPRODUCT(($A$381:$A$498=A103)*(IFERROR($B$381:$B$498&gt;=E103-30,0))*(IFERROR($B$381:$B$498&lt;=E103+30,0))*($G$381:$G$498&gt;0)*($L$381:$L$498&lt;&gt;L103)*($G$381:$G$498))))</f>
        <v/>
      </c>
      <c r="P103" s="28" t="str">
        <f>IF(OR(A103="",M103&lt;=0,J103&gt;=0),"",SUMPRODUCT(($A$18:$A$379=A103)*(IFERROR($B$18:$B$379&gt;=E103-30,0))*(IFERROR($B$18:$B$379&lt;=E103+30,0))*($G$18:$G$379&gt;0)*($L$18:$L$379&lt;&gt;L103))+SUMPRODUCT(($A$381:$A$498=A103)*(IFERROR($B$381:$B$498&gt;=E103-30,0))*(IFERROR($B$381:$B$498&lt;=E103+30,0))*($G$381:$G$498&gt;0)*($L$381:$L$498&lt;&gt;L103)))</f>
        <v/>
      </c>
      <c r="Q103" s="31" t="str">
        <f>IF(P103=1,IFERROR(INDEX($L$18:$L$379,MATCH(1,INDEX(($A$18:$A$379=A103)*(IFERROR($B$18:$B$379&gt;=E103-30,0))*(IFERROR($B$18:$B$379&lt;=E103+30,0))*($G$18:$G$379&gt;0)*($L$18:$L$379&lt;&gt;L103),0),0)),IFERROR(INDEX($L$381:$L$498,MATCH(1,INDEX(($A$381:$A$498=A103)*(IFERROR($B$381:$B$498&gt;=E103-30,0))*(IFERROR($B$381:$B$498&lt;=E103+30,0))*($G$381:$G$498&gt;0)*($L$381:$L$498&lt;&gt;L103),0),0)),"")),"")</f>
        <v/>
      </c>
      <c r="R103" s="32"/>
      <c r="S103" s="31" t="str">
        <f>IF(R103&lt;&gt;"",R103,Q103)</f>
        <v/>
      </c>
      <c r="T103" s="63">
        <f>IF(OR(N103="",O103=0),0,N103*O103)</f>
        <v>0</v>
      </c>
      <c r="U103" s="63">
        <f>IF(COUNTIF($S$18:$S$498,L103)=0,"",SUMIF($S$18:$S$498,L103,$T$18:$T$498))</f>
        <v>0</v>
      </c>
      <c r="V103" s="63" t="str">
        <f>IF(H103="","",IFERROR(H103+U103,H103))</f>
        <v/>
      </c>
      <c r="W103" s="63" t="str">
        <f>IF(OR(V103="",C103=""),"",V103/C103)</f>
        <v/>
      </c>
      <c r="X103" s="11" t="str">
        <f>IF(A103="","",IF(AND(U103&lt;&gt;"",U103&lt;&gt;0,M103=0),"Replacement lot receiving wash basis",IF(J103="","",IF(J103&gt;=0,"",IF(O103=0,"No replacement buy found",IF(P103&gt;1,"Manual selection needed","Auto matched"))))))</f>
        <v/>
      </c>
      <c r="Z103" t="str">
        <f>IF(K103="Yes",COUNTIF($K$18:K103,"Yes"),"")</f>
        <v/>
      </c>
    </row>
    <row r="104" spans="1:26" ht="34.15" customHeight="1" x14ac:dyDescent="0.2">
      <c r="A104" s="9"/>
      <c r="B104" s="69"/>
      <c r="C104" s="30"/>
      <c r="D104" s="70"/>
      <c r="E104" s="69"/>
      <c r="F104" s="70"/>
      <c r="G104" s="30"/>
      <c r="H104" s="63" t="str">
        <f>IF(OR(C104="",D104=""),"",C104*D104)</f>
        <v/>
      </c>
      <c r="I104" s="63" t="str">
        <f>IF(OR(E104="",F104="",M104&lt;=0),"",M104*F104)</f>
        <v/>
      </c>
      <c r="J104" s="63" t="str">
        <f>IF(I104="","",I104-(M104*D104))</f>
        <v/>
      </c>
      <c r="K104" s="28" t="str">
        <f>IF(A104="","",IF(T104&gt;0,"Yes","No"))</f>
        <v/>
      </c>
      <c r="L104" s="28" t="str">
        <f>IF(A104="","",A104&amp;"-"&amp;TEXT(B104,"yyyymmdd")&amp;"-R"&amp;ROW())</f>
        <v/>
      </c>
      <c r="M104" s="28" t="str">
        <f>IF(OR(C104="",G104=""),"",C104-G104)</f>
        <v/>
      </c>
      <c r="N104" s="63" t="str">
        <f>IF(OR(M104&lt;=0,J104&gt;=0),"",ABS(J104)/M104)</f>
        <v/>
      </c>
      <c r="O104" s="63" t="str">
        <f>IF(OR(A104="",M104&lt;=0,J104&gt;=0),"",MIN(M104,SUMPRODUCT(($A$18:$A$379=A104)*(IFERROR($B$18:$B$379&gt;=E104-30,0))*(IFERROR($B$18:$B$379&lt;=E104+30,0))*($G$18:$G$379&gt;0)*($L$18:$L$379&lt;&gt;L104)*($G$18:$G$379))+SUMPRODUCT(($A$381:$A$498=A104)*(IFERROR($B$381:$B$498&gt;=E104-30,0))*(IFERROR($B$381:$B$498&lt;=E104+30,0))*($G$381:$G$498&gt;0)*($L$381:$L$498&lt;&gt;L104)*($G$381:$G$498))))</f>
        <v/>
      </c>
      <c r="P104" s="28" t="str">
        <f>IF(OR(A104="",M104&lt;=0,J104&gt;=0),"",SUMPRODUCT(($A$18:$A$379=A104)*(IFERROR($B$18:$B$379&gt;=E104-30,0))*(IFERROR($B$18:$B$379&lt;=E104+30,0))*($G$18:$G$379&gt;0)*($L$18:$L$379&lt;&gt;L104))+SUMPRODUCT(($A$381:$A$498=A104)*(IFERROR($B$381:$B$498&gt;=E104-30,0))*(IFERROR($B$381:$B$498&lt;=E104+30,0))*($G$381:$G$498&gt;0)*($L$381:$L$498&lt;&gt;L104)))</f>
        <v/>
      </c>
      <c r="Q104" s="31" t="str">
        <f>IF(P104=1,IFERROR(INDEX($L$18:$L$379,MATCH(1,INDEX(($A$18:$A$379=A104)*(IFERROR($B$18:$B$379&gt;=E104-30,0))*(IFERROR($B$18:$B$379&lt;=E104+30,0))*($G$18:$G$379&gt;0)*($L$18:$L$379&lt;&gt;L104),0),0)),IFERROR(INDEX($L$381:$L$498,MATCH(1,INDEX(($A$381:$A$498=A104)*(IFERROR($B$381:$B$498&gt;=E104-30,0))*(IFERROR($B$381:$B$498&lt;=E104+30,0))*($G$381:$G$498&gt;0)*($L$381:$L$498&lt;&gt;L104),0),0)),"")),"")</f>
        <v/>
      </c>
      <c r="R104" s="32"/>
      <c r="S104" s="31" t="str">
        <f>IF(R104&lt;&gt;"",R104,Q104)</f>
        <v/>
      </c>
      <c r="T104" s="63">
        <f>IF(OR(N104="",O104=0),0,N104*O104)</f>
        <v>0</v>
      </c>
      <c r="U104" s="63">
        <f>IF(COUNTIF($S$18:$S$498,L104)=0,"",SUMIF($S$18:$S$498,L104,$T$18:$T$498))</f>
        <v>0</v>
      </c>
      <c r="V104" s="63" t="str">
        <f>IF(H104="","",IFERROR(H104+U104,H104))</f>
        <v/>
      </c>
      <c r="W104" s="63" t="str">
        <f>IF(OR(V104="",C104=""),"",V104/C104)</f>
        <v/>
      </c>
      <c r="X104" s="11" t="str">
        <f>IF(A104="","",IF(AND(U104&lt;&gt;"",U104&lt;&gt;0,M104=0),"Replacement lot receiving wash basis",IF(J104="","",IF(J104&gt;=0,"",IF(O104=0,"No replacement buy found",IF(P104&gt;1,"Manual selection needed","Auto matched"))))))</f>
        <v/>
      </c>
      <c r="Z104" t="str">
        <f>IF(K104="Yes",COUNTIF($K$18:K104,"Yes"),"")</f>
        <v/>
      </c>
    </row>
    <row r="105" spans="1:26" ht="34.15" customHeight="1" x14ac:dyDescent="0.2">
      <c r="A105" s="9"/>
      <c r="B105" s="69"/>
      <c r="C105" s="30"/>
      <c r="D105" s="70"/>
      <c r="E105" s="69"/>
      <c r="F105" s="70"/>
      <c r="G105" s="30"/>
      <c r="H105" s="63" t="str">
        <f>IF(OR(C105="",D105=""),"",C105*D105)</f>
        <v/>
      </c>
      <c r="I105" s="63" t="str">
        <f>IF(OR(E105="",F105="",M105&lt;=0),"",M105*F105)</f>
        <v/>
      </c>
      <c r="J105" s="63" t="str">
        <f>IF(I105="","",I105-(M105*D105))</f>
        <v/>
      </c>
      <c r="K105" s="28" t="str">
        <f>IF(A105="","",IF(T105&gt;0,"Yes","No"))</f>
        <v/>
      </c>
      <c r="L105" s="28" t="str">
        <f>IF(A105="","",A105&amp;"-"&amp;TEXT(B105,"yyyymmdd")&amp;"-R"&amp;ROW())</f>
        <v/>
      </c>
      <c r="M105" s="28" t="str">
        <f>IF(OR(C105="",G105=""),"",C105-G105)</f>
        <v/>
      </c>
      <c r="N105" s="63" t="str">
        <f>IF(OR(M105&lt;=0,J105&gt;=0),"",ABS(J105)/M105)</f>
        <v/>
      </c>
      <c r="O105" s="63" t="str">
        <f>IF(OR(A105="",M105&lt;=0,J105&gt;=0),"",MIN(M105,SUMPRODUCT(($A$18:$A$379=A105)*(IFERROR($B$18:$B$379&gt;=E105-30,0))*(IFERROR($B$18:$B$379&lt;=E105+30,0))*($G$18:$G$379&gt;0)*($L$18:$L$379&lt;&gt;L105)*($G$18:$G$379))+SUMPRODUCT(($A$381:$A$498=A105)*(IFERROR($B$381:$B$498&gt;=E105-30,0))*(IFERROR($B$381:$B$498&lt;=E105+30,0))*($G$381:$G$498&gt;0)*($L$381:$L$498&lt;&gt;L105)*($G$381:$G$498))))</f>
        <v/>
      </c>
      <c r="P105" s="28" t="str">
        <f>IF(OR(A105="",M105&lt;=0,J105&gt;=0),"",SUMPRODUCT(($A$18:$A$379=A105)*(IFERROR($B$18:$B$379&gt;=E105-30,0))*(IFERROR($B$18:$B$379&lt;=E105+30,0))*($G$18:$G$379&gt;0)*($L$18:$L$379&lt;&gt;L105))+SUMPRODUCT(($A$381:$A$498=A105)*(IFERROR($B$381:$B$498&gt;=E105-30,0))*(IFERROR($B$381:$B$498&lt;=E105+30,0))*($G$381:$G$498&gt;0)*($L$381:$L$498&lt;&gt;L105)))</f>
        <v/>
      </c>
      <c r="Q105" s="31" t="str">
        <f>IF(P105=1,IFERROR(INDEX($L$18:$L$379,MATCH(1,INDEX(($A$18:$A$379=A105)*(IFERROR($B$18:$B$379&gt;=E105-30,0))*(IFERROR($B$18:$B$379&lt;=E105+30,0))*($G$18:$G$379&gt;0)*($L$18:$L$379&lt;&gt;L105),0),0)),IFERROR(INDEX($L$381:$L$498,MATCH(1,INDEX(($A$381:$A$498=A105)*(IFERROR($B$381:$B$498&gt;=E105-30,0))*(IFERROR($B$381:$B$498&lt;=E105+30,0))*($G$381:$G$498&gt;0)*($L$381:$L$498&lt;&gt;L105),0),0)),"")),"")</f>
        <v/>
      </c>
      <c r="R105" s="32"/>
      <c r="S105" s="31" t="str">
        <f>IF(R105&lt;&gt;"",R105,Q105)</f>
        <v/>
      </c>
      <c r="T105" s="63">
        <f>IF(OR(N105="",O105=0),0,N105*O105)</f>
        <v>0</v>
      </c>
      <c r="U105" s="63">
        <f>IF(COUNTIF($S$18:$S$498,L105)=0,"",SUMIF($S$18:$S$498,L105,$T$18:$T$498))</f>
        <v>0</v>
      </c>
      <c r="V105" s="63" t="str">
        <f>IF(H105="","",IFERROR(H105+U105,H105))</f>
        <v/>
      </c>
      <c r="W105" s="63" t="str">
        <f>IF(OR(V105="",C105=""),"",V105/C105)</f>
        <v/>
      </c>
      <c r="X105" s="11" t="str">
        <f>IF(A105="","",IF(AND(U105&lt;&gt;"",U105&lt;&gt;0,M105=0),"Replacement lot receiving wash basis",IF(J105="","",IF(J105&gt;=0,"",IF(O105=0,"No replacement buy found",IF(P105&gt;1,"Manual selection needed","Auto matched"))))))</f>
        <v/>
      </c>
      <c r="Z105" t="str">
        <f>IF(K105="Yes",COUNTIF($K$18:K105,"Yes"),"")</f>
        <v/>
      </c>
    </row>
    <row r="106" spans="1:26" ht="34.15" customHeight="1" x14ac:dyDescent="0.2">
      <c r="A106" s="9"/>
      <c r="B106" s="69"/>
      <c r="C106" s="30"/>
      <c r="D106" s="70"/>
      <c r="E106" s="69"/>
      <c r="F106" s="70"/>
      <c r="G106" s="30"/>
      <c r="H106" s="63" t="str">
        <f>IF(OR(C106="",D106=""),"",C106*D106)</f>
        <v/>
      </c>
      <c r="I106" s="63" t="str">
        <f>IF(OR(E106="",F106="",M106&lt;=0),"",M106*F106)</f>
        <v/>
      </c>
      <c r="J106" s="63" t="str">
        <f>IF(I106="","",I106-(M106*D106))</f>
        <v/>
      </c>
      <c r="K106" s="28" t="str">
        <f>IF(A106="","",IF(T106&gt;0,"Yes","No"))</f>
        <v/>
      </c>
      <c r="L106" s="28" t="str">
        <f>IF(A106="","",A106&amp;"-"&amp;TEXT(B106,"yyyymmdd")&amp;"-R"&amp;ROW())</f>
        <v/>
      </c>
      <c r="M106" s="28" t="str">
        <f>IF(OR(C106="",G106=""),"",C106-G106)</f>
        <v/>
      </c>
      <c r="N106" s="63" t="str">
        <f>IF(OR(M106&lt;=0,J106&gt;=0),"",ABS(J106)/M106)</f>
        <v/>
      </c>
      <c r="O106" s="63" t="str">
        <f>IF(OR(A106="",M106&lt;=0,J106&gt;=0),"",MIN(M106,SUMPRODUCT(($A$18:$A$379=A106)*(IFERROR($B$18:$B$379&gt;=E106-30,0))*(IFERROR($B$18:$B$379&lt;=E106+30,0))*($G$18:$G$379&gt;0)*($L$18:$L$379&lt;&gt;L106)*($G$18:$G$379))+SUMPRODUCT(($A$381:$A$498=A106)*(IFERROR($B$381:$B$498&gt;=E106-30,0))*(IFERROR($B$381:$B$498&lt;=E106+30,0))*($G$381:$G$498&gt;0)*($L$381:$L$498&lt;&gt;L106)*($G$381:$G$498))))</f>
        <v/>
      </c>
      <c r="P106" s="28" t="str">
        <f>IF(OR(A106="",M106&lt;=0,J106&gt;=0),"",SUMPRODUCT(($A$18:$A$379=A106)*(IFERROR($B$18:$B$379&gt;=E106-30,0))*(IFERROR($B$18:$B$379&lt;=E106+30,0))*($G$18:$G$379&gt;0)*($L$18:$L$379&lt;&gt;L106))+SUMPRODUCT(($A$381:$A$498=A106)*(IFERROR($B$381:$B$498&gt;=E106-30,0))*(IFERROR($B$381:$B$498&lt;=E106+30,0))*($G$381:$G$498&gt;0)*($L$381:$L$498&lt;&gt;L106)))</f>
        <v/>
      </c>
      <c r="Q106" s="31" t="str">
        <f>IF(P106=1,IFERROR(INDEX($L$18:$L$379,MATCH(1,INDEX(($A$18:$A$379=A106)*(IFERROR($B$18:$B$379&gt;=E106-30,0))*(IFERROR($B$18:$B$379&lt;=E106+30,0))*($G$18:$G$379&gt;0)*($L$18:$L$379&lt;&gt;L106),0),0)),IFERROR(INDEX($L$381:$L$498,MATCH(1,INDEX(($A$381:$A$498=A106)*(IFERROR($B$381:$B$498&gt;=E106-30,0))*(IFERROR($B$381:$B$498&lt;=E106+30,0))*($G$381:$G$498&gt;0)*($L$381:$L$498&lt;&gt;L106),0),0)),"")),"")</f>
        <v/>
      </c>
      <c r="R106" s="32"/>
      <c r="S106" s="31" t="str">
        <f>IF(R106&lt;&gt;"",R106,Q106)</f>
        <v/>
      </c>
      <c r="T106" s="63">
        <f>IF(OR(N106="",O106=0),0,N106*O106)</f>
        <v>0</v>
      </c>
      <c r="U106" s="63">
        <f>IF(COUNTIF($S$18:$S$498,L106)=0,"",SUMIF($S$18:$S$498,L106,$T$18:$T$498))</f>
        <v>0</v>
      </c>
      <c r="V106" s="63" t="str">
        <f>IF(H106="","",IFERROR(H106+U106,H106))</f>
        <v/>
      </c>
      <c r="W106" s="63" t="str">
        <f>IF(OR(V106="",C106=""),"",V106/C106)</f>
        <v/>
      </c>
      <c r="X106" s="11" t="str">
        <f>IF(A106="","",IF(AND(U106&lt;&gt;"",U106&lt;&gt;0,M106=0),"Replacement lot receiving wash basis",IF(J106="","",IF(J106&gt;=0,"",IF(O106=0,"No replacement buy found",IF(P106&gt;1,"Manual selection needed","Auto matched"))))))</f>
        <v/>
      </c>
      <c r="Z106" t="str">
        <f>IF(K106="Yes",COUNTIF($K$18:K106,"Yes"),"")</f>
        <v/>
      </c>
    </row>
    <row r="107" spans="1:26" ht="34.15" customHeight="1" x14ac:dyDescent="0.2">
      <c r="A107" s="9"/>
      <c r="B107" s="69"/>
      <c r="C107" s="30"/>
      <c r="D107" s="70"/>
      <c r="E107" s="69"/>
      <c r="F107" s="70"/>
      <c r="G107" s="30"/>
      <c r="H107" s="63" t="str">
        <f>IF(OR(C107="",D107=""),"",C107*D107)</f>
        <v/>
      </c>
      <c r="I107" s="63" t="str">
        <f>IF(OR(E107="",F107="",M107&lt;=0),"",M107*F107)</f>
        <v/>
      </c>
      <c r="J107" s="63" t="str">
        <f>IF(I107="","",I107-(M107*D107))</f>
        <v/>
      </c>
      <c r="K107" s="28" t="str">
        <f>IF(A107="","",IF(T107&gt;0,"Yes","No"))</f>
        <v/>
      </c>
      <c r="L107" s="28" t="str">
        <f>IF(A107="","",A107&amp;"-"&amp;TEXT(B107,"yyyymmdd")&amp;"-R"&amp;ROW())</f>
        <v/>
      </c>
      <c r="M107" s="28" t="str">
        <f>IF(OR(C107="",G107=""),"",C107-G107)</f>
        <v/>
      </c>
      <c r="N107" s="63" t="str">
        <f>IF(OR(M107&lt;=0,J107&gt;=0),"",ABS(J107)/M107)</f>
        <v/>
      </c>
      <c r="O107" s="63" t="str">
        <f>IF(OR(A107="",M107&lt;=0,J107&gt;=0),"",MIN(M107,SUMPRODUCT(($A$18:$A$379=A107)*(IFERROR($B$18:$B$379&gt;=E107-30,0))*(IFERROR($B$18:$B$379&lt;=E107+30,0))*($G$18:$G$379&gt;0)*($L$18:$L$379&lt;&gt;L107)*($G$18:$G$379))+SUMPRODUCT(($A$381:$A$498=A107)*(IFERROR($B$381:$B$498&gt;=E107-30,0))*(IFERROR($B$381:$B$498&lt;=E107+30,0))*($G$381:$G$498&gt;0)*($L$381:$L$498&lt;&gt;L107)*($G$381:$G$498))))</f>
        <v/>
      </c>
      <c r="P107" s="28" t="str">
        <f>IF(OR(A107="",M107&lt;=0,J107&gt;=0),"",SUMPRODUCT(($A$18:$A$379=A107)*(IFERROR($B$18:$B$379&gt;=E107-30,0))*(IFERROR($B$18:$B$379&lt;=E107+30,0))*($G$18:$G$379&gt;0)*($L$18:$L$379&lt;&gt;L107))+SUMPRODUCT(($A$381:$A$498=A107)*(IFERROR($B$381:$B$498&gt;=E107-30,0))*(IFERROR($B$381:$B$498&lt;=E107+30,0))*($G$381:$G$498&gt;0)*($L$381:$L$498&lt;&gt;L107)))</f>
        <v/>
      </c>
      <c r="Q107" s="31" t="str">
        <f>IF(P107=1,IFERROR(INDEX($L$18:$L$379,MATCH(1,INDEX(($A$18:$A$379=A107)*(IFERROR($B$18:$B$379&gt;=E107-30,0))*(IFERROR($B$18:$B$379&lt;=E107+30,0))*($G$18:$G$379&gt;0)*($L$18:$L$379&lt;&gt;L107),0),0)),IFERROR(INDEX($L$381:$L$498,MATCH(1,INDEX(($A$381:$A$498=A107)*(IFERROR($B$381:$B$498&gt;=E107-30,0))*(IFERROR($B$381:$B$498&lt;=E107+30,0))*($G$381:$G$498&gt;0)*($L$381:$L$498&lt;&gt;L107),0),0)),"")),"")</f>
        <v/>
      </c>
      <c r="R107" s="32"/>
      <c r="S107" s="31" t="str">
        <f>IF(R107&lt;&gt;"",R107,Q107)</f>
        <v/>
      </c>
      <c r="T107" s="63">
        <f>IF(OR(N107="",O107=0),0,N107*O107)</f>
        <v>0</v>
      </c>
      <c r="U107" s="63">
        <f>IF(COUNTIF($S$18:$S$498,L107)=0,"",SUMIF($S$18:$S$498,L107,$T$18:$T$498))</f>
        <v>0</v>
      </c>
      <c r="V107" s="63" t="str">
        <f>IF(H107="","",IFERROR(H107+U107,H107))</f>
        <v/>
      </c>
      <c r="W107" s="63" t="str">
        <f>IF(OR(V107="",C107=""),"",V107/C107)</f>
        <v/>
      </c>
      <c r="X107" s="11" t="str">
        <f>IF(A107="","",IF(AND(U107&lt;&gt;"",U107&lt;&gt;0,M107=0),"Replacement lot receiving wash basis",IF(J107="","",IF(J107&gt;=0,"",IF(O107=0,"No replacement buy found",IF(P107&gt;1,"Manual selection needed","Auto matched"))))))</f>
        <v/>
      </c>
      <c r="Z107" t="str">
        <f>IF(K107="Yes",COUNTIF($K$18:K107,"Yes"),"")</f>
        <v/>
      </c>
    </row>
    <row r="108" spans="1:26" ht="34.15" customHeight="1" x14ac:dyDescent="0.2">
      <c r="A108" s="9"/>
      <c r="B108" s="69"/>
      <c r="C108" s="30"/>
      <c r="D108" s="70"/>
      <c r="E108" s="69"/>
      <c r="F108" s="70"/>
      <c r="G108" s="30"/>
      <c r="H108" s="63" t="str">
        <f>IF(OR(C108="",D108=""),"",C108*D108)</f>
        <v/>
      </c>
      <c r="I108" s="63" t="str">
        <f>IF(OR(E108="",F108="",M108&lt;=0),"",M108*F108)</f>
        <v/>
      </c>
      <c r="J108" s="63" t="str">
        <f>IF(I108="","",I108-(M108*D108))</f>
        <v/>
      </c>
      <c r="K108" s="28" t="str">
        <f>IF(A108="","",IF(T108&gt;0,"Yes","No"))</f>
        <v/>
      </c>
      <c r="L108" s="28" t="str">
        <f>IF(A108="","",A108&amp;"-"&amp;TEXT(B108,"yyyymmdd")&amp;"-R"&amp;ROW())</f>
        <v/>
      </c>
      <c r="M108" s="28" t="str">
        <f>IF(OR(C108="",G108=""),"",C108-G108)</f>
        <v/>
      </c>
      <c r="N108" s="63" t="str">
        <f>IF(OR(M108&lt;=0,J108&gt;=0),"",ABS(J108)/M108)</f>
        <v/>
      </c>
      <c r="O108" s="63" t="str">
        <f>IF(OR(A108="",M108&lt;=0,J108&gt;=0),"",MIN(M108,SUMPRODUCT(($A$18:$A$379=A108)*(IFERROR($B$18:$B$379&gt;=E108-30,0))*(IFERROR($B$18:$B$379&lt;=E108+30,0))*($G$18:$G$379&gt;0)*($L$18:$L$379&lt;&gt;L108)*($G$18:$G$379))+SUMPRODUCT(($A$381:$A$498=A108)*(IFERROR($B$381:$B$498&gt;=E108-30,0))*(IFERROR($B$381:$B$498&lt;=E108+30,0))*($G$381:$G$498&gt;0)*($L$381:$L$498&lt;&gt;L108)*($G$381:$G$498))))</f>
        <v/>
      </c>
      <c r="P108" s="28" t="str">
        <f>IF(OR(A108="",M108&lt;=0,J108&gt;=0),"",SUMPRODUCT(($A$18:$A$379=A108)*(IFERROR($B$18:$B$379&gt;=E108-30,0))*(IFERROR($B$18:$B$379&lt;=E108+30,0))*($G$18:$G$379&gt;0)*($L$18:$L$379&lt;&gt;L108))+SUMPRODUCT(($A$381:$A$498=A108)*(IFERROR($B$381:$B$498&gt;=E108-30,0))*(IFERROR($B$381:$B$498&lt;=E108+30,0))*($G$381:$G$498&gt;0)*($L$381:$L$498&lt;&gt;L108)))</f>
        <v/>
      </c>
      <c r="Q108" s="31" t="str">
        <f>IF(P108=1,IFERROR(INDEX($L$18:$L$379,MATCH(1,INDEX(($A$18:$A$379=A108)*(IFERROR($B$18:$B$379&gt;=E108-30,0))*(IFERROR($B$18:$B$379&lt;=E108+30,0))*($G$18:$G$379&gt;0)*($L$18:$L$379&lt;&gt;L108),0),0)),IFERROR(INDEX($L$381:$L$498,MATCH(1,INDEX(($A$381:$A$498=A108)*(IFERROR($B$381:$B$498&gt;=E108-30,0))*(IFERROR($B$381:$B$498&lt;=E108+30,0))*($G$381:$G$498&gt;0)*($L$381:$L$498&lt;&gt;L108),0),0)),"")),"")</f>
        <v/>
      </c>
      <c r="R108" s="32"/>
      <c r="S108" s="31" t="str">
        <f>IF(R108&lt;&gt;"",R108,Q108)</f>
        <v/>
      </c>
      <c r="T108" s="63">
        <f>IF(OR(N108="",O108=0),0,N108*O108)</f>
        <v>0</v>
      </c>
      <c r="U108" s="63">
        <f>IF(COUNTIF($S$18:$S$498,L108)=0,"",SUMIF($S$18:$S$498,L108,$T$18:$T$498))</f>
        <v>0</v>
      </c>
      <c r="V108" s="63" t="str">
        <f>IF(H108="","",IFERROR(H108+U108,H108))</f>
        <v/>
      </c>
      <c r="W108" s="63" t="str">
        <f>IF(OR(V108="",C108=""),"",V108/C108)</f>
        <v/>
      </c>
      <c r="X108" s="11" t="str">
        <f>IF(A108="","",IF(AND(U108&lt;&gt;"",U108&lt;&gt;0,M108=0),"Replacement lot receiving wash basis",IF(J108="","",IF(J108&gt;=0,"",IF(O108=0,"No replacement buy found",IF(P108&gt;1,"Manual selection needed","Auto matched"))))))</f>
        <v/>
      </c>
      <c r="Z108" t="str">
        <f>IF(K108="Yes",COUNTIF($K$18:K108,"Yes"),"")</f>
        <v/>
      </c>
    </row>
    <row r="109" spans="1:26" ht="34.15" customHeight="1" x14ac:dyDescent="0.2">
      <c r="A109" s="9"/>
      <c r="B109" s="69"/>
      <c r="C109" s="30"/>
      <c r="D109" s="70"/>
      <c r="E109" s="69"/>
      <c r="F109" s="70"/>
      <c r="G109" s="30"/>
      <c r="H109" s="63" t="str">
        <f>IF(OR(C109="",D109=""),"",C109*D109)</f>
        <v/>
      </c>
      <c r="I109" s="63" t="str">
        <f>IF(OR(E109="",F109="",M109&lt;=0),"",M109*F109)</f>
        <v/>
      </c>
      <c r="J109" s="63" t="str">
        <f>IF(I109="","",I109-(M109*D109))</f>
        <v/>
      </c>
      <c r="K109" s="28" t="str">
        <f>IF(A109="","",IF(T109&gt;0,"Yes","No"))</f>
        <v/>
      </c>
      <c r="L109" s="28" t="str">
        <f>IF(A109="","",A109&amp;"-"&amp;TEXT(B109,"yyyymmdd")&amp;"-R"&amp;ROW())</f>
        <v/>
      </c>
      <c r="M109" s="28" t="str">
        <f>IF(OR(C109="",G109=""),"",C109-G109)</f>
        <v/>
      </c>
      <c r="N109" s="63" t="str">
        <f>IF(OR(M109&lt;=0,J109&gt;=0),"",ABS(J109)/M109)</f>
        <v/>
      </c>
      <c r="O109" s="63" t="str">
        <f>IF(OR(A109="",M109&lt;=0,J109&gt;=0),"",MIN(M109,SUMPRODUCT(($A$18:$A$379=A109)*(IFERROR($B$18:$B$379&gt;=E109-30,0))*(IFERROR($B$18:$B$379&lt;=E109+30,0))*($G$18:$G$379&gt;0)*($L$18:$L$379&lt;&gt;L109)*($G$18:$G$379))+SUMPRODUCT(($A$381:$A$498=A109)*(IFERROR($B$381:$B$498&gt;=E109-30,0))*(IFERROR($B$381:$B$498&lt;=E109+30,0))*($G$381:$G$498&gt;0)*($L$381:$L$498&lt;&gt;L109)*($G$381:$G$498))))</f>
        <v/>
      </c>
      <c r="P109" s="28" t="str">
        <f>IF(OR(A109="",M109&lt;=0,J109&gt;=0),"",SUMPRODUCT(($A$18:$A$379=A109)*(IFERROR($B$18:$B$379&gt;=E109-30,0))*(IFERROR($B$18:$B$379&lt;=E109+30,0))*($G$18:$G$379&gt;0)*($L$18:$L$379&lt;&gt;L109))+SUMPRODUCT(($A$381:$A$498=A109)*(IFERROR($B$381:$B$498&gt;=E109-30,0))*(IFERROR($B$381:$B$498&lt;=E109+30,0))*($G$381:$G$498&gt;0)*($L$381:$L$498&lt;&gt;L109)))</f>
        <v/>
      </c>
      <c r="Q109" s="31" t="str">
        <f>IF(P109=1,IFERROR(INDEX($L$18:$L$379,MATCH(1,INDEX(($A$18:$A$379=A109)*(IFERROR($B$18:$B$379&gt;=E109-30,0))*(IFERROR($B$18:$B$379&lt;=E109+30,0))*($G$18:$G$379&gt;0)*($L$18:$L$379&lt;&gt;L109),0),0)),IFERROR(INDEX($L$381:$L$498,MATCH(1,INDEX(($A$381:$A$498=A109)*(IFERROR($B$381:$B$498&gt;=E109-30,0))*(IFERROR($B$381:$B$498&lt;=E109+30,0))*($G$381:$G$498&gt;0)*($L$381:$L$498&lt;&gt;L109),0),0)),"")),"")</f>
        <v/>
      </c>
      <c r="R109" s="32"/>
      <c r="S109" s="31" t="str">
        <f>IF(R109&lt;&gt;"",R109,Q109)</f>
        <v/>
      </c>
      <c r="T109" s="63">
        <f>IF(OR(N109="",O109=0),0,N109*O109)</f>
        <v>0</v>
      </c>
      <c r="U109" s="63">
        <f>IF(COUNTIF($S$18:$S$498,L109)=0,"",SUMIF($S$18:$S$498,L109,$T$18:$T$498))</f>
        <v>0</v>
      </c>
      <c r="V109" s="63" t="str">
        <f>IF(H109="","",IFERROR(H109+U109,H109))</f>
        <v/>
      </c>
      <c r="W109" s="63" t="str">
        <f>IF(OR(V109="",C109=""),"",V109/C109)</f>
        <v/>
      </c>
      <c r="X109" s="11" t="str">
        <f>IF(A109="","",IF(AND(U109&lt;&gt;"",U109&lt;&gt;0,M109=0),"Replacement lot receiving wash basis",IF(J109="","",IF(J109&gt;=0,"",IF(O109=0,"No replacement buy found",IF(P109&gt;1,"Manual selection needed","Auto matched"))))))</f>
        <v/>
      </c>
      <c r="Z109" t="str">
        <f>IF(K109="Yes",COUNTIF($K$18:K109,"Yes"),"")</f>
        <v/>
      </c>
    </row>
    <row r="110" spans="1:26" ht="34.15" customHeight="1" x14ac:dyDescent="0.2">
      <c r="A110" s="9"/>
      <c r="B110" s="69"/>
      <c r="C110" s="30"/>
      <c r="D110" s="70"/>
      <c r="E110" s="69"/>
      <c r="F110" s="70"/>
      <c r="G110" s="30"/>
      <c r="H110" s="63" t="str">
        <f>IF(OR(C110="",D110=""),"",C110*D110)</f>
        <v/>
      </c>
      <c r="I110" s="63" t="str">
        <f>IF(OR(E110="",F110="",M110&lt;=0),"",M110*F110)</f>
        <v/>
      </c>
      <c r="J110" s="63" t="str">
        <f>IF(I110="","",I110-(M110*D110))</f>
        <v/>
      </c>
      <c r="K110" s="28" t="str">
        <f>IF(A110="","",IF(T110&gt;0,"Yes","No"))</f>
        <v/>
      </c>
      <c r="L110" s="28" t="str">
        <f>IF(A110="","",A110&amp;"-"&amp;TEXT(B110,"yyyymmdd")&amp;"-R"&amp;ROW())</f>
        <v/>
      </c>
      <c r="M110" s="28" t="str">
        <f>IF(OR(C110="",G110=""),"",C110-G110)</f>
        <v/>
      </c>
      <c r="N110" s="63" t="str">
        <f>IF(OR(M110&lt;=0,J110&gt;=0),"",ABS(J110)/M110)</f>
        <v/>
      </c>
      <c r="O110" s="63" t="str">
        <f>IF(OR(A110="",M110&lt;=0,J110&gt;=0),"",MIN(M110,SUMPRODUCT(($A$18:$A$379=A110)*(IFERROR($B$18:$B$379&gt;=E110-30,0))*(IFERROR($B$18:$B$379&lt;=E110+30,0))*($G$18:$G$379&gt;0)*($L$18:$L$379&lt;&gt;L110)*($G$18:$G$379))+SUMPRODUCT(($A$381:$A$498=A110)*(IFERROR($B$381:$B$498&gt;=E110-30,0))*(IFERROR($B$381:$B$498&lt;=E110+30,0))*($G$381:$G$498&gt;0)*($L$381:$L$498&lt;&gt;L110)*($G$381:$G$498))))</f>
        <v/>
      </c>
      <c r="P110" s="28" t="str">
        <f>IF(OR(A110="",M110&lt;=0,J110&gt;=0),"",SUMPRODUCT(($A$18:$A$379=A110)*(IFERROR($B$18:$B$379&gt;=E110-30,0))*(IFERROR($B$18:$B$379&lt;=E110+30,0))*($G$18:$G$379&gt;0)*($L$18:$L$379&lt;&gt;L110))+SUMPRODUCT(($A$381:$A$498=A110)*(IFERROR($B$381:$B$498&gt;=E110-30,0))*(IFERROR($B$381:$B$498&lt;=E110+30,0))*($G$381:$G$498&gt;0)*($L$381:$L$498&lt;&gt;L110)))</f>
        <v/>
      </c>
      <c r="Q110" s="31" t="str">
        <f>IF(P110=1,IFERROR(INDEX($L$18:$L$379,MATCH(1,INDEX(($A$18:$A$379=A110)*(IFERROR($B$18:$B$379&gt;=E110-30,0))*(IFERROR($B$18:$B$379&lt;=E110+30,0))*($G$18:$G$379&gt;0)*($L$18:$L$379&lt;&gt;L110),0),0)),IFERROR(INDEX($L$381:$L$498,MATCH(1,INDEX(($A$381:$A$498=A110)*(IFERROR($B$381:$B$498&gt;=E110-30,0))*(IFERROR($B$381:$B$498&lt;=E110+30,0))*($G$381:$G$498&gt;0)*($L$381:$L$498&lt;&gt;L110),0),0)),"")),"")</f>
        <v/>
      </c>
      <c r="R110" s="32"/>
      <c r="S110" s="31" t="str">
        <f>IF(R110&lt;&gt;"",R110,Q110)</f>
        <v/>
      </c>
      <c r="T110" s="63">
        <f>IF(OR(N110="",O110=0),0,N110*O110)</f>
        <v>0</v>
      </c>
      <c r="U110" s="63">
        <f>IF(COUNTIF($S$18:$S$498,L110)=0,"",SUMIF($S$18:$S$498,L110,$T$18:$T$498))</f>
        <v>0</v>
      </c>
      <c r="V110" s="63" t="str">
        <f>IF(H110="","",IFERROR(H110+U110,H110))</f>
        <v/>
      </c>
      <c r="W110" s="63" t="str">
        <f>IF(OR(V110="",C110=""),"",V110/C110)</f>
        <v/>
      </c>
      <c r="X110" s="11" t="str">
        <f>IF(A110="","",IF(AND(U110&lt;&gt;"",U110&lt;&gt;0,M110=0),"Replacement lot receiving wash basis",IF(J110="","",IF(J110&gt;=0,"",IF(O110=0,"No replacement buy found",IF(P110&gt;1,"Manual selection needed","Auto matched"))))))</f>
        <v/>
      </c>
      <c r="Z110" t="str">
        <f>IF(K110="Yes",COUNTIF($K$18:K110,"Yes"),"")</f>
        <v/>
      </c>
    </row>
    <row r="111" spans="1:26" ht="34.15" customHeight="1" x14ac:dyDescent="0.2">
      <c r="A111" s="9"/>
      <c r="B111" s="69"/>
      <c r="C111" s="30"/>
      <c r="D111" s="70"/>
      <c r="E111" s="69"/>
      <c r="F111" s="70"/>
      <c r="G111" s="30"/>
      <c r="H111" s="63" t="str">
        <f>IF(OR(C111="",D111=""),"",C111*D111)</f>
        <v/>
      </c>
      <c r="I111" s="63" t="str">
        <f>IF(OR(E111="",F111="",M111&lt;=0),"",M111*F111)</f>
        <v/>
      </c>
      <c r="J111" s="63" t="str">
        <f>IF(I111="","",I111-(M111*D111))</f>
        <v/>
      </c>
      <c r="K111" s="28" t="str">
        <f>IF(A111="","",IF(T111&gt;0,"Yes","No"))</f>
        <v/>
      </c>
      <c r="L111" s="28" t="str">
        <f>IF(A111="","",A111&amp;"-"&amp;TEXT(B111,"yyyymmdd")&amp;"-R"&amp;ROW())</f>
        <v/>
      </c>
      <c r="M111" s="28" t="str">
        <f>IF(OR(C111="",G111=""),"",C111-G111)</f>
        <v/>
      </c>
      <c r="N111" s="63" t="str">
        <f>IF(OR(M111&lt;=0,J111&gt;=0),"",ABS(J111)/M111)</f>
        <v/>
      </c>
      <c r="O111" s="63" t="str">
        <f>IF(OR(A111="",M111&lt;=0,J111&gt;=0),"",MIN(M111,SUMPRODUCT(($A$18:$A$379=A111)*(IFERROR($B$18:$B$379&gt;=E111-30,0))*(IFERROR($B$18:$B$379&lt;=E111+30,0))*($G$18:$G$379&gt;0)*($L$18:$L$379&lt;&gt;L111)*($G$18:$G$379))+SUMPRODUCT(($A$381:$A$498=A111)*(IFERROR($B$381:$B$498&gt;=E111-30,0))*(IFERROR($B$381:$B$498&lt;=E111+30,0))*($G$381:$G$498&gt;0)*($L$381:$L$498&lt;&gt;L111)*($G$381:$G$498))))</f>
        <v/>
      </c>
      <c r="P111" s="28" t="str">
        <f>IF(OR(A111="",M111&lt;=0,J111&gt;=0),"",SUMPRODUCT(($A$18:$A$379=A111)*(IFERROR($B$18:$B$379&gt;=E111-30,0))*(IFERROR($B$18:$B$379&lt;=E111+30,0))*($G$18:$G$379&gt;0)*($L$18:$L$379&lt;&gt;L111))+SUMPRODUCT(($A$381:$A$498=A111)*(IFERROR($B$381:$B$498&gt;=E111-30,0))*(IFERROR($B$381:$B$498&lt;=E111+30,0))*($G$381:$G$498&gt;0)*($L$381:$L$498&lt;&gt;L111)))</f>
        <v/>
      </c>
      <c r="Q111" s="31" t="str">
        <f>IF(P111=1,IFERROR(INDEX($L$18:$L$379,MATCH(1,INDEX(($A$18:$A$379=A111)*(IFERROR($B$18:$B$379&gt;=E111-30,0))*(IFERROR($B$18:$B$379&lt;=E111+30,0))*($G$18:$G$379&gt;0)*($L$18:$L$379&lt;&gt;L111),0),0)),IFERROR(INDEX($L$381:$L$498,MATCH(1,INDEX(($A$381:$A$498=A111)*(IFERROR($B$381:$B$498&gt;=E111-30,0))*(IFERROR($B$381:$B$498&lt;=E111+30,0))*($G$381:$G$498&gt;0)*($L$381:$L$498&lt;&gt;L111),0),0)),"")),"")</f>
        <v/>
      </c>
      <c r="R111" s="32"/>
      <c r="S111" s="31" t="str">
        <f>IF(R111&lt;&gt;"",R111,Q111)</f>
        <v/>
      </c>
      <c r="T111" s="63">
        <f>IF(OR(N111="",O111=0),0,N111*O111)</f>
        <v>0</v>
      </c>
      <c r="U111" s="63">
        <f>IF(COUNTIF($S$18:$S$498,L111)=0,"",SUMIF($S$18:$S$498,L111,$T$18:$T$498))</f>
        <v>0</v>
      </c>
      <c r="V111" s="63" t="str">
        <f>IF(H111="","",IFERROR(H111+U111,H111))</f>
        <v/>
      </c>
      <c r="W111" s="63" t="str">
        <f>IF(OR(V111="",C111=""),"",V111/C111)</f>
        <v/>
      </c>
      <c r="X111" s="11" t="str">
        <f>IF(A111="","",IF(AND(U111&lt;&gt;"",U111&lt;&gt;0,M111=0),"Replacement lot receiving wash basis",IF(J111="","",IF(J111&gt;=0,"",IF(O111=0,"No replacement buy found",IF(P111&gt;1,"Manual selection needed","Auto matched"))))))</f>
        <v/>
      </c>
      <c r="Z111" t="str">
        <f>IF(K111="Yes",COUNTIF($K$18:K111,"Yes"),"")</f>
        <v/>
      </c>
    </row>
    <row r="112" spans="1:26" ht="34.15" customHeight="1" x14ac:dyDescent="0.2">
      <c r="A112" s="9"/>
      <c r="B112" s="69"/>
      <c r="C112" s="30"/>
      <c r="D112" s="70"/>
      <c r="E112" s="69"/>
      <c r="F112" s="70"/>
      <c r="G112" s="30"/>
      <c r="H112" s="63" t="str">
        <f>IF(OR(C112="",D112=""),"",C112*D112)</f>
        <v/>
      </c>
      <c r="I112" s="63" t="str">
        <f>IF(OR(E112="",F112="",M112&lt;=0),"",M112*F112)</f>
        <v/>
      </c>
      <c r="J112" s="63" t="str">
        <f>IF(I112="","",I112-(M112*D112))</f>
        <v/>
      </c>
      <c r="K112" s="28" t="str">
        <f>IF(A112="","",IF(T112&gt;0,"Yes","No"))</f>
        <v/>
      </c>
      <c r="L112" s="28" t="str">
        <f>IF(A112="","",A112&amp;"-"&amp;TEXT(B112,"yyyymmdd")&amp;"-R"&amp;ROW())</f>
        <v/>
      </c>
      <c r="M112" s="28" t="str">
        <f>IF(OR(C112="",G112=""),"",C112-G112)</f>
        <v/>
      </c>
      <c r="N112" s="63" t="str">
        <f>IF(OR(M112&lt;=0,J112&gt;=0),"",ABS(J112)/M112)</f>
        <v/>
      </c>
      <c r="O112" s="63" t="str">
        <f>IF(OR(A112="",M112&lt;=0,J112&gt;=0),"",MIN(M112,SUMPRODUCT(($A$18:$A$379=A112)*(IFERROR($B$18:$B$379&gt;=E112-30,0))*(IFERROR($B$18:$B$379&lt;=E112+30,0))*($G$18:$G$379&gt;0)*($L$18:$L$379&lt;&gt;L112)*($G$18:$G$379))+SUMPRODUCT(($A$381:$A$498=A112)*(IFERROR($B$381:$B$498&gt;=E112-30,0))*(IFERROR($B$381:$B$498&lt;=E112+30,0))*($G$381:$G$498&gt;0)*($L$381:$L$498&lt;&gt;L112)*($G$381:$G$498))))</f>
        <v/>
      </c>
      <c r="P112" s="28" t="str">
        <f>IF(OR(A112="",M112&lt;=0,J112&gt;=0),"",SUMPRODUCT(($A$18:$A$379=A112)*(IFERROR($B$18:$B$379&gt;=E112-30,0))*(IFERROR($B$18:$B$379&lt;=E112+30,0))*($G$18:$G$379&gt;0)*($L$18:$L$379&lt;&gt;L112))+SUMPRODUCT(($A$381:$A$498=A112)*(IFERROR($B$381:$B$498&gt;=E112-30,0))*(IFERROR($B$381:$B$498&lt;=E112+30,0))*($G$381:$G$498&gt;0)*($L$381:$L$498&lt;&gt;L112)))</f>
        <v/>
      </c>
      <c r="Q112" s="31" t="str">
        <f>IF(P112=1,IFERROR(INDEX($L$18:$L$379,MATCH(1,INDEX(($A$18:$A$379=A112)*(IFERROR($B$18:$B$379&gt;=E112-30,0))*(IFERROR($B$18:$B$379&lt;=E112+30,0))*($G$18:$G$379&gt;0)*($L$18:$L$379&lt;&gt;L112),0),0)),IFERROR(INDEX($L$381:$L$498,MATCH(1,INDEX(($A$381:$A$498=A112)*(IFERROR($B$381:$B$498&gt;=E112-30,0))*(IFERROR($B$381:$B$498&lt;=E112+30,0))*($G$381:$G$498&gt;0)*($L$381:$L$498&lt;&gt;L112),0),0)),"")),"")</f>
        <v/>
      </c>
      <c r="R112" s="32"/>
      <c r="S112" s="31" t="str">
        <f>IF(R112&lt;&gt;"",R112,Q112)</f>
        <v/>
      </c>
      <c r="T112" s="63">
        <f>IF(OR(N112="",O112=0),0,N112*O112)</f>
        <v>0</v>
      </c>
      <c r="U112" s="63">
        <f>IF(COUNTIF($S$18:$S$498,L112)=0,"",SUMIF($S$18:$S$498,L112,$T$18:$T$498))</f>
        <v>0</v>
      </c>
      <c r="V112" s="63" t="str">
        <f>IF(H112="","",IFERROR(H112+U112,H112))</f>
        <v/>
      </c>
      <c r="W112" s="63" t="str">
        <f>IF(OR(V112="",C112=""),"",V112/C112)</f>
        <v/>
      </c>
      <c r="X112" s="11" t="str">
        <f>IF(A112="","",IF(AND(U112&lt;&gt;"",U112&lt;&gt;0,M112=0),"Replacement lot receiving wash basis",IF(J112="","",IF(J112&gt;=0,"",IF(O112=0,"No replacement buy found",IF(P112&gt;1,"Manual selection needed","Auto matched"))))))</f>
        <v/>
      </c>
      <c r="Z112" t="str">
        <f>IF(K112="Yes",COUNTIF($K$18:K112,"Yes"),"")</f>
        <v/>
      </c>
    </row>
    <row r="113" spans="1:26" ht="34.15" customHeight="1" x14ac:dyDescent="0.2">
      <c r="A113" s="9"/>
      <c r="B113" s="69"/>
      <c r="C113" s="30"/>
      <c r="D113" s="70"/>
      <c r="E113" s="69"/>
      <c r="F113" s="70"/>
      <c r="G113" s="30"/>
      <c r="H113" s="63" t="str">
        <f>IF(OR(C113="",D113=""),"",C113*D113)</f>
        <v/>
      </c>
      <c r="I113" s="63" t="str">
        <f>IF(OR(E113="",F113="",M113&lt;=0),"",M113*F113)</f>
        <v/>
      </c>
      <c r="J113" s="63" t="str">
        <f>IF(I113="","",I113-(M113*D113))</f>
        <v/>
      </c>
      <c r="K113" s="28" t="str">
        <f>IF(A113="","",IF(T113&gt;0,"Yes","No"))</f>
        <v/>
      </c>
      <c r="L113" s="28" t="str">
        <f>IF(A113="","",A113&amp;"-"&amp;TEXT(B113,"yyyymmdd")&amp;"-R"&amp;ROW())</f>
        <v/>
      </c>
      <c r="M113" s="28" t="str">
        <f>IF(OR(C113="",G113=""),"",C113-G113)</f>
        <v/>
      </c>
      <c r="N113" s="63" t="str">
        <f>IF(OR(M113&lt;=0,J113&gt;=0),"",ABS(J113)/M113)</f>
        <v/>
      </c>
      <c r="O113" s="63" t="str">
        <f>IF(OR(A113="",M113&lt;=0,J113&gt;=0),"",MIN(M113,SUMPRODUCT(($A$18:$A$379=A113)*(IFERROR($B$18:$B$379&gt;=E113-30,0))*(IFERROR($B$18:$B$379&lt;=E113+30,0))*($G$18:$G$379&gt;0)*($L$18:$L$379&lt;&gt;L113)*($G$18:$G$379))+SUMPRODUCT(($A$381:$A$498=A113)*(IFERROR($B$381:$B$498&gt;=E113-30,0))*(IFERROR($B$381:$B$498&lt;=E113+30,0))*($G$381:$G$498&gt;0)*($L$381:$L$498&lt;&gt;L113)*($G$381:$G$498))))</f>
        <v/>
      </c>
      <c r="P113" s="28" t="str">
        <f>IF(OR(A113="",M113&lt;=0,J113&gt;=0),"",SUMPRODUCT(($A$18:$A$379=A113)*(IFERROR($B$18:$B$379&gt;=E113-30,0))*(IFERROR($B$18:$B$379&lt;=E113+30,0))*($G$18:$G$379&gt;0)*($L$18:$L$379&lt;&gt;L113))+SUMPRODUCT(($A$381:$A$498=A113)*(IFERROR($B$381:$B$498&gt;=E113-30,0))*(IFERROR($B$381:$B$498&lt;=E113+30,0))*($G$381:$G$498&gt;0)*($L$381:$L$498&lt;&gt;L113)))</f>
        <v/>
      </c>
      <c r="Q113" s="31" t="str">
        <f>IF(P113=1,IFERROR(INDEX($L$18:$L$379,MATCH(1,INDEX(($A$18:$A$379=A113)*(IFERROR($B$18:$B$379&gt;=E113-30,0))*(IFERROR($B$18:$B$379&lt;=E113+30,0))*($G$18:$G$379&gt;0)*($L$18:$L$379&lt;&gt;L113),0),0)),IFERROR(INDEX($L$381:$L$498,MATCH(1,INDEX(($A$381:$A$498=A113)*(IFERROR($B$381:$B$498&gt;=E113-30,0))*(IFERROR($B$381:$B$498&lt;=E113+30,0))*($G$381:$G$498&gt;0)*($L$381:$L$498&lt;&gt;L113),0),0)),"")),"")</f>
        <v/>
      </c>
      <c r="R113" s="32"/>
      <c r="S113" s="31" t="str">
        <f>IF(R113&lt;&gt;"",R113,Q113)</f>
        <v/>
      </c>
      <c r="T113" s="63">
        <f>IF(OR(N113="",O113=0),0,N113*O113)</f>
        <v>0</v>
      </c>
      <c r="U113" s="63">
        <f>IF(COUNTIF($S$18:$S$498,L113)=0,"",SUMIF($S$18:$S$498,L113,$T$18:$T$498))</f>
        <v>0</v>
      </c>
      <c r="V113" s="63" t="str">
        <f>IF(H113="","",IFERROR(H113+U113,H113))</f>
        <v/>
      </c>
      <c r="W113" s="63" t="str">
        <f>IF(OR(V113="",C113=""),"",V113/C113)</f>
        <v/>
      </c>
      <c r="X113" s="11" t="str">
        <f>IF(A113="","",IF(AND(U113&lt;&gt;"",U113&lt;&gt;0,M113=0),"Replacement lot receiving wash basis",IF(J113="","",IF(J113&gt;=0,"",IF(O113=0,"No replacement buy found",IF(P113&gt;1,"Manual selection needed","Auto matched"))))))</f>
        <v/>
      </c>
      <c r="Z113" t="str">
        <f>IF(K113="Yes",COUNTIF($K$18:K113,"Yes"),"")</f>
        <v/>
      </c>
    </row>
    <row r="114" spans="1:26" ht="34.15" customHeight="1" x14ac:dyDescent="0.2">
      <c r="A114" s="9"/>
      <c r="B114" s="69"/>
      <c r="C114" s="30"/>
      <c r="D114" s="70"/>
      <c r="E114" s="69"/>
      <c r="F114" s="70"/>
      <c r="G114" s="30"/>
      <c r="H114" s="63" t="str">
        <f>IF(OR(C114="",D114=""),"",C114*D114)</f>
        <v/>
      </c>
      <c r="I114" s="63" t="str">
        <f>IF(OR(E114="",F114="",M114&lt;=0),"",M114*F114)</f>
        <v/>
      </c>
      <c r="J114" s="63" t="str">
        <f>IF(I114="","",I114-(M114*D114))</f>
        <v/>
      </c>
      <c r="K114" s="28" t="str">
        <f>IF(A114="","",IF(T114&gt;0,"Yes","No"))</f>
        <v/>
      </c>
      <c r="L114" s="28" t="str">
        <f>IF(A114="","",A114&amp;"-"&amp;TEXT(B114,"yyyymmdd")&amp;"-R"&amp;ROW())</f>
        <v/>
      </c>
      <c r="M114" s="28" t="str">
        <f>IF(OR(C114="",G114=""),"",C114-G114)</f>
        <v/>
      </c>
      <c r="N114" s="63" t="str">
        <f>IF(OR(M114&lt;=0,J114&gt;=0),"",ABS(J114)/M114)</f>
        <v/>
      </c>
      <c r="O114" s="63" t="str">
        <f>IF(OR(A114="",M114&lt;=0,J114&gt;=0),"",MIN(M114,SUMPRODUCT(($A$18:$A$379=A114)*(IFERROR($B$18:$B$379&gt;=E114-30,0))*(IFERROR($B$18:$B$379&lt;=E114+30,0))*($G$18:$G$379&gt;0)*($L$18:$L$379&lt;&gt;L114)*($G$18:$G$379))+SUMPRODUCT(($A$381:$A$498=A114)*(IFERROR($B$381:$B$498&gt;=E114-30,0))*(IFERROR($B$381:$B$498&lt;=E114+30,0))*($G$381:$G$498&gt;0)*($L$381:$L$498&lt;&gt;L114)*($G$381:$G$498))))</f>
        <v/>
      </c>
      <c r="P114" s="28" t="str">
        <f>IF(OR(A114="",M114&lt;=0,J114&gt;=0),"",SUMPRODUCT(($A$18:$A$379=A114)*(IFERROR($B$18:$B$379&gt;=E114-30,0))*(IFERROR($B$18:$B$379&lt;=E114+30,0))*($G$18:$G$379&gt;0)*($L$18:$L$379&lt;&gt;L114))+SUMPRODUCT(($A$381:$A$498=A114)*(IFERROR($B$381:$B$498&gt;=E114-30,0))*(IFERROR($B$381:$B$498&lt;=E114+30,0))*($G$381:$G$498&gt;0)*($L$381:$L$498&lt;&gt;L114)))</f>
        <v/>
      </c>
      <c r="Q114" s="31" t="str">
        <f>IF(P114=1,IFERROR(INDEX($L$18:$L$379,MATCH(1,INDEX(($A$18:$A$379=A114)*(IFERROR($B$18:$B$379&gt;=E114-30,0))*(IFERROR($B$18:$B$379&lt;=E114+30,0))*($G$18:$G$379&gt;0)*($L$18:$L$379&lt;&gt;L114),0),0)),IFERROR(INDEX($L$381:$L$498,MATCH(1,INDEX(($A$381:$A$498=A114)*(IFERROR($B$381:$B$498&gt;=E114-30,0))*(IFERROR($B$381:$B$498&lt;=E114+30,0))*($G$381:$G$498&gt;0)*($L$381:$L$498&lt;&gt;L114),0),0)),"")),"")</f>
        <v/>
      </c>
      <c r="R114" s="32"/>
      <c r="S114" s="31" t="str">
        <f>IF(R114&lt;&gt;"",R114,Q114)</f>
        <v/>
      </c>
      <c r="T114" s="63">
        <f>IF(OR(N114="",O114=0),0,N114*O114)</f>
        <v>0</v>
      </c>
      <c r="U114" s="63">
        <f>IF(COUNTIF($S$18:$S$498,L114)=0,"",SUMIF($S$18:$S$498,L114,$T$18:$T$498))</f>
        <v>0</v>
      </c>
      <c r="V114" s="63" t="str">
        <f>IF(H114="","",IFERROR(H114+U114,H114))</f>
        <v/>
      </c>
      <c r="W114" s="63" t="str">
        <f>IF(OR(V114="",C114=""),"",V114/C114)</f>
        <v/>
      </c>
      <c r="X114" s="11" t="str">
        <f>IF(A114="","",IF(AND(U114&lt;&gt;"",U114&lt;&gt;0,M114=0),"Replacement lot receiving wash basis",IF(J114="","",IF(J114&gt;=0,"",IF(O114=0,"No replacement buy found",IF(P114&gt;1,"Manual selection needed","Auto matched"))))))</f>
        <v/>
      </c>
      <c r="Z114" t="str">
        <f>IF(K114="Yes",COUNTIF($K$18:K114,"Yes"),"")</f>
        <v/>
      </c>
    </row>
    <row r="115" spans="1:26" ht="34.15" customHeight="1" x14ac:dyDescent="0.2">
      <c r="A115" s="9"/>
      <c r="B115" s="69"/>
      <c r="C115" s="30"/>
      <c r="D115" s="70"/>
      <c r="E115" s="69"/>
      <c r="F115" s="70"/>
      <c r="G115" s="30"/>
      <c r="H115" s="63" t="str">
        <f>IF(OR(C115="",D115=""),"",C115*D115)</f>
        <v/>
      </c>
      <c r="I115" s="63" t="str">
        <f>IF(OR(E115="",F115="",M115&lt;=0),"",M115*F115)</f>
        <v/>
      </c>
      <c r="J115" s="63" t="str">
        <f>IF(I115="","",I115-(M115*D115))</f>
        <v/>
      </c>
      <c r="K115" s="28" t="str">
        <f>IF(A115="","",IF(T115&gt;0,"Yes","No"))</f>
        <v/>
      </c>
      <c r="L115" s="28" t="str">
        <f>IF(A115="","",A115&amp;"-"&amp;TEXT(B115,"yyyymmdd")&amp;"-R"&amp;ROW())</f>
        <v/>
      </c>
      <c r="M115" s="28" t="str">
        <f>IF(OR(C115="",G115=""),"",C115-G115)</f>
        <v/>
      </c>
      <c r="N115" s="63" t="str">
        <f>IF(OR(M115&lt;=0,J115&gt;=0),"",ABS(J115)/M115)</f>
        <v/>
      </c>
      <c r="O115" s="63" t="str">
        <f>IF(OR(A115="",M115&lt;=0,J115&gt;=0),"",MIN(M115,SUMPRODUCT(($A$18:$A$379=A115)*(IFERROR($B$18:$B$379&gt;=E115-30,0))*(IFERROR($B$18:$B$379&lt;=E115+30,0))*($G$18:$G$379&gt;0)*($L$18:$L$379&lt;&gt;L115)*($G$18:$G$379))+SUMPRODUCT(($A$381:$A$498=A115)*(IFERROR($B$381:$B$498&gt;=E115-30,0))*(IFERROR($B$381:$B$498&lt;=E115+30,0))*($G$381:$G$498&gt;0)*($L$381:$L$498&lt;&gt;L115)*($G$381:$G$498))))</f>
        <v/>
      </c>
      <c r="P115" s="28" t="str">
        <f>IF(OR(A115="",M115&lt;=0,J115&gt;=0),"",SUMPRODUCT(($A$18:$A$379=A115)*(IFERROR($B$18:$B$379&gt;=E115-30,0))*(IFERROR($B$18:$B$379&lt;=E115+30,0))*($G$18:$G$379&gt;0)*($L$18:$L$379&lt;&gt;L115))+SUMPRODUCT(($A$381:$A$498=A115)*(IFERROR($B$381:$B$498&gt;=E115-30,0))*(IFERROR($B$381:$B$498&lt;=E115+30,0))*($G$381:$G$498&gt;0)*($L$381:$L$498&lt;&gt;L115)))</f>
        <v/>
      </c>
      <c r="Q115" s="31" t="str">
        <f>IF(P115=1,IFERROR(INDEX($L$18:$L$379,MATCH(1,INDEX(($A$18:$A$379=A115)*(IFERROR($B$18:$B$379&gt;=E115-30,0))*(IFERROR($B$18:$B$379&lt;=E115+30,0))*($G$18:$G$379&gt;0)*($L$18:$L$379&lt;&gt;L115),0),0)),IFERROR(INDEX($L$381:$L$498,MATCH(1,INDEX(($A$381:$A$498=A115)*(IFERROR($B$381:$B$498&gt;=E115-30,0))*(IFERROR($B$381:$B$498&lt;=E115+30,0))*($G$381:$G$498&gt;0)*($L$381:$L$498&lt;&gt;L115),0),0)),"")),"")</f>
        <v/>
      </c>
      <c r="R115" s="32"/>
      <c r="S115" s="31" t="str">
        <f>IF(R115&lt;&gt;"",R115,Q115)</f>
        <v/>
      </c>
      <c r="T115" s="63">
        <f>IF(OR(N115="",O115=0),0,N115*O115)</f>
        <v>0</v>
      </c>
      <c r="U115" s="63">
        <f>IF(COUNTIF($S$18:$S$498,L115)=0,"",SUMIF($S$18:$S$498,L115,$T$18:$T$498))</f>
        <v>0</v>
      </c>
      <c r="V115" s="63" t="str">
        <f>IF(H115="","",IFERROR(H115+U115,H115))</f>
        <v/>
      </c>
      <c r="W115" s="63" t="str">
        <f>IF(OR(V115="",C115=""),"",V115/C115)</f>
        <v/>
      </c>
      <c r="X115" s="11" t="str">
        <f>IF(A115="","",IF(AND(U115&lt;&gt;"",U115&lt;&gt;0,M115=0),"Replacement lot receiving wash basis",IF(J115="","",IF(J115&gt;=0,"",IF(O115=0,"No replacement buy found",IF(P115&gt;1,"Manual selection needed","Auto matched"))))))</f>
        <v/>
      </c>
      <c r="Z115" t="str">
        <f>IF(K115="Yes",COUNTIF($K$18:K115,"Yes"),"")</f>
        <v/>
      </c>
    </row>
    <row r="116" spans="1:26" ht="34.15" customHeight="1" x14ac:dyDescent="0.2">
      <c r="A116" s="9"/>
      <c r="B116" s="69"/>
      <c r="C116" s="30"/>
      <c r="D116" s="70"/>
      <c r="E116" s="69"/>
      <c r="F116" s="70"/>
      <c r="G116" s="30"/>
      <c r="H116" s="63" t="str">
        <f>IF(OR(C116="",D116=""),"",C116*D116)</f>
        <v/>
      </c>
      <c r="I116" s="63" t="str">
        <f>IF(OR(E116="",F116="",M116&lt;=0),"",M116*F116)</f>
        <v/>
      </c>
      <c r="J116" s="63" t="str">
        <f>IF(I116="","",I116-(M116*D116))</f>
        <v/>
      </c>
      <c r="K116" s="28" t="str">
        <f>IF(A116="","",IF(T116&gt;0,"Yes","No"))</f>
        <v/>
      </c>
      <c r="L116" s="28" t="str">
        <f>IF(A116="","",A116&amp;"-"&amp;TEXT(B116,"yyyymmdd")&amp;"-R"&amp;ROW())</f>
        <v/>
      </c>
      <c r="M116" s="28" t="str">
        <f>IF(OR(C116="",G116=""),"",C116-G116)</f>
        <v/>
      </c>
      <c r="N116" s="63" t="str">
        <f>IF(OR(M116&lt;=0,J116&gt;=0),"",ABS(J116)/M116)</f>
        <v/>
      </c>
      <c r="O116" s="63" t="str">
        <f>IF(OR(A116="",M116&lt;=0,J116&gt;=0),"",MIN(M116,SUMPRODUCT(($A$18:$A$379=A116)*(IFERROR($B$18:$B$379&gt;=E116-30,0))*(IFERROR($B$18:$B$379&lt;=E116+30,0))*($G$18:$G$379&gt;0)*($L$18:$L$379&lt;&gt;L116)*($G$18:$G$379))+SUMPRODUCT(($A$381:$A$498=A116)*(IFERROR($B$381:$B$498&gt;=E116-30,0))*(IFERROR($B$381:$B$498&lt;=E116+30,0))*($G$381:$G$498&gt;0)*($L$381:$L$498&lt;&gt;L116)*($G$381:$G$498))))</f>
        <v/>
      </c>
      <c r="P116" s="28" t="str">
        <f>IF(OR(A116="",M116&lt;=0,J116&gt;=0),"",SUMPRODUCT(($A$18:$A$379=A116)*(IFERROR($B$18:$B$379&gt;=E116-30,0))*(IFERROR($B$18:$B$379&lt;=E116+30,0))*($G$18:$G$379&gt;0)*($L$18:$L$379&lt;&gt;L116))+SUMPRODUCT(($A$381:$A$498=A116)*(IFERROR($B$381:$B$498&gt;=E116-30,0))*(IFERROR($B$381:$B$498&lt;=E116+30,0))*($G$381:$G$498&gt;0)*($L$381:$L$498&lt;&gt;L116)))</f>
        <v/>
      </c>
      <c r="Q116" s="31" t="str">
        <f>IF(P116=1,IFERROR(INDEX($L$18:$L$379,MATCH(1,INDEX(($A$18:$A$379=A116)*(IFERROR($B$18:$B$379&gt;=E116-30,0))*(IFERROR($B$18:$B$379&lt;=E116+30,0))*($G$18:$G$379&gt;0)*($L$18:$L$379&lt;&gt;L116),0),0)),IFERROR(INDEX($L$381:$L$498,MATCH(1,INDEX(($A$381:$A$498=A116)*(IFERROR($B$381:$B$498&gt;=E116-30,0))*(IFERROR($B$381:$B$498&lt;=E116+30,0))*($G$381:$G$498&gt;0)*($L$381:$L$498&lt;&gt;L116),0),0)),"")),"")</f>
        <v/>
      </c>
      <c r="R116" s="32"/>
      <c r="S116" s="31" t="str">
        <f>IF(R116&lt;&gt;"",R116,Q116)</f>
        <v/>
      </c>
      <c r="T116" s="63">
        <f>IF(OR(N116="",O116=0),0,N116*O116)</f>
        <v>0</v>
      </c>
      <c r="U116" s="63">
        <f>IF(COUNTIF($S$18:$S$498,L116)=0,"",SUMIF($S$18:$S$498,L116,$T$18:$T$498))</f>
        <v>0</v>
      </c>
      <c r="V116" s="63" t="str">
        <f>IF(H116="","",IFERROR(H116+U116,H116))</f>
        <v/>
      </c>
      <c r="W116" s="63" t="str">
        <f>IF(OR(V116="",C116=""),"",V116/C116)</f>
        <v/>
      </c>
      <c r="X116" s="11" t="str">
        <f>IF(A116="","",IF(AND(U116&lt;&gt;"",U116&lt;&gt;0,M116=0),"Replacement lot receiving wash basis",IF(J116="","",IF(J116&gt;=0,"",IF(O116=0,"No replacement buy found",IF(P116&gt;1,"Manual selection needed","Auto matched"))))))</f>
        <v/>
      </c>
      <c r="Z116" t="str">
        <f>IF(K116="Yes",COUNTIF($K$18:K116,"Yes"),"")</f>
        <v/>
      </c>
    </row>
    <row r="117" spans="1:26" ht="34.15" customHeight="1" x14ac:dyDescent="0.2">
      <c r="A117" s="9"/>
      <c r="B117" s="69"/>
      <c r="C117" s="30"/>
      <c r="D117" s="70"/>
      <c r="E117" s="69"/>
      <c r="F117" s="70"/>
      <c r="G117" s="30"/>
      <c r="H117" s="63" t="str">
        <f>IF(OR(C117="",D117=""),"",C117*D117)</f>
        <v/>
      </c>
      <c r="I117" s="63" t="str">
        <f>IF(OR(E117="",F117="",M117&lt;=0),"",M117*F117)</f>
        <v/>
      </c>
      <c r="J117" s="63" t="str">
        <f>IF(I117="","",I117-(M117*D117))</f>
        <v/>
      </c>
      <c r="K117" s="28" t="str">
        <f>IF(A117="","",IF(T117&gt;0,"Yes","No"))</f>
        <v/>
      </c>
      <c r="L117" s="28" t="str">
        <f>IF(A117="","",A117&amp;"-"&amp;TEXT(B117,"yyyymmdd")&amp;"-R"&amp;ROW())</f>
        <v/>
      </c>
      <c r="M117" s="28" t="str">
        <f>IF(OR(C117="",G117=""),"",C117-G117)</f>
        <v/>
      </c>
      <c r="N117" s="63" t="str">
        <f>IF(OR(M117&lt;=0,J117&gt;=0),"",ABS(J117)/M117)</f>
        <v/>
      </c>
      <c r="O117" s="63" t="str">
        <f>IF(OR(A117="",M117&lt;=0,J117&gt;=0),"",MIN(M117,SUMPRODUCT(($A$18:$A$379=A117)*(IFERROR($B$18:$B$379&gt;=E117-30,0))*(IFERROR($B$18:$B$379&lt;=E117+30,0))*($G$18:$G$379&gt;0)*($L$18:$L$379&lt;&gt;L117)*($G$18:$G$379))+SUMPRODUCT(($A$381:$A$498=A117)*(IFERROR($B$381:$B$498&gt;=E117-30,0))*(IFERROR($B$381:$B$498&lt;=E117+30,0))*($G$381:$G$498&gt;0)*($L$381:$L$498&lt;&gt;L117)*($G$381:$G$498))))</f>
        <v/>
      </c>
      <c r="P117" s="28" t="str">
        <f>IF(OR(A117="",M117&lt;=0,J117&gt;=0),"",SUMPRODUCT(($A$18:$A$379=A117)*(IFERROR($B$18:$B$379&gt;=E117-30,0))*(IFERROR($B$18:$B$379&lt;=E117+30,0))*($G$18:$G$379&gt;0)*($L$18:$L$379&lt;&gt;L117))+SUMPRODUCT(($A$381:$A$498=A117)*(IFERROR($B$381:$B$498&gt;=E117-30,0))*(IFERROR($B$381:$B$498&lt;=E117+30,0))*($G$381:$G$498&gt;0)*($L$381:$L$498&lt;&gt;L117)))</f>
        <v/>
      </c>
      <c r="Q117" s="31" t="str">
        <f>IF(P117=1,IFERROR(INDEX($L$18:$L$379,MATCH(1,INDEX(($A$18:$A$379=A117)*(IFERROR($B$18:$B$379&gt;=E117-30,0))*(IFERROR($B$18:$B$379&lt;=E117+30,0))*($G$18:$G$379&gt;0)*($L$18:$L$379&lt;&gt;L117),0),0)),IFERROR(INDEX($L$381:$L$498,MATCH(1,INDEX(($A$381:$A$498=A117)*(IFERROR($B$381:$B$498&gt;=E117-30,0))*(IFERROR($B$381:$B$498&lt;=E117+30,0))*($G$381:$G$498&gt;0)*($L$381:$L$498&lt;&gt;L117),0),0)),"")),"")</f>
        <v/>
      </c>
      <c r="R117" s="32"/>
      <c r="S117" s="31" t="str">
        <f>IF(R117&lt;&gt;"",R117,Q117)</f>
        <v/>
      </c>
      <c r="T117" s="63">
        <f>IF(OR(N117="",O117=0),0,N117*O117)</f>
        <v>0</v>
      </c>
      <c r="U117" s="63">
        <f>IF(COUNTIF($S$18:$S$498,L117)=0,"",SUMIF($S$18:$S$498,L117,$T$18:$T$498))</f>
        <v>0</v>
      </c>
      <c r="V117" s="63" t="str">
        <f>IF(H117="","",IFERROR(H117+U117,H117))</f>
        <v/>
      </c>
      <c r="W117" s="63" t="str">
        <f>IF(OR(V117="",C117=""),"",V117/C117)</f>
        <v/>
      </c>
      <c r="X117" s="11" t="str">
        <f>IF(A117="","",IF(AND(U117&lt;&gt;"",U117&lt;&gt;0,M117=0),"Replacement lot receiving wash basis",IF(J117="","",IF(J117&gt;=0,"",IF(O117=0,"No replacement buy found",IF(P117&gt;1,"Manual selection needed","Auto matched"))))))</f>
        <v/>
      </c>
      <c r="Z117" t="str">
        <f>IF(K117="Yes",COUNTIF($K$18:K117,"Yes"),"")</f>
        <v/>
      </c>
    </row>
    <row r="118" spans="1:26" ht="34.15" customHeight="1" x14ac:dyDescent="0.2">
      <c r="A118" s="9"/>
      <c r="B118" s="69"/>
      <c r="C118" s="30"/>
      <c r="D118" s="70"/>
      <c r="E118" s="69"/>
      <c r="F118" s="70"/>
      <c r="G118" s="30"/>
      <c r="H118" s="63" t="str">
        <f>IF(OR(C118="",D118=""),"",C118*D118)</f>
        <v/>
      </c>
      <c r="I118" s="63" t="str">
        <f>IF(OR(E118="",F118="",M118&lt;=0),"",M118*F118)</f>
        <v/>
      </c>
      <c r="J118" s="63" t="str">
        <f>IF(I118="","",I118-(M118*D118))</f>
        <v/>
      </c>
      <c r="K118" s="28" t="str">
        <f>IF(A118="","",IF(T118&gt;0,"Yes","No"))</f>
        <v/>
      </c>
      <c r="L118" s="28" t="str">
        <f>IF(A118="","",A118&amp;"-"&amp;TEXT(B118,"yyyymmdd")&amp;"-R"&amp;ROW())</f>
        <v/>
      </c>
      <c r="M118" s="28" t="str">
        <f>IF(OR(C118="",G118=""),"",C118-G118)</f>
        <v/>
      </c>
      <c r="N118" s="63" t="str">
        <f>IF(OR(M118&lt;=0,J118&gt;=0),"",ABS(J118)/M118)</f>
        <v/>
      </c>
      <c r="O118" s="63" t="str">
        <f>IF(OR(A118="",M118&lt;=0,J118&gt;=0),"",MIN(M118,SUMPRODUCT(($A$18:$A$379=A118)*(IFERROR($B$18:$B$379&gt;=E118-30,0))*(IFERROR($B$18:$B$379&lt;=E118+30,0))*($G$18:$G$379&gt;0)*($L$18:$L$379&lt;&gt;L118)*($G$18:$G$379))+SUMPRODUCT(($A$381:$A$498=A118)*(IFERROR($B$381:$B$498&gt;=E118-30,0))*(IFERROR($B$381:$B$498&lt;=E118+30,0))*($G$381:$G$498&gt;0)*($L$381:$L$498&lt;&gt;L118)*($G$381:$G$498))))</f>
        <v/>
      </c>
      <c r="P118" s="28" t="str">
        <f>IF(OR(A118="",M118&lt;=0,J118&gt;=0),"",SUMPRODUCT(($A$18:$A$379=A118)*(IFERROR($B$18:$B$379&gt;=E118-30,0))*(IFERROR($B$18:$B$379&lt;=E118+30,0))*($G$18:$G$379&gt;0)*($L$18:$L$379&lt;&gt;L118))+SUMPRODUCT(($A$381:$A$498=A118)*(IFERROR($B$381:$B$498&gt;=E118-30,0))*(IFERROR($B$381:$B$498&lt;=E118+30,0))*($G$381:$G$498&gt;0)*($L$381:$L$498&lt;&gt;L118)))</f>
        <v/>
      </c>
      <c r="Q118" s="31" t="str">
        <f>IF(P118=1,IFERROR(INDEX($L$18:$L$379,MATCH(1,INDEX(($A$18:$A$379=A118)*(IFERROR($B$18:$B$379&gt;=E118-30,0))*(IFERROR($B$18:$B$379&lt;=E118+30,0))*($G$18:$G$379&gt;0)*($L$18:$L$379&lt;&gt;L118),0),0)),IFERROR(INDEX($L$381:$L$498,MATCH(1,INDEX(($A$381:$A$498=A118)*(IFERROR($B$381:$B$498&gt;=E118-30,0))*(IFERROR($B$381:$B$498&lt;=E118+30,0))*($G$381:$G$498&gt;0)*($L$381:$L$498&lt;&gt;L118),0),0)),"")),"")</f>
        <v/>
      </c>
      <c r="R118" s="32"/>
      <c r="S118" s="31" t="str">
        <f>IF(R118&lt;&gt;"",R118,Q118)</f>
        <v/>
      </c>
      <c r="T118" s="63">
        <f>IF(OR(N118="",O118=0),0,N118*O118)</f>
        <v>0</v>
      </c>
      <c r="U118" s="63">
        <f>IF(COUNTIF($S$18:$S$498,L118)=0,"",SUMIF($S$18:$S$498,L118,$T$18:$T$498))</f>
        <v>0</v>
      </c>
      <c r="V118" s="63" t="str">
        <f>IF(H118="","",IFERROR(H118+U118,H118))</f>
        <v/>
      </c>
      <c r="W118" s="63" t="str">
        <f>IF(OR(V118="",C118=""),"",V118/C118)</f>
        <v/>
      </c>
      <c r="X118" s="11" t="str">
        <f>IF(A118="","",IF(AND(U118&lt;&gt;"",U118&lt;&gt;0,M118=0),"Replacement lot receiving wash basis",IF(J118="","",IF(J118&gt;=0,"",IF(O118=0,"No replacement buy found",IF(P118&gt;1,"Manual selection needed","Auto matched"))))))</f>
        <v/>
      </c>
      <c r="Z118" t="str">
        <f>IF(K118="Yes",COUNTIF($K$18:K118,"Yes"),"")</f>
        <v/>
      </c>
    </row>
    <row r="119" spans="1:26" ht="34.15" customHeight="1" x14ac:dyDescent="0.2">
      <c r="A119" s="9"/>
      <c r="B119" s="69"/>
      <c r="C119" s="30"/>
      <c r="D119" s="70"/>
      <c r="E119" s="69"/>
      <c r="F119" s="70"/>
      <c r="G119" s="30"/>
      <c r="H119" s="63" t="str">
        <f>IF(OR(C119="",D119=""),"",C119*D119)</f>
        <v/>
      </c>
      <c r="I119" s="63" t="str">
        <f>IF(OR(E119="",F119="",M119&lt;=0),"",M119*F119)</f>
        <v/>
      </c>
      <c r="J119" s="63" t="str">
        <f>IF(I119="","",I119-(M119*D119))</f>
        <v/>
      </c>
      <c r="K119" s="28" t="str">
        <f>IF(A119="","",IF(T119&gt;0,"Yes","No"))</f>
        <v/>
      </c>
      <c r="L119" s="28" t="str">
        <f>IF(A119="","",A119&amp;"-"&amp;TEXT(B119,"yyyymmdd")&amp;"-R"&amp;ROW())</f>
        <v/>
      </c>
      <c r="M119" s="28" t="str">
        <f>IF(OR(C119="",G119=""),"",C119-G119)</f>
        <v/>
      </c>
      <c r="N119" s="63" t="str">
        <f>IF(OR(M119&lt;=0,J119&gt;=0),"",ABS(J119)/M119)</f>
        <v/>
      </c>
      <c r="O119" s="63" t="str">
        <f>IF(OR(A119="",M119&lt;=0,J119&gt;=0),"",MIN(M119,SUMPRODUCT(($A$18:$A$379=A119)*(IFERROR($B$18:$B$379&gt;=E119-30,0))*(IFERROR($B$18:$B$379&lt;=E119+30,0))*($G$18:$G$379&gt;0)*($L$18:$L$379&lt;&gt;L119)*($G$18:$G$379))+SUMPRODUCT(($A$381:$A$498=A119)*(IFERROR($B$381:$B$498&gt;=E119-30,0))*(IFERROR($B$381:$B$498&lt;=E119+30,0))*($G$381:$G$498&gt;0)*($L$381:$L$498&lt;&gt;L119)*($G$381:$G$498))))</f>
        <v/>
      </c>
      <c r="P119" s="28" t="str">
        <f>IF(OR(A119="",M119&lt;=0,J119&gt;=0),"",SUMPRODUCT(($A$18:$A$379=A119)*(IFERROR($B$18:$B$379&gt;=E119-30,0))*(IFERROR($B$18:$B$379&lt;=E119+30,0))*($G$18:$G$379&gt;0)*($L$18:$L$379&lt;&gt;L119))+SUMPRODUCT(($A$381:$A$498=A119)*(IFERROR($B$381:$B$498&gt;=E119-30,0))*(IFERROR($B$381:$B$498&lt;=E119+30,0))*($G$381:$G$498&gt;0)*($L$381:$L$498&lt;&gt;L119)))</f>
        <v/>
      </c>
      <c r="Q119" s="31" t="str">
        <f>IF(P119=1,IFERROR(INDEX($L$18:$L$379,MATCH(1,INDEX(($A$18:$A$379=A119)*(IFERROR($B$18:$B$379&gt;=E119-30,0))*(IFERROR($B$18:$B$379&lt;=E119+30,0))*($G$18:$G$379&gt;0)*($L$18:$L$379&lt;&gt;L119),0),0)),IFERROR(INDEX($L$381:$L$498,MATCH(1,INDEX(($A$381:$A$498=A119)*(IFERROR($B$381:$B$498&gt;=E119-30,0))*(IFERROR($B$381:$B$498&lt;=E119+30,0))*($G$381:$G$498&gt;0)*($L$381:$L$498&lt;&gt;L119),0),0)),"")),"")</f>
        <v/>
      </c>
      <c r="R119" s="32"/>
      <c r="S119" s="31" t="str">
        <f>IF(R119&lt;&gt;"",R119,Q119)</f>
        <v/>
      </c>
      <c r="T119" s="63">
        <f>IF(OR(N119="",O119=0),0,N119*O119)</f>
        <v>0</v>
      </c>
      <c r="U119" s="63">
        <f>IF(COUNTIF($S$18:$S$498,L119)=0,"",SUMIF($S$18:$S$498,L119,$T$18:$T$498))</f>
        <v>0</v>
      </c>
      <c r="V119" s="63" t="str">
        <f>IF(H119="","",IFERROR(H119+U119,H119))</f>
        <v/>
      </c>
      <c r="W119" s="63" t="str">
        <f>IF(OR(V119="",C119=""),"",V119/C119)</f>
        <v/>
      </c>
      <c r="X119" s="11" t="str">
        <f>IF(A119="","",IF(AND(U119&lt;&gt;"",U119&lt;&gt;0,M119=0),"Replacement lot receiving wash basis",IF(J119="","",IF(J119&gt;=0,"",IF(O119=0,"No replacement buy found",IF(P119&gt;1,"Manual selection needed","Auto matched"))))))</f>
        <v/>
      </c>
      <c r="Z119" t="str">
        <f>IF(K119="Yes",COUNTIF($K$18:K119,"Yes"),"")</f>
        <v/>
      </c>
    </row>
    <row r="120" spans="1:26" ht="34.15" customHeight="1" x14ac:dyDescent="0.2">
      <c r="A120" s="9"/>
      <c r="B120" s="69"/>
      <c r="C120" s="30"/>
      <c r="D120" s="70"/>
      <c r="E120" s="69"/>
      <c r="F120" s="70"/>
      <c r="G120" s="30"/>
      <c r="H120" s="63" t="str">
        <f>IF(OR(C120="",D120=""),"",C120*D120)</f>
        <v/>
      </c>
      <c r="I120" s="63" t="str">
        <f>IF(OR(E120="",F120="",M120&lt;=0),"",M120*F120)</f>
        <v/>
      </c>
      <c r="J120" s="63" t="str">
        <f>IF(I120="","",I120-(M120*D120))</f>
        <v/>
      </c>
      <c r="K120" s="28" t="str">
        <f>IF(A120="","",IF(T120&gt;0,"Yes","No"))</f>
        <v/>
      </c>
      <c r="L120" s="28" t="str">
        <f>IF(A120="","",A120&amp;"-"&amp;TEXT(B120,"yyyymmdd")&amp;"-R"&amp;ROW())</f>
        <v/>
      </c>
      <c r="M120" s="28" t="str">
        <f>IF(OR(C120="",G120=""),"",C120-G120)</f>
        <v/>
      </c>
      <c r="N120" s="63" t="str">
        <f>IF(OR(M120&lt;=0,J120&gt;=0),"",ABS(J120)/M120)</f>
        <v/>
      </c>
      <c r="O120" s="63" t="str">
        <f>IF(OR(A120="",M120&lt;=0,J120&gt;=0),"",MIN(M120,SUMPRODUCT(($A$18:$A$379=A120)*(IFERROR($B$18:$B$379&gt;=E120-30,0))*(IFERROR($B$18:$B$379&lt;=E120+30,0))*($G$18:$G$379&gt;0)*($L$18:$L$379&lt;&gt;L120)*($G$18:$G$379))+SUMPRODUCT(($A$381:$A$498=A120)*(IFERROR($B$381:$B$498&gt;=E120-30,0))*(IFERROR($B$381:$B$498&lt;=E120+30,0))*($G$381:$G$498&gt;0)*($L$381:$L$498&lt;&gt;L120)*($G$381:$G$498))))</f>
        <v/>
      </c>
      <c r="P120" s="28" t="str">
        <f>IF(OR(A120="",M120&lt;=0,J120&gt;=0),"",SUMPRODUCT(($A$18:$A$379=A120)*(IFERROR($B$18:$B$379&gt;=E120-30,0))*(IFERROR($B$18:$B$379&lt;=E120+30,0))*($G$18:$G$379&gt;0)*($L$18:$L$379&lt;&gt;L120))+SUMPRODUCT(($A$381:$A$498=A120)*(IFERROR($B$381:$B$498&gt;=E120-30,0))*(IFERROR($B$381:$B$498&lt;=E120+30,0))*($G$381:$G$498&gt;0)*($L$381:$L$498&lt;&gt;L120)))</f>
        <v/>
      </c>
      <c r="Q120" s="31" t="str">
        <f>IF(P120=1,IFERROR(INDEX($L$18:$L$379,MATCH(1,INDEX(($A$18:$A$379=A120)*(IFERROR($B$18:$B$379&gt;=E120-30,0))*(IFERROR($B$18:$B$379&lt;=E120+30,0))*($G$18:$G$379&gt;0)*($L$18:$L$379&lt;&gt;L120),0),0)),IFERROR(INDEX($L$381:$L$498,MATCH(1,INDEX(($A$381:$A$498=A120)*(IFERROR($B$381:$B$498&gt;=E120-30,0))*(IFERROR($B$381:$B$498&lt;=E120+30,0))*($G$381:$G$498&gt;0)*($L$381:$L$498&lt;&gt;L120),0),0)),"")),"")</f>
        <v/>
      </c>
      <c r="R120" s="32"/>
      <c r="S120" s="31" t="str">
        <f>IF(R120&lt;&gt;"",R120,Q120)</f>
        <v/>
      </c>
      <c r="T120" s="63">
        <f>IF(OR(N120="",O120=0),0,N120*O120)</f>
        <v>0</v>
      </c>
      <c r="U120" s="63">
        <f>IF(COUNTIF($S$18:$S$498,L120)=0,"",SUMIF($S$18:$S$498,L120,$T$18:$T$498))</f>
        <v>0</v>
      </c>
      <c r="V120" s="63" t="str">
        <f>IF(H120="","",IFERROR(H120+U120,H120))</f>
        <v/>
      </c>
      <c r="W120" s="63" t="str">
        <f>IF(OR(V120="",C120=""),"",V120/C120)</f>
        <v/>
      </c>
      <c r="X120" s="11" t="str">
        <f>IF(A120="","",IF(AND(U120&lt;&gt;"",U120&lt;&gt;0,M120=0),"Replacement lot receiving wash basis",IF(J120="","",IF(J120&gt;=0,"",IF(O120=0,"No replacement buy found",IF(P120&gt;1,"Manual selection needed","Auto matched"))))))</f>
        <v/>
      </c>
      <c r="Z120" t="str">
        <f>IF(K120="Yes",COUNTIF($K$18:K120,"Yes"),"")</f>
        <v/>
      </c>
    </row>
    <row r="121" spans="1:26" ht="34.15" customHeight="1" x14ac:dyDescent="0.2">
      <c r="A121" s="9"/>
      <c r="B121" s="69"/>
      <c r="C121" s="30"/>
      <c r="D121" s="70"/>
      <c r="E121" s="69"/>
      <c r="F121" s="70"/>
      <c r="G121" s="30"/>
      <c r="H121" s="63" t="str">
        <f>IF(OR(C121="",D121=""),"",C121*D121)</f>
        <v/>
      </c>
      <c r="I121" s="63" t="str">
        <f>IF(OR(E121="",F121="",M121&lt;=0),"",M121*F121)</f>
        <v/>
      </c>
      <c r="J121" s="63" t="str">
        <f>IF(I121="","",I121-(M121*D121))</f>
        <v/>
      </c>
      <c r="K121" s="28" t="str">
        <f>IF(A121="","",IF(T121&gt;0,"Yes","No"))</f>
        <v/>
      </c>
      <c r="L121" s="28" t="str">
        <f>IF(A121="","",A121&amp;"-"&amp;TEXT(B121,"yyyymmdd")&amp;"-R"&amp;ROW())</f>
        <v/>
      </c>
      <c r="M121" s="28" t="str">
        <f>IF(OR(C121="",G121=""),"",C121-G121)</f>
        <v/>
      </c>
      <c r="N121" s="63" t="str">
        <f>IF(OR(M121&lt;=0,J121&gt;=0),"",ABS(J121)/M121)</f>
        <v/>
      </c>
      <c r="O121" s="63" t="str">
        <f>IF(OR(A121="",M121&lt;=0,J121&gt;=0),"",MIN(M121,SUMPRODUCT(($A$18:$A$379=A121)*(IFERROR($B$18:$B$379&gt;=E121-30,0))*(IFERROR($B$18:$B$379&lt;=E121+30,0))*($G$18:$G$379&gt;0)*($L$18:$L$379&lt;&gt;L121)*($G$18:$G$379))+SUMPRODUCT(($A$381:$A$498=A121)*(IFERROR($B$381:$B$498&gt;=E121-30,0))*(IFERROR($B$381:$B$498&lt;=E121+30,0))*($G$381:$G$498&gt;0)*($L$381:$L$498&lt;&gt;L121)*($G$381:$G$498))))</f>
        <v/>
      </c>
      <c r="P121" s="28" t="str">
        <f>IF(OR(A121="",M121&lt;=0,J121&gt;=0),"",SUMPRODUCT(($A$18:$A$379=A121)*(IFERROR($B$18:$B$379&gt;=E121-30,0))*(IFERROR($B$18:$B$379&lt;=E121+30,0))*($G$18:$G$379&gt;0)*($L$18:$L$379&lt;&gt;L121))+SUMPRODUCT(($A$381:$A$498=A121)*(IFERROR($B$381:$B$498&gt;=E121-30,0))*(IFERROR($B$381:$B$498&lt;=E121+30,0))*($G$381:$G$498&gt;0)*($L$381:$L$498&lt;&gt;L121)))</f>
        <v/>
      </c>
      <c r="Q121" s="31" t="str">
        <f>IF(P121=1,IFERROR(INDEX($L$18:$L$379,MATCH(1,INDEX(($A$18:$A$379=A121)*(IFERROR($B$18:$B$379&gt;=E121-30,0))*(IFERROR($B$18:$B$379&lt;=E121+30,0))*($G$18:$G$379&gt;0)*($L$18:$L$379&lt;&gt;L121),0),0)),IFERROR(INDEX($L$381:$L$498,MATCH(1,INDEX(($A$381:$A$498=A121)*(IFERROR($B$381:$B$498&gt;=E121-30,0))*(IFERROR($B$381:$B$498&lt;=E121+30,0))*($G$381:$G$498&gt;0)*($L$381:$L$498&lt;&gt;L121),0),0)),"")),"")</f>
        <v/>
      </c>
      <c r="R121" s="32"/>
      <c r="S121" s="31" t="str">
        <f>IF(R121&lt;&gt;"",R121,Q121)</f>
        <v/>
      </c>
      <c r="T121" s="63">
        <f>IF(OR(N121="",O121=0),0,N121*O121)</f>
        <v>0</v>
      </c>
      <c r="U121" s="63">
        <f>IF(COUNTIF($S$18:$S$498,L121)=0,"",SUMIF($S$18:$S$498,L121,$T$18:$T$498))</f>
        <v>0</v>
      </c>
      <c r="V121" s="63" t="str">
        <f>IF(H121="","",IFERROR(H121+U121,H121))</f>
        <v/>
      </c>
      <c r="W121" s="63" t="str">
        <f>IF(OR(V121="",C121=""),"",V121/C121)</f>
        <v/>
      </c>
      <c r="X121" s="11" t="str">
        <f>IF(A121="","",IF(AND(U121&lt;&gt;"",U121&lt;&gt;0,M121=0),"Replacement lot receiving wash basis",IF(J121="","",IF(J121&gt;=0,"",IF(O121=0,"No replacement buy found",IF(P121&gt;1,"Manual selection needed","Auto matched"))))))</f>
        <v/>
      </c>
      <c r="Z121" t="str">
        <f>IF(K121="Yes",COUNTIF($K$18:K121,"Yes"),"")</f>
        <v/>
      </c>
    </row>
    <row r="122" spans="1:26" ht="34.15" customHeight="1" x14ac:dyDescent="0.2">
      <c r="A122" s="9"/>
      <c r="B122" s="69"/>
      <c r="C122" s="30"/>
      <c r="D122" s="70"/>
      <c r="E122" s="69"/>
      <c r="F122" s="70"/>
      <c r="G122" s="30"/>
      <c r="H122" s="63" t="str">
        <f>IF(OR(C122="",D122=""),"",C122*D122)</f>
        <v/>
      </c>
      <c r="I122" s="63" t="str">
        <f>IF(OR(E122="",F122="",M122&lt;=0),"",M122*F122)</f>
        <v/>
      </c>
      <c r="J122" s="63" t="str">
        <f>IF(I122="","",I122-(M122*D122))</f>
        <v/>
      </c>
      <c r="K122" s="28" t="str">
        <f>IF(A122="","",IF(T122&gt;0,"Yes","No"))</f>
        <v/>
      </c>
      <c r="L122" s="28" t="str">
        <f>IF(A122="","",A122&amp;"-"&amp;TEXT(B122,"yyyymmdd")&amp;"-R"&amp;ROW())</f>
        <v/>
      </c>
      <c r="M122" s="28" t="str">
        <f>IF(OR(C122="",G122=""),"",C122-G122)</f>
        <v/>
      </c>
      <c r="N122" s="63" t="str">
        <f>IF(OR(M122&lt;=0,J122&gt;=0),"",ABS(J122)/M122)</f>
        <v/>
      </c>
      <c r="O122" s="63" t="str">
        <f>IF(OR(A122="",M122&lt;=0,J122&gt;=0),"",MIN(M122,SUMPRODUCT(($A$18:$A$379=A122)*(IFERROR($B$18:$B$379&gt;=E122-30,0))*(IFERROR($B$18:$B$379&lt;=E122+30,0))*($G$18:$G$379&gt;0)*($L$18:$L$379&lt;&gt;L122)*($G$18:$G$379))+SUMPRODUCT(($A$381:$A$498=A122)*(IFERROR($B$381:$B$498&gt;=E122-30,0))*(IFERROR($B$381:$B$498&lt;=E122+30,0))*($G$381:$G$498&gt;0)*($L$381:$L$498&lt;&gt;L122)*($G$381:$G$498))))</f>
        <v/>
      </c>
      <c r="P122" s="28" t="str">
        <f>IF(OR(A122="",M122&lt;=0,J122&gt;=0),"",SUMPRODUCT(($A$18:$A$379=A122)*(IFERROR($B$18:$B$379&gt;=E122-30,0))*(IFERROR($B$18:$B$379&lt;=E122+30,0))*($G$18:$G$379&gt;0)*($L$18:$L$379&lt;&gt;L122))+SUMPRODUCT(($A$381:$A$498=A122)*(IFERROR($B$381:$B$498&gt;=E122-30,0))*(IFERROR($B$381:$B$498&lt;=E122+30,0))*($G$381:$G$498&gt;0)*($L$381:$L$498&lt;&gt;L122)))</f>
        <v/>
      </c>
      <c r="Q122" s="31" t="str">
        <f>IF(P122=1,IFERROR(INDEX($L$18:$L$379,MATCH(1,INDEX(($A$18:$A$379=A122)*(IFERROR($B$18:$B$379&gt;=E122-30,0))*(IFERROR($B$18:$B$379&lt;=E122+30,0))*($G$18:$G$379&gt;0)*($L$18:$L$379&lt;&gt;L122),0),0)),IFERROR(INDEX($L$381:$L$498,MATCH(1,INDEX(($A$381:$A$498=A122)*(IFERROR($B$381:$B$498&gt;=E122-30,0))*(IFERROR($B$381:$B$498&lt;=E122+30,0))*($G$381:$G$498&gt;0)*($L$381:$L$498&lt;&gt;L122),0),0)),"")),"")</f>
        <v/>
      </c>
      <c r="R122" s="32"/>
      <c r="S122" s="31" t="str">
        <f>IF(R122&lt;&gt;"",R122,Q122)</f>
        <v/>
      </c>
      <c r="T122" s="63">
        <f>IF(OR(N122="",O122=0),0,N122*O122)</f>
        <v>0</v>
      </c>
      <c r="U122" s="63">
        <f>IF(COUNTIF($S$18:$S$498,L122)=0,"",SUMIF($S$18:$S$498,L122,$T$18:$T$498))</f>
        <v>0</v>
      </c>
      <c r="V122" s="63" t="str">
        <f>IF(H122="","",IFERROR(H122+U122,H122))</f>
        <v/>
      </c>
      <c r="W122" s="63" t="str">
        <f>IF(OR(V122="",C122=""),"",V122/C122)</f>
        <v/>
      </c>
      <c r="X122" s="11" t="str">
        <f>IF(A122="","",IF(AND(U122&lt;&gt;"",U122&lt;&gt;0,M122=0),"Replacement lot receiving wash basis",IF(J122="","",IF(J122&gt;=0,"",IF(O122=0,"No replacement buy found",IF(P122&gt;1,"Manual selection needed","Auto matched"))))))</f>
        <v/>
      </c>
      <c r="Z122" t="str">
        <f>IF(K122="Yes",COUNTIF($K$18:K122,"Yes"),"")</f>
        <v/>
      </c>
    </row>
    <row r="123" spans="1:26" ht="34.15" customHeight="1" x14ac:dyDescent="0.2">
      <c r="A123" s="9"/>
      <c r="B123" s="69"/>
      <c r="C123" s="30"/>
      <c r="D123" s="70"/>
      <c r="E123" s="69"/>
      <c r="F123" s="70"/>
      <c r="G123" s="30"/>
      <c r="H123" s="63" t="str">
        <f>IF(OR(C123="",D123=""),"",C123*D123)</f>
        <v/>
      </c>
      <c r="I123" s="63" t="str">
        <f>IF(OR(E123="",F123="",M123&lt;=0),"",M123*F123)</f>
        <v/>
      </c>
      <c r="J123" s="63" t="str">
        <f>IF(I123="","",I123-(M123*D123))</f>
        <v/>
      </c>
      <c r="K123" s="28" t="str">
        <f>IF(A123="","",IF(T123&gt;0,"Yes","No"))</f>
        <v/>
      </c>
      <c r="L123" s="28" t="str">
        <f>IF(A123="","",A123&amp;"-"&amp;TEXT(B123,"yyyymmdd")&amp;"-R"&amp;ROW())</f>
        <v/>
      </c>
      <c r="M123" s="28" t="str">
        <f>IF(OR(C123="",G123=""),"",C123-G123)</f>
        <v/>
      </c>
      <c r="N123" s="63" t="str">
        <f>IF(OR(M123&lt;=0,J123&gt;=0),"",ABS(J123)/M123)</f>
        <v/>
      </c>
      <c r="O123" s="63" t="str">
        <f>IF(OR(A123="",M123&lt;=0,J123&gt;=0),"",MIN(M123,SUMPRODUCT(($A$18:$A$379=A123)*(IFERROR($B$18:$B$379&gt;=E123-30,0))*(IFERROR($B$18:$B$379&lt;=E123+30,0))*($G$18:$G$379&gt;0)*($L$18:$L$379&lt;&gt;L123)*($G$18:$G$379))+SUMPRODUCT(($A$381:$A$498=A123)*(IFERROR($B$381:$B$498&gt;=E123-30,0))*(IFERROR($B$381:$B$498&lt;=E123+30,0))*($G$381:$G$498&gt;0)*($L$381:$L$498&lt;&gt;L123)*($G$381:$G$498))))</f>
        <v/>
      </c>
      <c r="P123" s="28" t="str">
        <f>IF(OR(A123="",M123&lt;=0,J123&gt;=0),"",SUMPRODUCT(($A$18:$A$379=A123)*(IFERROR($B$18:$B$379&gt;=E123-30,0))*(IFERROR($B$18:$B$379&lt;=E123+30,0))*($G$18:$G$379&gt;0)*($L$18:$L$379&lt;&gt;L123))+SUMPRODUCT(($A$381:$A$498=A123)*(IFERROR($B$381:$B$498&gt;=E123-30,0))*(IFERROR($B$381:$B$498&lt;=E123+30,0))*($G$381:$G$498&gt;0)*($L$381:$L$498&lt;&gt;L123)))</f>
        <v/>
      </c>
      <c r="Q123" s="31" t="str">
        <f>IF(P123=1,IFERROR(INDEX($L$18:$L$379,MATCH(1,INDEX(($A$18:$A$379=A123)*(IFERROR($B$18:$B$379&gt;=E123-30,0))*(IFERROR($B$18:$B$379&lt;=E123+30,0))*($G$18:$G$379&gt;0)*($L$18:$L$379&lt;&gt;L123),0),0)),IFERROR(INDEX($L$381:$L$498,MATCH(1,INDEX(($A$381:$A$498=A123)*(IFERROR($B$381:$B$498&gt;=E123-30,0))*(IFERROR($B$381:$B$498&lt;=E123+30,0))*($G$381:$G$498&gt;0)*($L$381:$L$498&lt;&gt;L123),0),0)),"")),"")</f>
        <v/>
      </c>
      <c r="R123" s="32"/>
      <c r="S123" s="31" t="str">
        <f>IF(R123&lt;&gt;"",R123,Q123)</f>
        <v/>
      </c>
      <c r="T123" s="63">
        <f>IF(OR(N123="",O123=0),0,N123*O123)</f>
        <v>0</v>
      </c>
      <c r="U123" s="63">
        <f>IF(COUNTIF($S$18:$S$498,L123)=0,"",SUMIF($S$18:$S$498,L123,$T$18:$T$498))</f>
        <v>0</v>
      </c>
      <c r="V123" s="63" t="str">
        <f>IF(H123="","",IFERROR(H123+U123,H123))</f>
        <v/>
      </c>
      <c r="W123" s="63" t="str">
        <f>IF(OR(V123="",C123=""),"",V123/C123)</f>
        <v/>
      </c>
      <c r="X123" s="11" t="str">
        <f>IF(A123="","",IF(AND(U123&lt;&gt;"",U123&lt;&gt;0,M123=0),"Replacement lot receiving wash basis",IF(J123="","",IF(J123&gt;=0,"",IF(O123=0,"No replacement buy found",IF(P123&gt;1,"Manual selection needed","Auto matched"))))))</f>
        <v/>
      </c>
      <c r="Z123" t="str">
        <f>IF(K123="Yes",COUNTIF($K$18:K123,"Yes"),"")</f>
        <v/>
      </c>
    </row>
    <row r="124" spans="1:26" ht="34.15" customHeight="1" x14ac:dyDescent="0.2">
      <c r="A124" s="9"/>
      <c r="B124" s="69"/>
      <c r="C124" s="30"/>
      <c r="D124" s="70"/>
      <c r="E124" s="69"/>
      <c r="F124" s="70"/>
      <c r="G124" s="30"/>
      <c r="H124" s="63" t="str">
        <f>IF(OR(C124="",D124=""),"",C124*D124)</f>
        <v/>
      </c>
      <c r="I124" s="63" t="str">
        <f>IF(OR(E124="",F124="",M124&lt;=0),"",M124*F124)</f>
        <v/>
      </c>
      <c r="J124" s="63" t="str">
        <f>IF(I124="","",I124-(M124*D124))</f>
        <v/>
      </c>
      <c r="K124" s="28" t="str">
        <f>IF(A124="","",IF(T124&gt;0,"Yes","No"))</f>
        <v/>
      </c>
      <c r="L124" s="28" t="str">
        <f>IF(A124="","",A124&amp;"-"&amp;TEXT(B124,"yyyymmdd")&amp;"-R"&amp;ROW())</f>
        <v/>
      </c>
      <c r="M124" s="28" t="str">
        <f>IF(OR(C124="",G124=""),"",C124-G124)</f>
        <v/>
      </c>
      <c r="N124" s="63" t="str">
        <f>IF(OR(M124&lt;=0,J124&gt;=0),"",ABS(J124)/M124)</f>
        <v/>
      </c>
      <c r="O124" s="63" t="str">
        <f>IF(OR(A124="",M124&lt;=0,J124&gt;=0),"",MIN(M124,SUMPRODUCT(($A$18:$A$379=A124)*(IFERROR($B$18:$B$379&gt;=E124-30,0))*(IFERROR($B$18:$B$379&lt;=E124+30,0))*($G$18:$G$379&gt;0)*($L$18:$L$379&lt;&gt;L124)*($G$18:$G$379))+SUMPRODUCT(($A$381:$A$498=A124)*(IFERROR($B$381:$B$498&gt;=E124-30,0))*(IFERROR($B$381:$B$498&lt;=E124+30,0))*($G$381:$G$498&gt;0)*($L$381:$L$498&lt;&gt;L124)*($G$381:$G$498))))</f>
        <v/>
      </c>
      <c r="P124" s="28" t="str">
        <f>IF(OR(A124="",M124&lt;=0,J124&gt;=0),"",SUMPRODUCT(($A$18:$A$379=A124)*(IFERROR($B$18:$B$379&gt;=E124-30,0))*(IFERROR($B$18:$B$379&lt;=E124+30,0))*($G$18:$G$379&gt;0)*($L$18:$L$379&lt;&gt;L124))+SUMPRODUCT(($A$381:$A$498=A124)*(IFERROR($B$381:$B$498&gt;=E124-30,0))*(IFERROR($B$381:$B$498&lt;=E124+30,0))*($G$381:$G$498&gt;0)*($L$381:$L$498&lt;&gt;L124)))</f>
        <v/>
      </c>
      <c r="Q124" s="31" t="str">
        <f>IF(P124=1,IFERROR(INDEX($L$18:$L$379,MATCH(1,INDEX(($A$18:$A$379=A124)*(IFERROR($B$18:$B$379&gt;=E124-30,0))*(IFERROR($B$18:$B$379&lt;=E124+30,0))*($G$18:$G$379&gt;0)*($L$18:$L$379&lt;&gt;L124),0),0)),IFERROR(INDEX($L$381:$L$498,MATCH(1,INDEX(($A$381:$A$498=A124)*(IFERROR($B$381:$B$498&gt;=E124-30,0))*(IFERROR($B$381:$B$498&lt;=E124+30,0))*($G$381:$G$498&gt;0)*($L$381:$L$498&lt;&gt;L124),0),0)),"")),"")</f>
        <v/>
      </c>
      <c r="R124" s="32"/>
      <c r="S124" s="31" t="str">
        <f>IF(R124&lt;&gt;"",R124,Q124)</f>
        <v/>
      </c>
      <c r="T124" s="63">
        <f>IF(OR(N124="",O124=0),0,N124*O124)</f>
        <v>0</v>
      </c>
      <c r="U124" s="63">
        <f>IF(COUNTIF($S$18:$S$498,L124)=0,"",SUMIF($S$18:$S$498,L124,$T$18:$T$498))</f>
        <v>0</v>
      </c>
      <c r="V124" s="63" t="str">
        <f>IF(H124="","",IFERROR(H124+U124,H124))</f>
        <v/>
      </c>
      <c r="W124" s="63" t="str">
        <f>IF(OR(V124="",C124=""),"",V124/C124)</f>
        <v/>
      </c>
      <c r="X124" s="11" t="str">
        <f>IF(A124="","",IF(AND(U124&lt;&gt;"",U124&lt;&gt;0,M124=0),"Replacement lot receiving wash basis",IF(J124="","",IF(J124&gt;=0,"",IF(O124=0,"No replacement buy found",IF(P124&gt;1,"Manual selection needed","Auto matched"))))))</f>
        <v/>
      </c>
      <c r="Z124" t="str">
        <f>IF(K124="Yes",COUNTIF($K$18:K124,"Yes"),"")</f>
        <v/>
      </c>
    </row>
    <row r="125" spans="1:26" ht="34.15" customHeight="1" x14ac:dyDescent="0.2">
      <c r="A125" s="9"/>
      <c r="B125" s="69"/>
      <c r="C125" s="30"/>
      <c r="D125" s="70"/>
      <c r="E125" s="69"/>
      <c r="F125" s="70"/>
      <c r="G125" s="30"/>
      <c r="H125" s="63" t="str">
        <f>IF(OR(C125="",D125=""),"",C125*D125)</f>
        <v/>
      </c>
      <c r="I125" s="63" t="str">
        <f>IF(OR(E125="",F125="",M125&lt;=0),"",M125*F125)</f>
        <v/>
      </c>
      <c r="J125" s="63" t="str">
        <f>IF(I125="","",I125-(M125*D125))</f>
        <v/>
      </c>
      <c r="K125" s="28" t="str">
        <f>IF(A125="","",IF(T125&gt;0,"Yes","No"))</f>
        <v/>
      </c>
      <c r="L125" s="28" t="str">
        <f>IF(A125="","",A125&amp;"-"&amp;TEXT(B125,"yyyymmdd")&amp;"-R"&amp;ROW())</f>
        <v/>
      </c>
      <c r="M125" s="28" t="str">
        <f>IF(OR(C125="",G125=""),"",C125-G125)</f>
        <v/>
      </c>
      <c r="N125" s="63" t="str">
        <f>IF(OR(M125&lt;=0,J125&gt;=0),"",ABS(J125)/M125)</f>
        <v/>
      </c>
      <c r="O125" s="63" t="str">
        <f>IF(OR(A125="",M125&lt;=0,J125&gt;=0),"",MIN(M125,SUMPRODUCT(($A$18:$A$379=A125)*(IFERROR($B$18:$B$379&gt;=E125-30,0))*(IFERROR($B$18:$B$379&lt;=E125+30,0))*($G$18:$G$379&gt;0)*($L$18:$L$379&lt;&gt;L125)*($G$18:$G$379))+SUMPRODUCT(($A$381:$A$498=A125)*(IFERROR($B$381:$B$498&gt;=E125-30,0))*(IFERROR($B$381:$B$498&lt;=E125+30,0))*($G$381:$G$498&gt;0)*($L$381:$L$498&lt;&gt;L125)*($G$381:$G$498))))</f>
        <v/>
      </c>
      <c r="P125" s="28" t="str">
        <f>IF(OR(A125="",M125&lt;=0,J125&gt;=0),"",SUMPRODUCT(($A$18:$A$379=A125)*(IFERROR($B$18:$B$379&gt;=E125-30,0))*(IFERROR($B$18:$B$379&lt;=E125+30,0))*($G$18:$G$379&gt;0)*($L$18:$L$379&lt;&gt;L125))+SUMPRODUCT(($A$381:$A$498=A125)*(IFERROR($B$381:$B$498&gt;=E125-30,0))*(IFERROR($B$381:$B$498&lt;=E125+30,0))*($G$381:$G$498&gt;0)*($L$381:$L$498&lt;&gt;L125)))</f>
        <v/>
      </c>
      <c r="Q125" s="31" t="str">
        <f>IF(P125=1,IFERROR(INDEX($L$18:$L$379,MATCH(1,INDEX(($A$18:$A$379=A125)*(IFERROR($B$18:$B$379&gt;=E125-30,0))*(IFERROR($B$18:$B$379&lt;=E125+30,0))*($G$18:$G$379&gt;0)*($L$18:$L$379&lt;&gt;L125),0),0)),IFERROR(INDEX($L$381:$L$498,MATCH(1,INDEX(($A$381:$A$498=A125)*(IFERROR($B$381:$B$498&gt;=E125-30,0))*(IFERROR($B$381:$B$498&lt;=E125+30,0))*($G$381:$G$498&gt;0)*($L$381:$L$498&lt;&gt;L125),0),0)),"")),"")</f>
        <v/>
      </c>
      <c r="R125" s="32"/>
      <c r="S125" s="31" t="str">
        <f>IF(R125&lt;&gt;"",R125,Q125)</f>
        <v/>
      </c>
      <c r="T125" s="63">
        <f>IF(OR(N125="",O125=0),0,N125*O125)</f>
        <v>0</v>
      </c>
      <c r="U125" s="63">
        <f>IF(COUNTIF($S$18:$S$498,L125)=0,"",SUMIF($S$18:$S$498,L125,$T$18:$T$498))</f>
        <v>0</v>
      </c>
      <c r="V125" s="63" t="str">
        <f>IF(H125="","",IFERROR(H125+U125,H125))</f>
        <v/>
      </c>
      <c r="W125" s="63" t="str">
        <f>IF(OR(V125="",C125=""),"",V125/C125)</f>
        <v/>
      </c>
      <c r="X125" s="11" t="str">
        <f>IF(A125="","",IF(AND(U125&lt;&gt;"",U125&lt;&gt;0,M125=0),"Replacement lot receiving wash basis",IF(J125="","",IF(J125&gt;=0,"",IF(O125=0,"No replacement buy found",IF(P125&gt;1,"Manual selection needed","Auto matched"))))))</f>
        <v/>
      </c>
      <c r="Z125" t="str">
        <f>IF(K125="Yes",COUNTIF($K$18:K125,"Yes"),"")</f>
        <v/>
      </c>
    </row>
    <row r="126" spans="1:26" ht="34.15" customHeight="1" x14ac:dyDescent="0.2">
      <c r="A126" s="9"/>
      <c r="B126" s="69"/>
      <c r="C126" s="30"/>
      <c r="D126" s="70"/>
      <c r="E126" s="69"/>
      <c r="F126" s="70"/>
      <c r="G126" s="30"/>
      <c r="H126" s="63" t="str">
        <f>IF(OR(C126="",D126=""),"",C126*D126)</f>
        <v/>
      </c>
      <c r="I126" s="63" t="str">
        <f>IF(OR(E126="",F126="",M126&lt;=0),"",M126*F126)</f>
        <v/>
      </c>
      <c r="J126" s="63" t="str">
        <f>IF(I126="","",I126-(M126*D126))</f>
        <v/>
      </c>
      <c r="K126" s="28" t="str">
        <f>IF(A126="","",IF(T126&gt;0,"Yes","No"))</f>
        <v/>
      </c>
      <c r="L126" s="28" t="str">
        <f>IF(A126="","",A126&amp;"-"&amp;TEXT(B126,"yyyymmdd")&amp;"-R"&amp;ROW())</f>
        <v/>
      </c>
      <c r="M126" s="28" t="str">
        <f>IF(OR(C126="",G126=""),"",C126-G126)</f>
        <v/>
      </c>
      <c r="N126" s="63" t="str">
        <f>IF(OR(M126&lt;=0,J126&gt;=0),"",ABS(J126)/M126)</f>
        <v/>
      </c>
      <c r="O126" s="63" t="str">
        <f>IF(OR(A126="",M126&lt;=0,J126&gt;=0),"",MIN(M126,SUMPRODUCT(($A$18:$A$379=A126)*(IFERROR($B$18:$B$379&gt;=E126-30,0))*(IFERROR($B$18:$B$379&lt;=E126+30,0))*($G$18:$G$379&gt;0)*($L$18:$L$379&lt;&gt;L126)*($G$18:$G$379))+SUMPRODUCT(($A$381:$A$498=A126)*(IFERROR($B$381:$B$498&gt;=E126-30,0))*(IFERROR($B$381:$B$498&lt;=E126+30,0))*($G$381:$G$498&gt;0)*($L$381:$L$498&lt;&gt;L126)*($G$381:$G$498))))</f>
        <v/>
      </c>
      <c r="P126" s="28" t="str">
        <f>IF(OR(A126="",M126&lt;=0,J126&gt;=0),"",SUMPRODUCT(($A$18:$A$379=A126)*(IFERROR($B$18:$B$379&gt;=E126-30,0))*(IFERROR($B$18:$B$379&lt;=E126+30,0))*($G$18:$G$379&gt;0)*($L$18:$L$379&lt;&gt;L126))+SUMPRODUCT(($A$381:$A$498=A126)*(IFERROR($B$381:$B$498&gt;=E126-30,0))*(IFERROR($B$381:$B$498&lt;=E126+30,0))*($G$381:$G$498&gt;0)*($L$381:$L$498&lt;&gt;L126)))</f>
        <v/>
      </c>
      <c r="Q126" s="31" t="str">
        <f>IF(P126=1,IFERROR(INDEX($L$18:$L$379,MATCH(1,INDEX(($A$18:$A$379=A126)*(IFERROR($B$18:$B$379&gt;=E126-30,0))*(IFERROR($B$18:$B$379&lt;=E126+30,0))*($G$18:$G$379&gt;0)*($L$18:$L$379&lt;&gt;L126),0),0)),IFERROR(INDEX($L$381:$L$498,MATCH(1,INDEX(($A$381:$A$498=A126)*(IFERROR($B$381:$B$498&gt;=E126-30,0))*(IFERROR($B$381:$B$498&lt;=E126+30,0))*($G$381:$G$498&gt;0)*($L$381:$L$498&lt;&gt;L126),0),0)),"")),"")</f>
        <v/>
      </c>
      <c r="R126" s="32"/>
      <c r="S126" s="31" t="str">
        <f>IF(R126&lt;&gt;"",R126,Q126)</f>
        <v/>
      </c>
      <c r="T126" s="63">
        <f>IF(OR(N126="",O126=0),0,N126*O126)</f>
        <v>0</v>
      </c>
      <c r="U126" s="63">
        <f>IF(COUNTIF($S$18:$S$498,L126)=0,"",SUMIF($S$18:$S$498,L126,$T$18:$T$498))</f>
        <v>0</v>
      </c>
      <c r="V126" s="63" t="str">
        <f>IF(H126="","",IFERROR(H126+U126,H126))</f>
        <v/>
      </c>
      <c r="W126" s="63" t="str">
        <f>IF(OR(V126="",C126=""),"",V126/C126)</f>
        <v/>
      </c>
      <c r="X126" s="11" t="str">
        <f>IF(A126="","",IF(AND(U126&lt;&gt;"",U126&lt;&gt;0,M126=0),"Replacement lot receiving wash basis",IF(J126="","",IF(J126&gt;=0,"",IF(O126=0,"No replacement buy found",IF(P126&gt;1,"Manual selection needed","Auto matched"))))))</f>
        <v/>
      </c>
      <c r="Z126" t="str">
        <f>IF(K126="Yes",COUNTIF($K$18:K126,"Yes"),"")</f>
        <v/>
      </c>
    </row>
    <row r="127" spans="1:26" ht="34.15" customHeight="1" x14ac:dyDescent="0.2">
      <c r="A127" s="9"/>
      <c r="B127" s="69"/>
      <c r="C127" s="30"/>
      <c r="D127" s="70"/>
      <c r="E127" s="69"/>
      <c r="F127" s="70"/>
      <c r="G127" s="30"/>
      <c r="H127" s="63" t="str">
        <f>IF(OR(C127="",D127=""),"",C127*D127)</f>
        <v/>
      </c>
      <c r="I127" s="63" t="str">
        <f>IF(OR(E127="",F127="",M127&lt;=0),"",M127*F127)</f>
        <v/>
      </c>
      <c r="J127" s="63" t="str">
        <f>IF(I127="","",I127-(M127*D127))</f>
        <v/>
      </c>
      <c r="K127" s="28" t="str">
        <f>IF(A127="","",IF(T127&gt;0,"Yes","No"))</f>
        <v/>
      </c>
      <c r="L127" s="28" t="str">
        <f>IF(A127="","",A127&amp;"-"&amp;TEXT(B127,"yyyymmdd")&amp;"-R"&amp;ROW())</f>
        <v/>
      </c>
      <c r="M127" s="28" t="str">
        <f>IF(OR(C127="",G127=""),"",C127-G127)</f>
        <v/>
      </c>
      <c r="N127" s="63" t="str">
        <f>IF(OR(M127&lt;=0,J127&gt;=0),"",ABS(J127)/M127)</f>
        <v/>
      </c>
      <c r="O127" s="63" t="str">
        <f>IF(OR(A127="",M127&lt;=0,J127&gt;=0),"",MIN(M127,SUMPRODUCT(($A$18:$A$379=A127)*(IFERROR($B$18:$B$379&gt;=E127-30,0))*(IFERROR($B$18:$B$379&lt;=E127+30,0))*($G$18:$G$379&gt;0)*($L$18:$L$379&lt;&gt;L127)*($G$18:$G$379))+SUMPRODUCT(($A$381:$A$498=A127)*(IFERROR($B$381:$B$498&gt;=E127-30,0))*(IFERROR($B$381:$B$498&lt;=E127+30,0))*($G$381:$G$498&gt;0)*($L$381:$L$498&lt;&gt;L127)*($G$381:$G$498))))</f>
        <v/>
      </c>
      <c r="P127" s="28" t="str">
        <f>IF(OR(A127="",M127&lt;=0,J127&gt;=0),"",SUMPRODUCT(($A$18:$A$379=A127)*(IFERROR($B$18:$B$379&gt;=E127-30,0))*(IFERROR($B$18:$B$379&lt;=E127+30,0))*($G$18:$G$379&gt;0)*($L$18:$L$379&lt;&gt;L127))+SUMPRODUCT(($A$381:$A$498=A127)*(IFERROR($B$381:$B$498&gt;=E127-30,0))*(IFERROR($B$381:$B$498&lt;=E127+30,0))*($G$381:$G$498&gt;0)*($L$381:$L$498&lt;&gt;L127)))</f>
        <v/>
      </c>
      <c r="Q127" s="31" t="str">
        <f>IF(P127=1,IFERROR(INDEX($L$18:$L$379,MATCH(1,INDEX(($A$18:$A$379=A127)*(IFERROR($B$18:$B$379&gt;=E127-30,0))*(IFERROR($B$18:$B$379&lt;=E127+30,0))*($G$18:$G$379&gt;0)*($L$18:$L$379&lt;&gt;L127),0),0)),IFERROR(INDEX($L$381:$L$498,MATCH(1,INDEX(($A$381:$A$498=A127)*(IFERROR($B$381:$B$498&gt;=E127-30,0))*(IFERROR($B$381:$B$498&lt;=E127+30,0))*($G$381:$G$498&gt;0)*($L$381:$L$498&lt;&gt;L127),0),0)),"")),"")</f>
        <v/>
      </c>
      <c r="R127" s="32"/>
      <c r="S127" s="31" t="str">
        <f>IF(R127&lt;&gt;"",R127,Q127)</f>
        <v/>
      </c>
      <c r="T127" s="63">
        <f>IF(OR(N127="",O127=0),0,N127*O127)</f>
        <v>0</v>
      </c>
      <c r="U127" s="63">
        <f>IF(COUNTIF($S$18:$S$498,L127)=0,"",SUMIF($S$18:$S$498,L127,$T$18:$T$498))</f>
        <v>0</v>
      </c>
      <c r="V127" s="63" t="str">
        <f>IF(H127="","",IFERROR(H127+U127,H127))</f>
        <v/>
      </c>
      <c r="W127" s="63" t="str">
        <f>IF(OR(V127="",C127=""),"",V127/C127)</f>
        <v/>
      </c>
      <c r="X127" s="11" t="str">
        <f>IF(A127="","",IF(AND(U127&lt;&gt;"",U127&lt;&gt;0,M127=0),"Replacement lot receiving wash basis",IF(J127="","",IF(J127&gt;=0,"",IF(O127=0,"No replacement buy found",IF(P127&gt;1,"Manual selection needed","Auto matched"))))))</f>
        <v/>
      </c>
      <c r="Z127" t="str">
        <f>IF(K127="Yes",COUNTIF($K$18:K127,"Yes"),"")</f>
        <v/>
      </c>
    </row>
    <row r="128" spans="1:26" ht="34.15" customHeight="1" x14ac:dyDescent="0.2">
      <c r="A128" s="9"/>
      <c r="B128" s="69"/>
      <c r="C128" s="30"/>
      <c r="D128" s="70"/>
      <c r="E128" s="69"/>
      <c r="F128" s="70"/>
      <c r="G128" s="30"/>
      <c r="H128" s="63" t="str">
        <f>IF(OR(C128="",D128=""),"",C128*D128)</f>
        <v/>
      </c>
      <c r="I128" s="63" t="str">
        <f>IF(OR(E128="",F128="",M128&lt;=0),"",M128*F128)</f>
        <v/>
      </c>
      <c r="J128" s="63" t="str">
        <f>IF(I128="","",I128-(M128*D128))</f>
        <v/>
      </c>
      <c r="K128" s="28" t="str">
        <f>IF(A128="","",IF(T128&gt;0,"Yes","No"))</f>
        <v/>
      </c>
      <c r="L128" s="28" t="str">
        <f>IF(A128="","",A128&amp;"-"&amp;TEXT(B128,"yyyymmdd")&amp;"-R"&amp;ROW())</f>
        <v/>
      </c>
      <c r="M128" s="28" t="str">
        <f>IF(OR(C128="",G128=""),"",C128-G128)</f>
        <v/>
      </c>
      <c r="N128" s="63" t="str">
        <f>IF(OR(M128&lt;=0,J128&gt;=0),"",ABS(J128)/M128)</f>
        <v/>
      </c>
      <c r="O128" s="63" t="str">
        <f>IF(OR(A128="",M128&lt;=0,J128&gt;=0),"",MIN(M128,SUMPRODUCT(($A$18:$A$379=A128)*(IFERROR($B$18:$B$379&gt;=E128-30,0))*(IFERROR($B$18:$B$379&lt;=E128+30,0))*($G$18:$G$379&gt;0)*($L$18:$L$379&lt;&gt;L128)*($G$18:$G$379))+SUMPRODUCT(($A$381:$A$498=A128)*(IFERROR($B$381:$B$498&gt;=E128-30,0))*(IFERROR($B$381:$B$498&lt;=E128+30,0))*($G$381:$G$498&gt;0)*($L$381:$L$498&lt;&gt;L128)*($G$381:$G$498))))</f>
        <v/>
      </c>
      <c r="P128" s="28" t="str">
        <f>IF(OR(A128="",M128&lt;=0,J128&gt;=0),"",SUMPRODUCT(($A$18:$A$379=A128)*(IFERROR($B$18:$B$379&gt;=E128-30,0))*(IFERROR($B$18:$B$379&lt;=E128+30,0))*($G$18:$G$379&gt;0)*($L$18:$L$379&lt;&gt;L128))+SUMPRODUCT(($A$381:$A$498=A128)*(IFERROR($B$381:$B$498&gt;=E128-30,0))*(IFERROR($B$381:$B$498&lt;=E128+30,0))*($G$381:$G$498&gt;0)*($L$381:$L$498&lt;&gt;L128)))</f>
        <v/>
      </c>
      <c r="Q128" s="31" t="str">
        <f>IF(P128=1,IFERROR(INDEX($L$18:$L$379,MATCH(1,INDEX(($A$18:$A$379=A128)*(IFERROR($B$18:$B$379&gt;=E128-30,0))*(IFERROR($B$18:$B$379&lt;=E128+30,0))*($G$18:$G$379&gt;0)*($L$18:$L$379&lt;&gt;L128),0),0)),IFERROR(INDEX($L$381:$L$498,MATCH(1,INDEX(($A$381:$A$498=A128)*(IFERROR($B$381:$B$498&gt;=E128-30,0))*(IFERROR($B$381:$B$498&lt;=E128+30,0))*($G$381:$G$498&gt;0)*($L$381:$L$498&lt;&gt;L128),0),0)),"")),"")</f>
        <v/>
      </c>
      <c r="R128" s="32"/>
      <c r="S128" s="31" t="str">
        <f>IF(R128&lt;&gt;"",R128,Q128)</f>
        <v/>
      </c>
      <c r="T128" s="63">
        <f>IF(OR(N128="",O128=0),0,N128*O128)</f>
        <v>0</v>
      </c>
      <c r="U128" s="63">
        <f>IF(COUNTIF($S$18:$S$498,L128)=0,"",SUMIF($S$18:$S$498,L128,$T$18:$T$498))</f>
        <v>0</v>
      </c>
      <c r="V128" s="63" t="str">
        <f>IF(H128="","",IFERROR(H128+U128,H128))</f>
        <v/>
      </c>
      <c r="W128" s="63" t="str">
        <f>IF(OR(V128="",C128=""),"",V128/C128)</f>
        <v/>
      </c>
      <c r="X128" s="11" t="str">
        <f>IF(A128="","",IF(AND(U128&lt;&gt;"",U128&lt;&gt;0,M128=0),"Replacement lot receiving wash basis",IF(J128="","",IF(J128&gt;=0,"",IF(O128=0,"No replacement buy found",IF(P128&gt;1,"Manual selection needed","Auto matched"))))))</f>
        <v/>
      </c>
      <c r="Z128" t="str">
        <f>IF(K128="Yes",COUNTIF($K$18:K128,"Yes"),"")</f>
        <v/>
      </c>
    </row>
    <row r="129" spans="1:26" ht="34.15" customHeight="1" x14ac:dyDescent="0.2">
      <c r="A129" s="9"/>
      <c r="B129" s="69"/>
      <c r="C129" s="30"/>
      <c r="D129" s="70"/>
      <c r="E129" s="69"/>
      <c r="F129" s="70"/>
      <c r="G129" s="30"/>
      <c r="H129" s="63" t="str">
        <f>IF(OR(C129="",D129=""),"",C129*D129)</f>
        <v/>
      </c>
      <c r="I129" s="63" t="str">
        <f>IF(OR(E129="",F129="",M129&lt;=0),"",M129*F129)</f>
        <v/>
      </c>
      <c r="J129" s="63" t="str">
        <f>IF(I129="","",I129-(M129*D129))</f>
        <v/>
      </c>
      <c r="K129" s="28" t="str">
        <f>IF(A129="","",IF(T129&gt;0,"Yes","No"))</f>
        <v/>
      </c>
      <c r="L129" s="28" t="str">
        <f>IF(A129="","",A129&amp;"-"&amp;TEXT(B129,"yyyymmdd")&amp;"-R"&amp;ROW())</f>
        <v/>
      </c>
      <c r="M129" s="28" t="str">
        <f>IF(OR(C129="",G129=""),"",C129-G129)</f>
        <v/>
      </c>
      <c r="N129" s="63" t="str">
        <f>IF(OR(M129&lt;=0,J129&gt;=0),"",ABS(J129)/M129)</f>
        <v/>
      </c>
      <c r="O129" s="63" t="str">
        <f>IF(OR(A129="",M129&lt;=0,J129&gt;=0),"",MIN(M129,SUMPRODUCT(($A$18:$A$379=A129)*(IFERROR($B$18:$B$379&gt;=E129-30,0))*(IFERROR($B$18:$B$379&lt;=E129+30,0))*($G$18:$G$379&gt;0)*($L$18:$L$379&lt;&gt;L129)*($G$18:$G$379))+SUMPRODUCT(($A$381:$A$498=A129)*(IFERROR($B$381:$B$498&gt;=E129-30,0))*(IFERROR($B$381:$B$498&lt;=E129+30,0))*($G$381:$G$498&gt;0)*($L$381:$L$498&lt;&gt;L129)*($G$381:$G$498))))</f>
        <v/>
      </c>
      <c r="P129" s="28" t="str">
        <f>IF(OR(A129="",M129&lt;=0,J129&gt;=0),"",SUMPRODUCT(($A$18:$A$379=A129)*(IFERROR($B$18:$B$379&gt;=E129-30,0))*(IFERROR($B$18:$B$379&lt;=E129+30,0))*($G$18:$G$379&gt;0)*($L$18:$L$379&lt;&gt;L129))+SUMPRODUCT(($A$381:$A$498=A129)*(IFERROR($B$381:$B$498&gt;=E129-30,0))*(IFERROR($B$381:$B$498&lt;=E129+30,0))*($G$381:$G$498&gt;0)*($L$381:$L$498&lt;&gt;L129)))</f>
        <v/>
      </c>
      <c r="Q129" s="31" t="str">
        <f>IF(P129=1,IFERROR(INDEX($L$18:$L$379,MATCH(1,INDEX(($A$18:$A$379=A129)*(IFERROR($B$18:$B$379&gt;=E129-30,0))*(IFERROR($B$18:$B$379&lt;=E129+30,0))*($G$18:$G$379&gt;0)*($L$18:$L$379&lt;&gt;L129),0),0)),IFERROR(INDEX($L$381:$L$498,MATCH(1,INDEX(($A$381:$A$498=A129)*(IFERROR($B$381:$B$498&gt;=E129-30,0))*(IFERROR($B$381:$B$498&lt;=E129+30,0))*($G$381:$G$498&gt;0)*($L$381:$L$498&lt;&gt;L129),0),0)),"")),"")</f>
        <v/>
      </c>
      <c r="R129" s="32"/>
      <c r="S129" s="31" t="str">
        <f>IF(R129&lt;&gt;"",R129,Q129)</f>
        <v/>
      </c>
      <c r="T129" s="63">
        <f>IF(OR(N129="",O129=0),0,N129*O129)</f>
        <v>0</v>
      </c>
      <c r="U129" s="63">
        <f>IF(COUNTIF($S$18:$S$498,L129)=0,"",SUMIF($S$18:$S$498,L129,$T$18:$T$498))</f>
        <v>0</v>
      </c>
      <c r="V129" s="63" t="str">
        <f>IF(H129="","",IFERROR(H129+U129,H129))</f>
        <v/>
      </c>
      <c r="W129" s="63" t="str">
        <f>IF(OR(V129="",C129=""),"",V129/C129)</f>
        <v/>
      </c>
      <c r="X129" s="11" t="str">
        <f>IF(A129="","",IF(AND(U129&lt;&gt;"",U129&lt;&gt;0,M129=0),"Replacement lot receiving wash basis",IF(J129="","",IF(J129&gt;=0,"",IF(O129=0,"No replacement buy found",IF(P129&gt;1,"Manual selection needed","Auto matched"))))))</f>
        <v/>
      </c>
      <c r="Z129" t="str">
        <f>IF(K129="Yes",COUNTIF($K$18:K129,"Yes"),"")</f>
        <v/>
      </c>
    </row>
    <row r="130" spans="1:26" ht="34.15" customHeight="1" x14ac:dyDescent="0.2">
      <c r="A130" s="9"/>
      <c r="B130" s="69"/>
      <c r="C130" s="30"/>
      <c r="D130" s="70"/>
      <c r="E130" s="69"/>
      <c r="F130" s="70"/>
      <c r="G130" s="30"/>
      <c r="H130" s="63" t="str">
        <f>IF(OR(C130="",D130=""),"",C130*D130)</f>
        <v/>
      </c>
      <c r="I130" s="63" t="str">
        <f>IF(OR(E130="",F130="",M130&lt;=0),"",M130*F130)</f>
        <v/>
      </c>
      <c r="J130" s="63" t="str">
        <f>IF(I130="","",I130-(M130*D130))</f>
        <v/>
      </c>
      <c r="K130" s="28" t="str">
        <f>IF(A130="","",IF(T130&gt;0,"Yes","No"))</f>
        <v/>
      </c>
      <c r="L130" s="28" t="str">
        <f>IF(A130="","",A130&amp;"-"&amp;TEXT(B130,"yyyymmdd")&amp;"-R"&amp;ROW())</f>
        <v/>
      </c>
      <c r="M130" s="28" t="str">
        <f>IF(OR(C130="",G130=""),"",C130-G130)</f>
        <v/>
      </c>
      <c r="N130" s="63" t="str">
        <f>IF(OR(M130&lt;=0,J130&gt;=0),"",ABS(J130)/M130)</f>
        <v/>
      </c>
      <c r="O130" s="63" t="str">
        <f>IF(OR(A130="",M130&lt;=0,J130&gt;=0),"",MIN(M130,SUMPRODUCT(($A$18:$A$379=A130)*(IFERROR($B$18:$B$379&gt;=E130-30,0))*(IFERROR($B$18:$B$379&lt;=E130+30,0))*($G$18:$G$379&gt;0)*($L$18:$L$379&lt;&gt;L130)*($G$18:$G$379))+SUMPRODUCT(($A$381:$A$498=A130)*(IFERROR($B$381:$B$498&gt;=E130-30,0))*(IFERROR($B$381:$B$498&lt;=E130+30,0))*($G$381:$G$498&gt;0)*($L$381:$L$498&lt;&gt;L130)*($G$381:$G$498))))</f>
        <v/>
      </c>
      <c r="P130" s="28" t="str">
        <f>IF(OR(A130="",M130&lt;=0,J130&gt;=0),"",SUMPRODUCT(($A$18:$A$379=A130)*(IFERROR($B$18:$B$379&gt;=E130-30,0))*(IFERROR($B$18:$B$379&lt;=E130+30,0))*($G$18:$G$379&gt;0)*($L$18:$L$379&lt;&gt;L130))+SUMPRODUCT(($A$381:$A$498=A130)*(IFERROR($B$381:$B$498&gt;=E130-30,0))*(IFERROR($B$381:$B$498&lt;=E130+30,0))*($G$381:$G$498&gt;0)*($L$381:$L$498&lt;&gt;L130)))</f>
        <v/>
      </c>
      <c r="Q130" s="31" t="str">
        <f>IF(P130=1,IFERROR(INDEX($L$18:$L$379,MATCH(1,INDEX(($A$18:$A$379=A130)*(IFERROR($B$18:$B$379&gt;=E130-30,0))*(IFERROR($B$18:$B$379&lt;=E130+30,0))*($G$18:$G$379&gt;0)*($L$18:$L$379&lt;&gt;L130),0),0)),IFERROR(INDEX($L$381:$L$498,MATCH(1,INDEX(($A$381:$A$498=A130)*(IFERROR($B$381:$B$498&gt;=E130-30,0))*(IFERROR($B$381:$B$498&lt;=E130+30,0))*($G$381:$G$498&gt;0)*($L$381:$L$498&lt;&gt;L130),0),0)),"")),"")</f>
        <v/>
      </c>
      <c r="R130" s="32"/>
      <c r="S130" s="31" t="str">
        <f>IF(R130&lt;&gt;"",R130,Q130)</f>
        <v/>
      </c>
      <c r="T130" s="63">
        <f>IF(OR(N130="",O130=0),0,N130*O130)</f>
        <v>0</v>
      </c>
      <c r="U130" s="63">
        <f>IF(COUNTIF($S$18:$S$498,L130)=0,"",SUMIF($S$18:$S$498,L130,$T$18:$T$498))</f>
        <v>0</v>
      </c>
      <c r="V130" s="63" t="str">
        <f>IF(H130="","",IFERROR(H130+U130,H130))</f>
        <v/>
      </c>
      <c r="W130" s="63" t="str">
        <f>IF(OR(V130="",C130=""),"",V130/C130)</f>
        <v/>
      </c>
      <c r="X130" s="11" t="str">
        <f>IF(A130="","",IF(AND(U130&lt;&gt;"",U130&lt;&gt;0,M130=0),"Replacement lot receiving wash basis",IF(J130="","",IF(J130&gt;=0,"",IF(O130=0,"No replacement buy found",IF(P130&gt;1,"Manual selection needed","Auto matched"))))))</f>
        <v/>
      </c>
      <c r="Z130" t="str">
        <f>IF(K130="Yes",COUNTIF($K$18:K130,"Yes"),"")</f>
        <v/>
      </c>
    </row>
    <row r="131" spans="1:26" ht="34.15" customHeight="1" x14ac:dyDescent="0.2">
      <c r="A131" s="9"/>
      <c r="B131" s="69"/>
      <c r="C131" s="30"/>
      <c r="D131" s="70"/>
      <c r="E131" s="69"/>
      <c r="F131" s="70"/>
      <c r="G131" s="30"/>
      <c r="H131" s="63" t="str">
        <f>IF(OR(C131="",D131=""),"",C131*D131)</f>
        <v/>
      </c>
      <c r="I131" s="63" t="str">
        <f>IF(OR(E131="",F131="",M131&lt;=0),"",M131*F131)</f>
        <v/>
      </c>
      <c r="J131" s="63" t="str">
        <f>IF(I131="","",I131-(M131*D131))</f>
        <v/>
      </c>
      <c r="K131" s="28" t="str">
        <f>IF(A131="","",IF(T131&gt;0,"Yes","No"))</f>
        <v/>
      </c>
      <c r="L131" s="28" t="str">
        <f>IF(A131="","",A131&amp;"-"&amp;TEXT(B131,"yyyymmdd")&amp;"-R"&amp;ROW())</f>
        <v/>
      </c>
      <c r="M131" s="28" t="str">
        <f>IF(OR(C131="",G131=""),"",C131-G131)</f>
        <v/>
      </c>
      <c r="N131" s="63" t="str">
        <f>IF(OR(M131&lt;=0,J131&gt;=0),"",ABS(J131)/M131)</f>
        <v/>
      </c>
      <c r="O131" s="63" t="str">
        <f>IF(OR(A131="",M131&lt;=0,J131&gt;=0),"",MIN(M131,SUMPRODUCT(($A$18:$A$379=A131)*(IFERROR($B$18:$B$379&gt;=E131-30,0))*(IFERROR($B$18:$B$379&lt;=E131+30,0))*($G$18:$G$379&gt;0)*($L$18:$L$379&lt;&gt;L131)*($G$18:$G$379))+SUMPRODUCT(($A$381:$A$498=A131)*(IFERROR($B$381:$B$498&gt;=E131-30,0))*(IFERROR($B$381:$B$498&lt;=E131+30,0))*($G$381:$G$498&gt;0)*($L$381:$L$498&lt;&gt;L131)*($G$381:$G$498))))</f>
        <v/>
      </c>
      <c r="P131" s="28" t="str">
        <f>IF(OR(A131="",M131&lt;=0,J131&gt;=0),"",SUMPRODUCT(($A$18:$A$379=A131)*(IFERROR($B$18:$B$379&gt;=E131-30,0))*(IFERROR($B$18:$B$379&lt;=E131+30,0))*($G$18:$G$379&gt;0)*($L$18:$L$379&lt;&gt;L131))+SUMPRODUCT(($A$381:$A$498=A131)*(IFERROR($B$381:$B$498&gt;=E131-30,0))*(IFERROR($B$381:$B$498&lt;=E131+30,0))*($G$381:$G$498&gt;0)*($L$381:$L$498&lt;&gt;L131)))</f>
        <v/>
      </c>
      <c r="Q131" s="31" t="str">
        <f>IF(P131=1,IFERROR(INDEX($L$18:$L$379,MATCH(1,INDEX(($A$18:$A$379=A131)*(IFERROR($B$18:$B$379&gt;=E131-30,0))*(IFERROR($B$18:$B$379&lt;=E131+30,0))*($G$18:$G$379&gt;0)*($L$18:$L$379&lt;&gt;L131),0),0)),IFERROR(INDEX($L$381:$L$498,MATCH(1,INDEX(($A$381:$A$498=A131)*(IFERROR($B$381:$B$498&gt;=E131-30,0))*(IFERROR($B$381:$B$498&lt;=E131+30,0))*($G$381:$G$498&gt;0)*($L$381:$L$498&lt;&gt;L131),0),0)),"")),"")</f>
        <v/>
      </c>
      <c r="R131" s="32"/>
      <c r="S131" s="31" t="str">
        <f>IF(R131&lt;&gt;"",R131,Q131)</f>
        <v/>
      </c>
      <c r="T131" s="63">
        <f>IF(OR(N131="",O131=0),0,N131*O131)</f>
        <v>0</v>
      </c>
      <c r="U131" s="63">
        <f>IF(COUNTIF($S$18:$S$498,L131)=0,"",SUMIF($S$18:$S$498,L131,$T$18:$T$498))</f>
        <v>0</v>
      </c>
      <c r="V131" s="63" t="str">
        <f>IF(H131="","",IFERROR(H131+U131,H131))</f>
        <v/>
      </c>
      <c r="W131" s="63" t="str">
        <f>IF(OR(V131="",C131=""),"",V131/C131)</f>
        <v/>
      </c>
      <c r="X131" s="11" t="str">
        <f>IF(A131="","",IF(AND(U131&lt;&gt;"",U131&lt;&gt;0,M131=0),"Replacement lot receiving wash basis",IF(J131="","",IF(J131&gt;=0,"",IF(O131=0,"No replacement buy found",IF(P131&gt;1,"Manual selection needed","Auto matched"))))))</f>
        <v/>
      </c>
      <c r="Z131" t="str">
        <f>IF(K131="Yes",COUNTIF($K$18:K131,"Yes"),"")</f>
        <v/>
      </c>
    </row>
    <row r="132" spans="1:26" ht="34.15" customHeight="1" x14ac:dyDescent="0.2">
      <c r="A132" s="9"/>
      <c r="B132" s="69"/>
      <c r="C132" s="30"/>
      <c r="D132" s="70"/>
      <c r="E132" s="69"/>
      <c r="F132" s="70"/>
      <c r="G132" s="30"/>
      <c r="H132" s="63" t="str">
        <f>IF(OR(C132="",D132=""),"",C132*D132)</f>
        <v/>
      </c>
      <c r="I132" s="63" t="str">
        <f>IF(OR(E132="",F132="",M132&lt;=0),"",M132*F132)</f>
        <v/>
      </c>
      <c r="J132" s="63" t="str">
        <f>IF(I132="","",I132-(M132*D132))</f>
        <v/>
      </c>
      <c r="K132" s="28" t="str">
        <f>IF(A132="","",IF(T132&gt;0,"Yes","No"))</f>
        <v/>
      </c>
      <c r="L132" s="28" t="str">
        <f>IF(A132="","",A132&amp;"-"&amp;TEXT(B132,"yyyymmdd")&amp;"-R"&amp;ROW())</f>
        <v/>
      </c>
      <c r="M132" s="28" t="str">
        <f>IF(OR(C132="",G132=""),"",C132-G132)</f>
        <v/>
      </c>
      <c r="N132" s="63" t="str">
        <f>IF(OR(M132&lt;=0,J132&gt;=0),"",ABS(J132)/M132)</f>
        <v/>
      </c>
      <c r="O132" s="63" t="str">
        <f>IF(OR(A132="",M132&lt;=0,J132&gt;=0),"",MIN(M132,SUMPRODUCT(($A$18:$A$379=A132)*(IFERROR($B$18:$B$379&gt;=E132-30,0))*(IFERROR($B$18:$B$379&lt;=E132+30,0))*($G$18:$G$379&gt;0)*($L$18:$L$379&lt;&gt;L132)*($G$18:$G$379))+SUMPRODUCT(($A$381:$A$498=A132)*(IFERROR($B$381:$B$498&gt;=E132-30,0))*(IFERROR($B$381:$B$498&lt;=E132+30,0))*($G$381:$G$498&gt;0)*($L$381:$L$498&lt;&gt;L132)*($G$381:$G$498))))</f>
        <v/>
      </c>
      <c r="P132" s="28" t="str">
        <f>IF(OR(A132="",M132&lt;=0,J132&gt;=0),"",SUMPRODUCT(($A$18:$A$379=A132)*(IFERROR($B$18:$B$379&gt;=E132-30,0))*(IFERROR($B$18:$B$379&lt;=E132+30,0))*($G$18:$G$379&gt;0)*($L$18:$L$379&lt;&gt;L132))+SUMPRODUCT(($A$381:$A$498=A132)*(IFERROR($B$381:$B$498&gt;=E132-30,0))*(IFERROR($B$381:$B$498&lt;=E132+30,0))*($G$381:$G$498&gt;0)*($L$381:$L$498&lt;&gt;L132)))</f>
        <v/>
      </c>
      <c r="Q132" s="31" t="str">
        <f>IF(P132=1,IFERROR(INDEX($L$18:$L$379,MATCH(1,INDEX(($A$18:$A$379=A132)*(IFERROR($B$18:$B$379&gt;=E132-30,0))*(IFERROR($B$18:$B$379&lt;=E132+30,0))*($G$18:$G$379&gt;0)*($L$18:$L$379&lt;&gt;L132),0),0)),IFERROR(INDEX($L$381:$L$498,MATCH(1,INDEX(($A$381:$A$498=A132)*(IFERROR($B$381:$B$498&gt;=E132-30,0))*(IFERROR($B$381:$B$498&lt;=E132+30,0))*($G$381:$G$498&gt;0)*($L$381:$L$498&lt;&gt;L132),0),0)),"")),"")</f>
        <v/>
      </c>
      <c r="R132" s="32"/>
      <c r="S132" s="31" t="str">
        <f>IF(R132&lt;&gt;"",R132,Q132)</f>
        <v/>
      </c>
      <c r="T132" s="63">
        <f>IF(OR(N132="",O132=0),0,N132*O132)</f>
        <v>0</v>
      </c>
      <c r="U132" s="63">
        <f>IF(COUNTIF($S$18:$S$498,L132)=0,"",SUMIF($S$18:$S$498,L132,$T$18:$T$498))</f>
        <v>0</v>
      </c>
      <c r="V132" s="63" t="str">
        <f>IF(H132="","",IFERROR(H132+U132,H132))</f>
        <v/>
      </c>
      <c r="W132" s="63" t="str">
        <f>IF(OR(V132="",C132=""),"",V132/C132)</f>
        <v/>
      </c>
      <c r="X132" s="11" t="str">
        <f>IF(A132="","",IF(AND(U132&lt;&gt;"",U132&lt;&gt;0,M132=0),"Replacement lot receiving wash basis",IF(J132="","",IF(J132&gt;=0,"",IF(O132=0,"No replacement buy found",IF(P132&gt;1,"Manual selection needed","Auto matched"))))))</f>
        <v/>
      </c>
      <c r="Z132" t="str">
        <f>IF(K132="Yes",COUNTIF($K$18:K132,"Yes"),"")</f>
        <v/>
      </c>
    </row>
    <row r="133" spans="1:26" ht="34.15" customHeight="1" x14ac:dyDescent="0.2">
      <c r="A133" s="9"/>
      <c r="B133" s="69"/>
      <c r="C133" s="30"/>
      <c r="D133" s="70"/>
      <c r="E133" s="69"/>
      <c r="F133" s="70"/>
      <c r="G133" s="30"/>
      <c r="H133" s="63" t="str">
        <f>IF(OR(C133="",D133=""),"",C133*D133)</f>
        <v/>
      </c>
      <c r="I133" s="63" t="str">
        <f>IF(OR(E133="",F133="",M133&lt;=0),"",M133*F133)</f>
        <v/>
      </c>
      <c r="J133" s="63" t="str">
        <f>IF(I133="","",I133-(M133*D133))</f>
        <v/>
      </c>
      <c r="K133" s="28" t="str">
        <f>IF(A133="","",IF(T133&gt;0,"Yes","No"))</f>
        <v/>
      </c>
      <c r="L133" s="28" t="str">
        <f>IF(A133="","",A133&amp;"-"&amp;TEXT(B133,"yyyymmdd")&amp;"-R"&amp;ROW())</f>
        <v/>
      </c>
      <c r="M133" s="28" t="str">
        <f>IF(OR(C133="",G133=""),"",C133-G133)</f>
        <v/>
      </c>
      <c r="N133" s="63" t="str">
        <f>IF(OR(M133&lt;=0,J133&gt;=0),"",ABS(J133)/M133)</f>
        <v/>
      </c>
      <c r="O133" s="63" t="str">
        <f>IF(OR(A133="",M133&lt;=0,J133&gt;=0),"",MIN(M133,SUMPRODUCT(($A$18:$A$379=A133)*(IFERROR($B$18:$B$379&gt;=E133-30,0))*(IFERROR($B$18:$B$379&lt;=E133+30,0))*($G$18:$G$379&gt;0)*($L$18:$L$379&lt;&gt;L133)*($G$18:$G$379))+SUMPRODUCT(($A$381:$A$498=A133)*(IFERROR($B$381:$B$498&gt;=E133-30,0))*(IFERROR($B$381:$B$498&lt;=E133+30,0))*($G$381:$G$498&gt;0)*($L$381:$L$498&lt;&gt;L133)*($G$381:$G$498))))</f>
        <v/>
      </c>
      <c r="P133" s="28" t="str">
        <f>IF(OR(A133="",M133&lt;=0,J133&gt;=0),"",SUMPRODUCT(($A$18:$A$379=A133)*(IFERROR($B$18:$B$379&gt;=E133-30,0))*(IFERROR($B$18:$B$379&lt;=E133+30,0))*($G$18:$G$379&gt;0)*($L$18:$L$379&lt;&gt;L133))+SUMPRODUCT(($A$381:$A$498=A133)*(IFERROR($B$381:$B$498&gt;=E133-30,0))*(IFERROR($B$381:$B$498&lt;=E133+30,0))*($G$381:$G$498&gt;0)*($L$381:$L$498&lt;&gt;L133)))</f>
        <v/>
      </c>
      <c r="Q133" s="31" t="str">
        <f>IF(P133=1,IFERROR(INDEX($L$18:$L$379,MATCH(1,INDEX(($A$18:$A$379=A133)*(IFERROR($B$18:$B$379&gt;=E133-30,0))*(IFERROR($B$18:$B$379&lt;=E133+30,0))*($G$18:$G$379&gt;0)*($L$18:$L$379&lt;&gt;L133),0),0)),IFERROR(INDEX($L$381:$L$498,MATCH(1,INDEX(($A$381:$A$498=A133)*(IFERROR($B$381:$B$498&gt;=E133-30,0))*(IFERROR($B$381:$B$498&lt;=E133+30,0))*($G$381:$G$498&gt;0)*($L$381:$L$498&lt;&gt;L133),0),0)),"")),"")</f>
        <v/>
      </c>
      <c r="R133" s="32"/>
      <c r="S133" s="31" t="str">
        <f>IF(R133&lt;&gt;"",R133,Q133)</f>
        <v/>
      </c>
      <c r="T133" s="63">
        <f>IF(OR(N133="",O133=0),0,N133*O133)</f>
        <v>0</v>
      </c>
      <c r="U133" s="63">
        <f>IF(COUNTIF($S$18:$S$498,L133)=0,"",SUMIF($S$18:$S$498,L133,$T$18:$T$498))</f>
        <v>0</v>
      </c>
      <c r="V133" s="63" t="str">
        <f>IF(H133="","",IFERROR(H133+U133,H133))</f>
        <v/>
      </c>
      <c r="W133" s="63" t="str">
        <f>IF(OR(V133="",C133=""),"",V133/C133)</f>
        <v/>
      </c>
      <c r="X133" s="11" t="str">
        <f>IF(A133="","",IF(AND(U133&lt;&gt;"",U133&lt;&gt;0,M133=0),"Replacement lot receiving wash basis",IF(J133="","",IF(J133&gt;=0,"",IF(O133=0,"No replacement buy found",IF(P133&gt;1,"Manual selection needed","Auto matched"))))))</f>
        <v/>
      </c>
      <c r="Z133" t="str">
        <f>IF(K133="Yes",COUNTIF($K$18:K133,"Yes"),"")</f>
        <v/>
      </c>
    </row>
    <row r="134" spans="1:26" ht="34.15" customHeight="1" x14ac:dyDescent="0.2">
      <c r="A134" s="9"/>
      <c r="B134" s="69"/>
      <c r="C134" s="30"/>
      <c r="D134" s="70"/>
      <c r="E134" s="69"/>
      <c r="F134" s="70"/>
      <c r="G134" s="30"/>
      <c r="H134" s="63" t="str">
        <f>IF(OR(C134="",D134=""),"",C134*D134)</f>
        <v/>
      </c>
      <c r="I134" s="63" t="str">
        <f>IF(OR(E134="",F134="",M134&lt;=0),"",M134*F134)</f>
        <v/>
      </c>
      <c r="J134" s="63" t="str">
        <f>IF(I134="","",I134-(M134*D134))</f>
        <v/>
      </c>
      <c r="K134" s="28" t="str">
        <f>IF(A134="","",IF(T134&gt;0,"Yes","No"))</f>
        <v/>
      </c>
      <c r="L134" s="28" t="str">
        <f>IF(A134="","",A134&amp;"-"&amp;TEXT(B134,"yyyymmdd")&amp;"-R"&amp;ROW())</f>
        <v/>
      </c>
      <c r="M134" s="28" t="str">
        <f>IF(OR(C134="",G134=""),"",C134-G134)</f>
        <v/>
      </c>
      <c r="N134" s="63" t="str">
        <f>IF(OR(M134&lt;=0,J134&gt;=0),"",ABS(J134)/M134)</f>
        <v/>
      </c>
      <c r="O134" s="63" t="str">
        <f>IF(OR(A134="",M134&lt;=0,J134&gt;=0),"",MIN(M134,SUMPRODUCT(($A$18:$A$379=A134)*(IFERROR($B$18:$B$379&gt;=E134-30,0))*(IFERROR($B$18:$B$379&lt;=E134+30,0))*($G$18:$G$379&gt;0)*($L$18:$L$379&lt;&gt;L134)*($G$18:$G$379))+SUMPRODUCT(($A$381:$A$498=A134)*(IFERROR($B$381:$B$498&gt;=E134-30,0))*(IFERROR($B$381:$B$498&lt;=E134+30,0))*($G$381:$G$498&gt;0)*($L$381:$L$498&lt;&gt;L134)*($G$381:$G$498))))</f>
        <v/>
      </c>
      <c r="P134" s="28" t="str">
        <f>IF(OR(A134="",M134&lt;=0,J134&gt;=0),"",SUMPRODUCT(($A$18:$A$379=A134)*(IFERROR($B$18:$B$379&gt;=E134-30,0))*(IFERROR($B$18:$B$379&lt;=E134+30,0))*($G$18:$G$379&gt;0)*($L$18:$L$379&lt;&gt;L134))+SUMPRODUCT(($A$381:$A$498=A134)*(IFERROR($B$381:$B$498&gt;=E134-30,0))*(IFERROR($B$381:$B$498&lt;=E134+30,0))*($G$381:$G$498&gt;0)*($L$381:$L$498&lt;&gt;L134)))</f>
        <v/>
      </c>
      <c r="Q134" s="31" t="str">
        <f>IF(P134=1,IFERROR(INDEX($L$18:$L$379,MATCH(1,INDEX(($A$18:$A$379=A134)*(IFERROR($B$18:$B$379&gt;=E134-30,0))*(IFERROR($B$18:$B$379&lt;=E134+30,0))*($G$18:$G$379&gt;0)*($L$18:$L$379&lt;&gt;L134),0),0)),IFERROR(INDEX($L$381:$L$498,MATCH(1,INDEX(($A$381:$A$498=A134)*(IFERROR($B$381:$B$498&gt;=E134-30,0))*(IFERROR($B$381:$B$498&lt;=E134+30,0))*($G$381:$G$498&gt;0)*($L$381:$L$498&lt;&gt;L134),0),0)),"")),"")</f>
        <v/>
      </c>
      <c r="R134" s="32"/>
      <c r="S134" s="31" t="str">
        <f>IF(R134&lt;&gt;"",R134,Q134)</f>
        <v/>
      </c>
      <c r="T134" s="63">
        <f>IF(OR(N134="",O134=0),0,N134*O134)</f>
        <v>0</v>
      </c>
      <c r="U134" s="63">
        <f>IF(COUNTIF($S$18:$S$498,L134)=0,"",SUMIF($S$18:$S$498,L134,$T$18:$T$498))</f>
        <v>0</v>
      </c>
      <c r="V134" s="63" t="str">
        <f>IF(H134="","",IFERROR(H134+U134,H134))</f>
        <v/>
      </c>
      <c r="W134" s="63" t="str">
        <f>IF(OR(V134="",C134=""),"",V134/C134)</f>
        <v/>
      </c>
      <c r="X134" s="11" t="str">
        <f>IF(A134="","",IF(AND(U134&lt;&gt;"",U134&lt;&gt;0,M134=0),"Replacement lot receiving wash basis",IF(J134="","",IF(J134&gt;=0,"",IF(O134=0,"No replacement buy found",IF(P134&gt;1,"Manual selection needed","Auto matched"))))))</f>
        <v/>
      </c>
      <c r="Z134" t="str">
        <f>IF(K134="Yes",COUNTIF($K$18:K134,"Yes"),"")</f>
        <v/>
      </c>
    </row>
    <row r="135" spans="1:26" ht="34.15" customHeight="1" x14ac:dyDescent="0.2">
      <c r="A135" s="9"/>
      <c r="B135" s="69"/>
      <c r="C135" s="30"/>
      <c r="D135" s="70"/>
      <c r="E135" s="69"/>
      <c r="F135" s="70"/>
      <c r="G135" s="30"/>
      <c r="H135" s="63" t="str">
        <f>IF(OR(C135="",D135=""),"",C135*D135)</f>
        <v/>
      </c>
      <c r="I135" s="63" t="str">
        <f>IF(OR(E135="",F135="",M135&lt;=0),"",M135*F135)</f>
        <v/>
      </c>
      <c r="J135" s="63" t="str">
        <f>IF(I135="","",I135-(M135*D135))</f>
        <v/>
      </c>
      <c r="K135" s="28" t="str">
        <f>IF(A135="","",IF(T135&gt;0,"Yes","No"))</f>
        <v/>
      </c>
      <c r="L135" s="28" t="str">
        <f>IF(A135="","",A135&amp;"-"&amp;TEXT(B135,"yyyymmdd")&amp;"-R"&amp;ROW())</f>
        <v/>
      </c>
      <c r="M135" s="28" t="str">
        <f>IF(OR(C135="",G135=""),"",C135-G135)</f>
        <v/>
      </c>
      <c r="N135" s="63" t="str">
        <f>IF(OR(M135&lt;=0,J135&gt;=0),"",ABS(J135)/M135)</f>
        <v/>
      </c>
      <c r="O135" s="63" t="str">
        <f>IF(OR(A135="",M135&lt;=0,J135&gt;=0),"",MIN(M135,SUMPRODUCT(($A$18:$A$379=A135)*(IFERROR($B$18:$B$379&gt;=E135-30,0))*(IFERROR($B$18:$B$379&lt;=E135+30,0))*($G$18:$G$379&gt;0)*($L$18:$L$379&lt;&gt;L135)*($G$18:$G$379))+SUMPRODUCT(($A$381:$A$498=A135)*(IFERROR($B$381:$B$498&gt;=E135-30,0))*(IFERROR($B$381:$B$498&lt;=E135+30,0))*($G$381:$G$498&gt;0)*($L$381:$L$498&lt;&gt;L135)*($G$381:$G$498))))</f>
        <v/>
      </c>
      <c r="P135" s="28" t="str">
        <f>IF(OR(A135="",M135&lt;=0,J135&gt;=0),"",SUMPRODUCT(($A$18:$A$379=A135)*(IFERROR($B$18:$B$379&gt;=E135-30,0))*(IFERROR($B$18:$B$379&lt;=E135+30,0))*($G$18:$G$379&gt;0)*($L$18:$L$379&lt;&gt;L135))+SUMPRODUCT(($A$381:$A$498=A135)*(IFERROR($B$381:$B$498&gt;=E135-30,0))*(IFERROR($B$381:$B$498&lt;=E135+30,0))*($G$381:$G$498&gt;0)*($L$381:$L$498&lt;&gt;L135)))</f>
        <v/>
      </c>
      <c r="Q135" s="31" t="str">
        <f>IF(P135=1,IFERROR(INDEX($L$18:$L$379,MATCH(1,INDEX(($A$18:$A$379=A135)*(IFERROR($B$18:$B$379&gt;=E135-30,0))*(IFERROR($B$18:$B$379&lt;=E135+30,0))*($G$18:$G$379&gt;0)*($L$18:$L$379&lt;&gt;L135),0),0)),IFERROR(INDEX($L$381:$L$498,MATCH(1,INDEX(($A$381:$A$498=A135)*(IFERROR($B$381:$B$498&gt;=E135-30,0))*(IFERROR($B$381:$B$498&lt;=E135+30,0))*($G$381:$G$498&gt;0)*($L$381:$L$498&lt;&gt;L135),0),0)),"")),"")</f>
        <v/>
      </c>
      <c r="R135" s="32"/>
      <c r="S135" s="31" t="str">
        <f>IF(R135&lt;&gt;"",R135,Q135)</f>
        <v/>
      </c>
      <c r="T135" s="63">
        <f>IF(OR(N135="",O135=0),0,N135*O135)</f>
        <v>0</v>
      </c>
      <c r="U135" s="63">
        <f>IF(COUNTIF($S$18:$S$498,L135)=0,"",SUMIF($S$18:$S$498,L135,$T$18:$T$498))</f>
        <v>0</v>
      </c>
      <c r="V135" s="63" t="str">
        <f>IF(H135="","",IFERROR(H135+U135,H135))</f>
        <v/>
      </c>
      <c r="W135" s="63" t="str">
        <f>IF(OR(V135="",C135=""),"",V135/C135)</f>
        <v/>
      </c>
      <c r="X135" s="11" t="str">
        <f>IF(A135="","",IF(AND(U135&lt;&gt;"",U135&lt;&gt;0,M135=0),"Replacement lot receiving wash basis",IF(J135="","",IF(J135&gt;=0,"",IF(O135=0,"No replacement buy found",IF(P135&gt;1,"Manual selection needed","Auto matched"))))))</f>
        <v/>
      </c>
      <c r="Z135" t="str">
        <f>IF(K135="Yes",COUNTIF($K$18:K135,"Yes"),"")</f>
        <v/>
      </c>
    </row>
    <row r="136" spans="1:26" ht="34.15" customHeight="1" x14ac:dyDescent="0.2">
      <c r="A136" s="9"/>
      <c r="B136" s="69"/>
      <c r="C136" s="30"/>
      <c r="D136" s="70"/>
      <c r="E136" s="69"/>
      <c r="F136" s="70"/>
      <c r="G136" s="30"/>
      <c r="H136" s="63" t="str">
        <f>IF(OR(C136="",D136=""),"",C136*D136)</f>
        <v/>
      </c>
      <c r="I136" s="63" t="str">
        <f>IF(OR(E136="",F136="",M136&lt;=0),"",M136*F136)</f>
        <v/>
      </c>
      <c r="J136" s="63" t="str">
        <f>IF(I136="","",I136-(M136*D136))</f>
        <v/>
      </c>
      <c r="K136" s="28" t="str">
        <f>IF(A136="","",IF(T136&gt;0,"Yes","No"))</f>
        <v/>
      </c>
      <c r="L136" s="28" t="str">
        <f>IF(A136="","",A136&amp;"-"&amp;TEXT(B136,"yyyymmdd")&amp;"-R"&amp;ROW())</f>
        <v/>
      </c>
      <c r="M136" s="28" t="str">
        <f>IF(OR(C136="",G136=""),"",C136-G136)</f>
        <v/>
      </c>
      <c r="N136" s="63" t="str">
        <f>IF(OR(M136&lt;=0,J136&gt;=0),"",ABS(J136)/M136)</f>
        <v/>
      </c>
      <c r="O136" s="63" t="str">
        <f>IF(OR(A136="",M136&lt;=0,J136&gt;=0),"",MIN(M136,SUMPRODUCT(($A$18:$A$379=A136)*(IFERROR($B$18:$B$379&gt;=E136-30,0))*(IFERROR($B$18:$B$379&lt;=E136+30,0))*($G$18:$G$379&gt;0)*($L$18:$L$379&lt;&gt;L136)*($G$18:$G$379))+SUMPRODUCT(($A$381:$A$498=A136)*(IFERROR($B$381:$B$498&gt;=E136-30,0))*(IFERROR($B$381:$B$498&lt;=E136+30,0))*($G$381:$G$498&gt;0)*($L$381:$L$498&lt;&gt;L136)*($G$381:$G$498))))</f>
        <v/>
      </c>
      <c r="P136" s="28" t="str">
        <f>IF(OR(A136="",M136&lt;=0,J136&gt;=0),"",SUMPRODUCT(($A$18:$A$379=A136)*(IFERROR($B$18:$B$379&gt;=E136-30,0))*(IFERROR($B$18:$B$379&lt;=E136+30,0))*($G$18:$G$379&gt;0)*($L$18:$L$379&lt;&gt;L136))+SUMPRODUCT(($A$381:$A$498=A136)*(IFERROR($B$381:$B$498&gt;=E136-30,0))*(IFERROR($B$381:$B$498&lt;=E136+30,0))*($G$381:$G$498&gt;0)*($L$381:$L$498&lt;&gt;L136)))</f>
        <v/>
      </c>
      <c r="Q136" s="31" t="str">
        <f>IF(P136=1,IFERROR(INDEX($L$18:$L$379,MATCH(1,INDEX(($A$18:$A$379=A136)*(IFERROR($B$18:$B$379&gt;=E136-30,0))*(IFERROR($B$18:$B$379&lt;=E136+30,0))*($G$18:$G$379&gt;0)*($L$18:$L$379&lt;&gt;L136),0),0)),IFERROR(INDEX($L$381:$L$498,MATCH(1,INDEX(($A$381:$A$498=A136)*(IFERROR($B$381:$B$498&gt;=E136-30,0))*(IFERROR($B$381:$B$498&lt;=E136+30,0))*($G$381:$G$498&gt;0)*($L$381:$L$498&lt;&gt;L136),0),0)),"")),"")</f>
        <v/>
      </c>
      <c r="R136" s="32"/>
      <c r="S136" s="31" t="str">
        <f>IF(R136&lt;&gt;"",R136,Q136)</f>
        <v/>
      </c>
      <c r="T136" s="63">
        <f>IF(OR(N136="",O136=0),0,N136*O136)</f>
        <v>0</v>
      </c>
      <c r="U136" s="63">
        <f>IF(COUNTIF($S$18:$S$498,L136)=0,"",SUMIF($S$18:$S$498,L136,$T$18:$T$498))</f>
        <v>0</v>
      </c>
      <c r="V136" s="63" t="str">
        <f>IF(H136="","",IFERROR(H136+U136,H136))</f>
        <v/>
      </c>
      <c r="W136" s="63" t="str">
        <f>IF(OR(V136="",C136=""),"",V136/C136)</f>
        <v/>
      </c>
      <c r="X136" s="11" t="str">
        <f>IF(A136="","",IF(AND(U136&lt;&gt;"",U136&lt;&gt;0,M136=0),"Replacement lot receiving wash basis",IF(J136="","",IF(J136&gt;=0,"",IF(O136=0,"No replacement buy found",IF(P136&gt;1,"Manual selection needed","Auto matched"))))))</f>
        <v/>
      </c>
      <c r="Z136" t="str">
        <f>IF(K136="Yes",COUNTIF($K$18:K136,"Yes"),"")</f>
        <v/>
      </c>
    </row>
    <row r="137" spans="1:26" ht="34.15" customHeight="1" x14ac:dyDescent="0.2">
      <c r="A137" s="9"/>
      <c r="B137" s="69"/>
      <c r="C137" s="30"/>
      <c r="D137" s="70"/>
      <c r="E137" s="69"/>
      <c r="F137" s="70"/>
      <c r="G137" s="30"/>
      <c r="H137" s="63" t="str">
        <f>IF(OR(C137="",D137=""),"",C137*D137)</f>
        <v/>
      </c>
      <c r="I137" s="63" t="str">
        <f>IF(OR(E137="",F137="",M137&lt;=0),"",M137*F137)</f>
        <v/>
      </c>
      <c r="J137" s="63" t="str">
        <f>IF(I137="","",I137-(M137*D137))</f>
        <v/>
      </c>
      <c r="K137" s="28" t="str">
        <f>IF(A137="","",IF(T137&gt;0,"Yes","No"))</f>
        <v/>
      </c>
      <c r="L137" s="28" t="str">
        <f>IF(A137="","",A137&amp;"-"&amp;TEXT(B137,"yyyymmdd")&amp;"-R"&amp;ROW())</f>
        <v/>
      </c>
      <c r="M137" s="28" t="str">
        <f>IF(OR(C137="",G137=""),"",C137-G137)</f>
        <v/>
      </c>
      <c r="N137" s="63" t="str">
        <f>IF(OR(M137&lt;=0,J137&gt;=0),"",ABS(J137)/M137)</f>
        <v/>
      </c>
      <c r="O137" s="63" t="str">
        <f>IF(OR(A137="",M137&lt;=0,J137&gt;=0),"",MIN(M137,SUMPRODUCT(($A$18:$A$379=A137)*(IFERROR($B$18:$B$379&gt;=E137-30,0))*(IFERROR($B$18:$B$379&lt;=E137+30,0))*($G$18:$G$379&gt;0)*($L$18:$L$379&lt;&gt;L137)*($G$18:$G$379))+SUMPRODUCT(($A$381:$A$498=A137)*(IFERROR($B$381:$B$498&gt;=E137-30,0))*(IFERROR($B$381:$B$498&lt;=E137+30,0))*($G$381:$G$498&gt;0)*($L$381:$L$498&lt;&gt;L137)*($G$381:$G$498))))</f>
        <v/>
      </c>
      <c r="P137" s="28" t="str">
        <f>IF(OR(A137="",M137&lt;=0,J137&gt;=0),"",SUMPRODUCT(($A$18:$A$379=A137)*(IFERROR($B$18:$B$379&gt;=E137-30,0))*(IFERROR($B$18:$B$379&lt;=E137+30,0))*($G$18:$G$379&gt;0)*($L$18:$L$379&lt;&gt;L137))+SUMPRODUCT(($A$381:$A$498=A137)*(IFERROR($B$381:$B$498&gt;=E137-30,0))*(IFERROR($B$381:$B$498&lt;=E137+30,0))*($G$381:$G$498&gt;0)*($L$381:$L$498&lt;&gt;L137)))</f>
        <v/>
      </c>
      <c r="Q137" s="31" t="str">
        <f>IF(P137=1,IFERROR(INDEX($L$18:$L$379,MATCH(1,INDEX(($A$18:$A$379=A137)*(IFERROR($B$18:$B$379&gt;=E137-30,0))*(IFERROR($B$18:$B$379&lt;=E137+30,0))*($G$18:$G$379&gt;0)*($L$18:$L$379&lt;&gt;L137),0),0)),IFERROR(INDEX($L$381:$L$498,MATCH(1,INDEX(($A$381:$A$498=A137)*(IFERROR($B$381:$B$498&gt;=E137-30,0))*(IFERROR($B$381:$B$498&lt;=E137+30,0))*($G$381:$G$498&gt;0)*($L$381:$L$498&lt;&gt;L137),0),0)),"")),"")</f>
        <v/>
      </c>
      <c r="R137" s="32"/>
      <c r="S137" s="31" t="str">
        <f>IF(R137&lt;&gt;"",R137,Q137)</f>
        <v/>
      </c>
      <c r="T137" s="63">
        <f>IF(OR(N137="",O137=0),0,N137*O137)</f>
        <v>0</v>
      </c>
      <c r="U137" s="63">
        <f>IF(COUNTIF($S$18:$S$498,L137)=0,"",SUMIF($S$18:$S$498,L137,$T$18:$T$498))</f>
        <v>0</v>
      </c>
      <c r="V137" s="63" t="str">
        <f>IF(H137="","",IFERROR(H137+U137,H137))</f>
        <v/>
      </c>
      <c r="W137" s="63" t="str">
        <f>IF(OR(V137="",C137=""),"",V137/C137)</f>
        <v/>
      </c>
      <c r="X137" s="11" t="str">
        <f>IF(A137="","",IF(AND(U137&lt;&gt;"",U137&lt;&gt;0,M137=0),"Replacement lot receiving wash basis",IF(J137="","",IF(J137&gt;=0,"",IF(O137=0,"No replacement buy found",IF(P137&gt;1,"Manual selection needed","Auto matched"))))))</f>
        <v/>
      </c>
      <c r="Z137" t="str">
        <f>IF(K137="Yes",COUNTIF($K$18:K137,"Yes"),"")</f>
        <v/>
      </c>
    </row>
    <row r="138" spans="1:26" ht="34.15" customHeight="1" x14ac:dyDescent="0.2">
      <c r="A138" s="9"/>
      <c r="B138" s="69"/>
      <c r="C138" s="30"/>
      <c r="D138" s="70"/>
      <c r="E138" s="69"/>
      <c r="F138" s="70"/>
      <c r="G138" s="30"/>
      <c r="H138" s="63" t="str">
        <f>IF(OR(C138="",D138=""),"",C138*D138)</f>
        <v/>
      </c>
      <c r="I138" s="63" t="str">
        <f>IF(OR(E138="",F138="",M138&lt;=0),"",M138*F138)</f>
        <v/>
      </c>
      <c r="J138" s="63" t="str">
        <f>IF(I138="","",I138-(M138*D138))</f>
        <v/>
      </c>
      <c r="K138" s="28" t="str">
        <f>IF(A138="","",IF(T138&gt;0,"Yes","No"))</f>
        <v/>
      </c>
      <c r="L138" s="28" t="str">
        <f>IF(A138="","",A138&amp;"-"&amp;TEXT(B138,"yyyymmdd")&amp;"-R"&amp;ROW())</f>
        <v/>
      </c>
      <c r="M138" s="28" t="str">
        <f>IF(OR(C138="",G138=""),"",C138-G138)</f>
        <v/>
      </c>
      <c r="N138" s="63" t="str">
        <f>IF(OR(M138&lt;=0,J138&gt;=0),"",ABS(J138)/M138)</f>
        <v/>
      </c>
      <c r="O138" s="63" t="str">
        <f>IF(OR(A138="",M138&lt;=0,J138&gt;=0),"",MIN(M138,SUMPRODUCT(($A$18:$A$379=A138)*(IFERROR($B$18:$B$379&gt;=E138-30,0))*(IFERROR($B$18:$B$379&lt;=E138+30,0))*($G$18:$G$379&gt;0)*($L$18:$L$379&lt;&gt;L138)*($G$18:$G$379))+SUMPRODUCT(($A$381:$A$498=A138)*(IFERROR($B$381:$B$498&gt;=E138-30,0))*(IFERROR($B$381:$B$498&lt;=E138+30,0))*($G$381:$G$498&gt;0)*($L$381:$L$498&lt;&gt;L138)*($G$381:$G$498))))</f>
        <v/>
      </c>
      <c r="P138" s="28" t="str">
        <f>IF(OR(A138="",M138&lt;=0,J138&gt;=0),"",SUMPRODUCT(($A$18:$A$379=A138)*(IFERROR($B$18:$B$379&gt;=E138-30,0))*(IFERROR($B$18:$B$379&lt;=E138+30,0))*($G$18:$G$379&gt;0)*($L$18:$L$379&lt;&gt;L138))+SUMPRODUCT(($A$381:$A$498=A138)*(IFERROR($B$381:$B$498&gt;=E138-30,0))*(IFERROR($B$381:$B$498&lt;=E138+30,0))*($G$381:$G$498&gt;0)*($L$381:$L$498&lt;&gt;L138)))</f>
        <v/>
      </c>
      <c r="Q138" s="31" t="str">
        <f>IF(P138=1,IFERROR(INDEX($L$18:$L$379,MATCH(1,INDEX(($A$18:$A$379=A138)*(IFERROR($B$18:$B$379&gt;=E138-30,0))*(IFERROR($B$18:$B$379&lt;=E138+30,0))*($G$18:$G$379&gt;0)*($L$18:$L$379&lt;&gt;L138),0),0)),IFERROR(INDEX($L$381:$L$498,MATCH(1,INDEX(($A$381:$A$498=A138)*(IFERROR($B$381:$B$498&gt;=E138-30,0))*(IFERROR($B$381:$B$498&lt;=E138+30,0))*($G$381:$G$498&gt;0)*($L$381:$L$498&lt;&gt;L138),0),0)),"")),"")</f>
        <v/>
      </c>
      <c r="R138" s="32"/>
      <c r="S138" s="31" t="str">
        <f>IF(R138&lt;&gt;"",R138,Q138)</f>
        <v/>
      </c>
      <c r="T138" s="63">
        <f>IF(OR(N138="",O138=0),0,N138*O138)</f>
        <v>0</v>
      </c>
      <c r="U138" s="63">
        <f>IF(COUNTIF($S$18:$S$498,L138)=0,"",SUMIF($S$18:$S$498,L138,$T$18:$T$498))</f>
        <v>0</v>
      </c>
      <c r="V138" s="63" t="str">
        <f>IF(H138="","",IFERROR(H138+U138,H138))</f>
        <v/>
      </c>
      <c r="W138" s="63" t="str">
        <f>IF(OR(V138="",C138=""),"",V138/C138)</f>
        <v/>
      </c>
      <c r="X138" s="11" t="str">
        <f>IF(A138="","",IF(AND(U138&lt;&gt;"",U138&lt;&gt;0,M138=0),"Replacement lot receiving wash basis",IF(J138="","",IF(J138&gt;=0,"",IF(O138=0,"No replacement buy found",IF(P138&gt;1,"Manual selection needed","Auto matched"))))))</f>
        <v/>
      </c>
      <c r="Z138" t="str">
        <f>IF(K138="Yes",COUNTIF($K$18:K138,"Yes"),"")</f>
        <v/>
      </c>
    </row>
    <row r="139" spans="1:26" ht="34.15" customHeight="1" x14ac:dyDescent="0.2">
      <c r="A139" s="9"/>
      <c r="B139" s="69"/>
      <c r="C139" s="30"/>
      <c r="D139" s="70"/>
      <c r="E139" s="69"/>
      <c r="F139" s="70"/>
      <c r="G139" s="30"/>
      <c r="H139" s="63" t="str">
        <f>IF(OR(C139="",D139=""),"",C139*D139)</f>
        <v/>
      </c>
      <c r="I139" s="63" t="str">
        <f>IF(OR(E139="",F139="",M139&lt;=0),"",M139*F139)</f>
        <v/>
      </c>
      <c r="J139" s="63" t="str">
        <f>IF(I139="","",I139-(M139*D139))</f>
        <v/>
      </c>
      <c r="K139" s="28" t="str">
        <f>IF(A139="","",IF(T139&gt;0,"Yes","No"))</f>
        <v/>
      </c>
      <c r="L139" s="28" t="str">
        <f>IF(A139="","",A139&amp;"-"&amp;TEXT(B139,"yyyymmdd")&amp;"-R"&amp;ROW())</f>
        <v/>
      </c>
      <c r="M139" s="28" t="str">
        <f>IF(OR(C139="",G139=""),"",C139-G139)</f>
        <v/>
      </c>
      <c r="N139" s="63" t="str">
        <f>IF(OR(M139&lt;=0,J139&gt;=0),"",ABS(J139)/M139)</f>
        <v/>
      </c>
      <c r="O139" s="63" t="str">
        <f>IF(OR(A139="",M139&lt;=0,J139&gt;=0),"",MIN(M139,SUMPRODUCT(($A$18:$A$379=A139)*(IFERROR($B$18:$B$379&gt;=E139-30,0))*(IFERROR($B$18:$B$379&lt;=E139+30,0))*($G$18:$G$379&gt;0)*($L$18:$L$379&lt;&gt;L139)*($G$18:$G$379))+SUMPRODUCT(($A$381:$A$498=A139)*(IFERROR($B$381:$B$498&gt;=E139-30,0))*(IFERROR($B$381:$B$498&lt;=E139+30,0))*($G$381:$G$498&gt;0)*($L$381:$L$498&lt;&gt;L139)*($G$381:$G$498))))</f>
        <v/>
      </c>
      <c r="P139" s="28" t="str">
        <f>IF(OR(A139="",M139&lt;=0,J139&gt;=0),"",SUMPRODUCT(($A$18:$A$379=A139)*(IFERROR($B$18:$B$379&gt;=E139-30,0))*(IFERROR($B$18:$B$379&lt;=E139+30,0))*($G$18:$G$379&gt;0)*($L$18:$L$379&lt;&gt;L139))+SUMPRODUCT(($A$381:$A$498=A139)*(IFERROR($B$381:$B$498&gt;=E139-30,0))*(IFERROR($B$381:$B$498&lt;=E139+30,0))*($G$381:$G$498&gt;0)*($L$381:$L$498&lt;&gt;L139)))</f>
        <v/>
      </c>
      <c r="Q139" s="31" t="str">
        <f>IF(P139=1,IFERROR(INDEX($L$18:$L$379,MATCH(1,INDEX(($A$18:$A$379=A139)*(IFERROR($B$18:$B$379&gt;=E139-30,0))*(IFERROR($B$18:$B$379&lt;=E139+30,0))*($G$18:$G$379&gt;0)*($L$18:$L$379&lt;&gt;L139),0),0)),IFERROR(INDEX($L$381:$L$498,MATCH(1,INDEX(($A$381:$A$498=A139)*(IFERROR($B$381:$B$498&gt;=E139-30,0))*(IFERROR($B$381:$B$498&lt;=E139+30,0))*($G$381:$G$498&gt;0)*($L$381:$L$498&lt;&gt;L139),0),0)),"")),"")</f>
        <v/>
      </c>
      <c r="R139" s="32"/>
      <c r="S139" s="31" t="str">
        <f>IF(R139&lt;&gt;"",R139,Q139)</f>
        <v/>
      </c>
      <c r="T139" s="63">
        <f>IF(OR(N139="",O139=0),0,N139*O139)</f>
        <v>0</v>
      </c>
      <c r="U139" s="63">
        <f>IF(COUNTIF($S$18:$S$498,L139)=0,"",SUMIF($S$18:$S$498,L139,$T$18:$T$498))</f>
        <v>0</v>
      </c>
      <c r="V139" s="63" t="str">
        <f>IF(H139="","",IFERROR(H139+U139,H139))</f>
        <v/>
      </c>
      <c r="W139" s="63" t="str">
        <f>IF(OR(V139="",C139=""),"",V139/C139)</f>
        <v/>
      </c>
      <c r="X139" s="11" t="str">
        <f>IF(A139="","",IF(AND(U139&lt;&gt;"",U139&lt;&gt;0,M139=0),"Replacement lot receiving wash basis",IF(J139="","",IF(J139&gt;=0,"",IF(O139=0,"No replacement buy found",IF(P139&gt;1,"Manual selection needed","Auto matched"))))))</f>
        <v/>
      </c>
      <c r="Z139" t="str">
        <f>IF(K139="Yes",COUNTIF($K$18:K139,"Yes"),"")</f>
        <v/>
      </c>
    </row>
    <row r="140" spans="1:26" ht="34.15" customHeight="1" x14ac:dyDescent="0.2">
      <c r="A140" s="9"/>
      <c r="B140" s="69"/>
      <c r="C140" s="30"/>
      <c r="D140" s="70"/>
      <c r="E140" s="69"/>
      <c r="F140" s="70"/>
      <c r="G140" s="30"/>
      <c r="H140" s="63" t="str">
        <f>IF(OR(C140="",D140=""),"",C140*D140)</f>
        <v/>
      </c>
      <c r="I140" s="63" t="str">
        <f>IF(OR(E140="",F140="",M140&lt;=0),"",M140*F140)</f>
        <v/>
      </c>
      <c r="J140" s="63" t="str">
        <f>IF(I140="","",I140-(M140*D140))</f>
        <v/>
      </c>
      <c r="K140" s="28" t="str">
        <f>IF(A140="","",IF(T140&gt;0,"Yes","No"))</f>
        <v/>
      </c>
      <c r="L140" s="28" t="str">
        <f>IF(A140="","",A140&amp;"-"&amp;TEXT(B140,"yyyymmdd")&amp;"-R"&amp;ROW())</f>
        <v/>
      </c>
      <c r="M140" s="28" t="str">
        <f>IF(OR(C140="",G140=""),"",C140-G140)</f>
        <v/>
      </c>
      <c r="N140" s="63" t="str">
        <f>IF(OR(M140&lt;=0,J140&gt;=0),"",ABS(J140)/M140)</f>
        <v/>
      </c>
      <c r="O140" s="63" t="str">
        <f>IF(OR(A140="",M140&lt;=0,J140&gt;=0),"",MIN(M140,SUMPRODUCT(($A$18:$A$379=A140)*(IFERROR($B$18:$B$379&gt;=E140-30,0))*(IFERROR($B$18:$B$379&lt;=E140+30,0))*($G$18:$G$379&gt;0)*($L$18:$L$379&lt;&gt;L140)*($G$18:$G$379))+SUMPRODUCT(($A$381:$A$498=A140)*(IFERROR($B$381:$B$498&gt;=E140-30,0))*(IFERROR($B$381:$B$498&lt;=E140+30,0))*($G$381:$G$498&gt;0)*($L$381:$L$498&lt;&gt;L140)*($G$381:$G$498))))</f>
        <v/>
      </c>
      <c r="P140" s="28" t="str">
        <f>IF(OR(A140="",M140&lt;=0,J140&gt;=0),"",SUMPRODUCT(($A$18:$A$379=A140)*(IFERROR($B$18:$B$379&gt;=E140-30,0))*(IFERROR($B$18:$B$379&lt;=E140+30,0))*($G$18:$G$379&gt;0)*($L$18:$L$379&lt;&gt;L140))+SUMPRODUCT(($A$381:$A$498=A140)*(IFERROR($B$381:$B$498&gt;=E140-30,0))*(IFERROR($B$381:$B$498&lt;=E140+30,0))*($G$381:$G$498&gt;0)*($L$381:$L$498&lt;&gt;L140)))</f>
        <v/>
      </c>
      <c r="Q140" s="31" t="str">
        <f>IF(P140=1,IFERROR(INDEX($L$18:$L$379,MATCH(1,INDEX(($A$18:$A$379=A140)*(IFERROR($B$18:$B$379&gt;=E140-30,0))*(IFERROR($B$18:$B$379&lt;=E140+30,0))*($G$18:$G$379&gt;0)*($L$18:$L$379&lt;&gt;L140),0),0)),IFERROR(INDEX($L$381:$L$498,MATCH(1,INDEX(($A$381:$A$498=A140)*(IFERROR($B$381:$B$498&gt;=E140-30,0))*(IFERROR($B$381:$B$498&lt;=E140+30,0))*($G$381:$G$498&gt;0)*($L$381:$L$498&lt;&gt;L140),0),0)),"")),"")</f>
        <v/>
      </c>
      <c r="R140" s="32"/>
      <c r="S140" s="31" t="str">
        <f>IF(R140&lt;&gt;"",R140,Q140)</f>
        <v/>
      </c>
      <c r="T140" s="63">
        <f>IF(OR(N140="",O140=0),0,N140*O140)</f>
        <v>0</v>
      </c>
      <c r="U140" s="63">
        <f>IF(COUNTIF($S$18:$S$498,L140)=0,"",SUMIF($S$18:$S$498,L140,$T$18:$T$498))</f>
        <v>0</v>
      </c>
      <c r="V140" s="63" t="str">
        <f>IF(H140="","",IFERROR(H140+U140,H140))</f>
        <v/>
      </c>
      <c r="W140" s="63" t="str">
        <f>IF(OR(V140="",C140=""),"",V140/C140)</f>
        <v/>
      </c>
      <c r="X140" s="11" t="str">
        <f>IF(A140="","",IF(AND(U140&lt;&gt;"",U140&lt;&gt;0,M140=0),"Replacement lot receiving wash basis",IF(J140="","",IF(J140&gt;=0,"",IF(O140=0,"No replacement buy found",IF(P140&gt;1,"Manual selection needed","Auto matched"))))))</f>
        <v/>
      </c>
      <c r="Z140" t="str">
        <f>IF(K140="Yes",COUNTIF($K$18:K140,"Yes"),"")</f>
        <v/>
      </c>
    </row>
    <row r="141" spans="1:26" ht="34.15" customHeight="1" x14ac:dyDescent="0.2">
      <c r="A141" s="9"/>
      <c r="B141" s="69"/>
      <c r="C141" s="30"/>
      <c r="D141" s="70"/>
      <c r="E141" s="69"/>
      <c r="F141" s="70"/>
      <c r="G141" s="30"/>
      <c r="H141" s="63" t="str">
        <f>IF(OR(C141="",D141=""),"",C141*D141)</f>
        <v/>
      </c>
      <c r="I141" s="63" t="str">
        <f>IF(OR(E141="",F141="",M141&lt;=0),"",M141*F141)</f>
        <v/>
      </c>
      <c r="J141" s="63" t="str">
        <f>IF(I141="","",I141-(M141*D141))</f>
        <v/>
      </c>
      <c r="K141" s="28" t="str">
        <f>IF(A141="","",IF(T141&gt;0,"Yes","No"))</f>
        <v/>
      </c>
      <c r="L141" s="28" t="str">
        <f>IF(A141="","",A141&amp;"-"&amp;TEXT(B141,"yyyymmdd")&amp;"-R"&amp;ROW())</f>
        <v/>
      </c>
      <c r="M141" s="28" t="str">
        <f>IF(OR(C141="",G141=""),"",C141-G141)</f>
        <v/>
      </c>
      <c r="N141" s="63" t="str">
        <f>IF(OR(M141&lt;=0,J141&gt;=0),"",ABS(J141)/M141)</f>
        <v/>
      </c>
      <c r="O141" s="63" t="str">
        <f>IF(OR(A141="",M141&lt;=0,J141&gt;=0),"",MIN(M141,SUMPRODUCT(($A$18:$A$379=A141)*(IFERROR($B$18:$B$379&gt;=E141-30,0))*(IFERROR($B$18:$B$379&lt;=E141+30,0))*($G$18:$G$379&gt;0)*($L$18:$L$379&lt;&gt;L141)*($G$18:$G$379))+SUMPRODUCT(($A$381:$A$498=A141)*(IFERROR($B$381:$B$498&gt;=E141-30,0))*(IFERROR($B$381:$B$498&lt;=E141+30,0))*($G$381:$G$498&gt;0)*($L$381:$L$498&lt;&gt;L141)*($G$381:$G$498))))</f>
        <v/>
      </c>
      <c r="P141" s="28" t="str">
        <f>IF(OR(A141="",M141&lt;=0,J141&gt;=0),"",SUMPRODUCT(($A$18:$A$379=A141)*(IFERROR($B$18:$B$379&gt;=E141-30,0))*(IFERROR($B$18:$B$379&lt;=E141+30,0))*($G$18:$G$379&gt;0)*($L$18:$L$379&lt;&gt;L141))+SUMPRODUCT(($A$381:$A$498=A141)*(IFERROR($B$381:$B$498&gt;=E141-30,0))*(IFERROR($B$381:$B$498&lt;=E141+30,0))*($G$381:$G$498&gt;0)*($L$381:$L$498&lt;&gt;L141)))</f>
        <v/>
      </c>
      <c r="Q141" s="31" t="str">
        <f>IF(P141=1,IFERROR(INDEX($L$18:$L$379,MATCH(1,INDEX(($A$18:$A$379=A141)*(IFERROR($B$18:$B$379&gt;=E141-30,0))*(IFERROR($B$18:$B$379&lt;=E141+30,0))*($G$18:$G$379&gt;0)*($L$18:$L$379&lt;&gt;L141),0),0)),IFERROR(INDEX($L$381:$L$498,MATCH(1,INDEX(($A$381:$A$498=A141)*(IFERROR($B$381:$B$498&gt;=E141-30,0))*(IFERROR($B$381:$B$498&lt;=E141+30,0))*($G$381:$G$498&gt;0)*($L$381:$L$498&lt;&gt;L141),0),0)),"")),"")</f>
        <v/>
      </c>
      <c r="R141" s="32"/>
      <c r="S141" s="31" t="str">
        <f>IF(R141&lt;&gt;"",R141,Q141)</f>
        <v/>
      </c>
      <c r="T141" s="63">
        <f>IF(OR(N141="",O141=0),0,N141*O141)</f>
        <v>0</v>
      </c>
      <c r="U141" s="63">
        <f>IF(COUNTIF($S$18:$S$498,L141)=0,"",SUMIF($S$18:$S$498,L141,$T$18:$T$498))</f>
        <v>0</v>
      </c>
      <c r="V141" s="63" t="str">
        <f>IF(H141="","",IFERROR(H141+U141,H141))</f>
        <v/>
      </c>
      <c r="W141" s="63" t="str">
        <f>IF(OR(V141="",C141=""),"",V141/C141)</f>
        <v/>
      </c>
      <c r="X141" s="11" t="str">
        <f>IF(A141="","",IF(AND(U141&lt;&gt;"",U141&lt;&gt;0,M141=0),"Replacement lot receiving wash basis",IF(J141="","",IF(J141&gt;=0,"",IF(O141=0,"No replacement buy found",IF(P141&gt;1,"Manual selection needed","Auto matched"))))))</f>
        <v/>
      </c>
      <c r="Z141" t="str">
        <f>IF(K141="Yes",COUNTIF($K$18:K141,"Yes"),"")</f>
        <v/>
      </c>
    </row>
    <row r="142" spans="1:26" ht="34.15" customHeight="1" x14ac:dyDescent="0.2">
      <c r="A142" s="9"/>
      <c r="B142" s="69"/>
      <c r="C142" s="30"/>
      <c r="D142" s="70"/>
      <c r="E142" s="69"/>
      <c r="F142" s="70"/>
      <c r="G142" s="30"/>
      <c r="H142" s="63" t="str">
        <f>IF(OR(C142="",D142=""),"",C142*D142)</f>
        <v/>
      </c>
      <c r="I142" s="63" t="str">
        <f>IF(OR(E142="",F142="",M142&lt;=0),"",M142*F142)</f>
        <v/>
      </c>
      <c r="J142" s="63" t="str">
        <f>IF(I142="","",I142-(M142*D142))</f>
        <v/>
      </c>
      <c r="K142" s="28" t="str">
        <f>IF(A142="","",IF(T142&gt;0,"Yes","No"))</f>
        <v/>
      </c>
      <c r="L142" s="28" t="str">
        <f>IF(A142="","",A142&amp;"-"&amp;TEXT(B142,"yyyymmdd")&amp;"-R"&amp;ROW())</f>
        <v/>
      </c>
      <c r="M142" s="28" t="str">
        <f>IF(OR(C142="",G142=""),"",C142-G142)</f>
        <v/>
      </c>
      <c r="N142" s="63" t="str">
        <f>IF(OR(M142&lt;=0,J142&gt;=0),"",ABS(J142)/M142)</f>
        <v/>
      </c>
      <c r="O142" s="63" t="str">
        <f>IF(OR(A142="",M142&lt;=0,J142&gt;=0),"",MIN(M142,SUMPRODUCT(($A$18:$A$379=A142)*(IFERROR($B$18:$B$379&gt;=E142-30,0))*(IFERROR($B$18:$B$379&lt;=E142+30,0))*($G$18:$G$379&gt;0)*($L$18:$L$379&lt;&gt;L142)*($G$18:$G$379))+SUMPRODUCT(($A$381:$A$498=A142)*(IFERROR($B$381:$B$498&gt;=E142-30,0))*(IFERROR($B$381:$B$498&lt;=E142+30,0))*($G$381:$G$498&gt;0)*($L$381:$L$498&lt;&gt;L142)*($G$381:$G$498))))</f>
        <v/>
      </c>
      <c r="P142" s="28" t="str">
        <f>IF(OR(A142="",M142&lt;=0,J142&gt;=0),"",SUMPRODUCT(($A$18:$A$379=A142)*(IFERROR($B$18:$B$379&gt;=E142-30,0))*(IFERROR($B$18:$B$379&lt;=E142+30,0))*($G$18:$G$379&gt;0)*($L$18:$L$379&lt;&gt;L142))+SUMPRODUCT(($A$381:$A$498=A142)*(IFERROR($B$381:$B$498&gt;=E142-30,0))*(IFERROR($B$381:$B$498&lt;=E142+30,0))*($G$381:$G$498&gt;0)*($L$381:$L$498&lt;&gt;L142)))</f>
        <v/>
      </c>
      <c r="Q142" s="31" t="str">
        <f>IF(P142=1,IFERROR(INDEX($L$18:$L$379,MATCH(1,INDEX(($A$18:$A$379=A142)*(IFERROR($B$18:$B$379&gt;=E142-30,0))*(IFERROR($B$18:$B$379&lt;=E142+30,0))*($G$18:$G$379&gt;0)*($L$18:$L$379&lt;&gt;L142),0),0)),IFERROR(INDEX($L$381:$L$498,MATCH(1,INDEX(($A$381:$A$498=A142)*(IFERROR($B$381:$B$498&gt;=E142-30,0))*(IFERROR($B$381:$B$498&lt;=E142+30,0))*($G$381:$G$498&gt;0)*($L$381:$L$498&lt;&gt;L142),0),0)),"")),"")</f>
        <v/>
      </c>
      <c r="R142" s="32"/>
      <c r="S142" s="31" t="str">
        <f>IF(R142&lt;&gt;"",R142,Q142)</f>
        <v/>
      </c>
      <c r="T142" s="63">
        <f>IF(OR(N142="",O142=0),0,N142*O142)</f>
        <v>0</v>
      </c>
      <c r="U142" s="63">
        <f>IF(COUNTIF($S$18:$S$498,L142)=0,"",SUMIF($S$18:$S$498,L142,$T$18:$T$498))</f>
        <v>0</v>
      </c>
      <c r="V142" s="63" t="str">
        <f>IF(H142="","",IFERROR(H142+U142,H142))</f>
        <v/>
      </c>
      <c r="W142" s="63" t="str">
        <f>IF(OR(V142="",C142=""),"",V142/C142)</f>
        <v/>
      </c>
      <c r="X142" s="11" t="str">
        <f>IF(A142="","",IF(AND(U142&lt;&gt;"",U142&lt;&gt;0,M142=0),"Replacement lot receiving wash basis",IF(J142="","",IF(J142&gt;=0,"",IF(O142=0,"No replacement buy found",IF(P142&gt;1,"Manual selection needed","Auto matched"))))))</f>
        <v/>
      </c>
      <c r="Z142" t="str">
        <f>IF(K142="Yes",COUNTIF($K$18:K142,"Yes"),"")</f>
        <v/>
      </c>
    </row>
    <row r="143" spans="1:26" ht="34.15" customHeight="1" x14ac:dyDescent="0.2">
      <c r="A143" s="9"/>
      <c r="B143" s="69"/>
      <c r="C143" s="30"/>
      <c r="D143" s="70"/>
      <c r="E143" s="69"/>
      <c r="F143" s="70"/>
      <c r="G143" s="30"/>
      <c r="H143" s="63" t="str">
        <f>IF(OR(C143="",D143=""),"",C143*D143)</f>
        <v/>
      </c>
      <c r="I143" s="63" t="str">
        <f>IF(OR(E143="",F143="",M143&lt;=0),"",M143*F143)</f>
        <v/>
      </c>
      <c r="J143" s="63" t="str">
        <f>IF(I143="","",I143-(M143*D143))</f>
        <v/>
      </c>
      <c r="K143" s="28" t="str">
        <f>IF(A143="","",IF(T143&gt;0,"Yes","No"))</f>
        <v/>
      </c>
      <c r="L143" s="28" t="str">
        <f>IF(A143="","",A143&amp;"-"&amp;TEXT(B143,"yyyymmdd")&amp;"-R"&amp;ROW())</f>
        <v/>
      </c>
      <c r="M143" s="28" t="str">
        <f>IF(OR(C143="",G143=""),"",C143-G143)</f>
        <v/>
      </c>
      <c r="N143" s="63" t="str">
        <f>IF(OR(M143&lt;=0,J143&gt;=0),"",ABS(J143)/M143)</f>
        <v/>
      </c>
      <c r="O143" s="63" t="str">
        <f>IF(OR(A143="",M143&lt;=0,J143&gt;=0),"",MIN(M143,SUMPRODUCT(($A$18:$A$379=A143)*(IFERROR($B$18:$B$379&gt;=E143-30,0))*(IFERROR($B$18:$B$379&lt;=E143+30,0))*($G$18:$G$379&gt;0)*($L$18:$L$379&lt;&gt;L143)*($G$18:$G$379))+SUMPRODUCT(($A$381:$A$498=A143)*(IFERROR($B$381:$B$498&gt;=E143-30,0))*(IFERROR($B$381:$B$498&lt;=E143+30,0))*($G$381:$G$498&gt;0)*($L$381:$L$498&lt;&gt;L143)*($G$381:$G$498))))</f>
        <v/>
      </c>
      <c r="P143" s="28" t="str">
        <f>IF(OR(A143="",M143&lt;=0,J143&gt;=0),"",SUMPRODUCT(($A$18:$A$379=A143)*(IFERROR($B$18:$B$379&gt;=E143-30,0))*(IFERROR($B$18:$B$379&lt;=E143+30,0))*($G$18:$G$379&gt;0)*($L$18:$L$379&lt;&gt;L143))+SUMPRODUCT(($A$381:$A$498=A143)*(IFERROR($B$381:$B$498&gt;=E143-30,0))*(IFERROR($B$381:$B$498&lt;=E143+30,0))*($G$381:$G$498&gt;0)*($L$381:$L$498&lt;&gt;L143)))</f>
        <v/>
      </c>
      <c r="Q143" s="31" t="str">
        <f>IF(P143=1,IFERROR(INDEX($L$18:$L$379,MATCH(1,INDEX(($A$18:$A$379=A143)*(IFERROR($B$18:$B$379&gt;=E143-30,0))*(IFERROR($B$18:$B$379&lt;=E143+30,0))*($G$18:$G$379&gt;0)*($L$18:$L$379&lt;&gt;L143),0),0)),IFERROR(INDEX($L$381:$L$498,MATCH(1,INDEX(($A$381:$A$498=A143)*(IFERROR($B$381:$B$498&gt;=E143-30,0))*(IFERROR($B$381:$B$498&lt;=E143+30,0))*($G$381:$G$498&gt;0)*($L$381:$L$498&lt;&gt;L143),0),0)),"")),"")</f>
        <v/>
      </c>
      <c r="R143" s="32"/>
      <c r="S143" s="31" t="str">
        <f>IF(R143&lt;&gt;"",R143,Q143)</f>
        <v/>
      </c>
      <c r="T143" s="63">
        <f>IF(OR(N143="",O143=0),0,N143*O143)</f>
        <v>0</v>
      </c>
      <c r="U143" s="63">
        <f>IF(COUNTIF($S$18:$S$498,L143)=0,"",SUMIF($S$18:$S$498,L143,$T$18:$T$498))</f>
        <v>0</v>
      </c>
      <c r="V143" s="63" t="str">
        <f>IF(H143="","",IFERROR(H143+U143,H143))</f>
        <v/>
      </c>
      <c r="W143" s="63" t="str">
        <f>IF(OR(V143="",C143=""),"",V143/C143)</f>
        <v/>
      </c>
      <c r="X143" s="11" t="str">
        <f>IF(A143="","",IF(AND(U143&lt;&gt;"",U143&lt;&gt;0,M143=0),"Replacement lot receiving wash basis",IF(J143="","",IF(J143&gt;=0,"",IF(O143=0,"No replacement buy found",IF(P143&gt;1,"Manual selection needed","Auto matched"))))))</f>
        <v/>
      </c>
      <c r="Z143" t="str">
        <f>IF(K143="Yes",COUNTIF($K$18:K143,"Yes"),"")</f>
        <v/>
      </c>
    </row>
    <row r="144" spans="1:26" ht="34.15" customHeight="1" x14ac:dyDescent="0.2">
      <c r="A144" s="9"/>
      <c r="B144" s="69"/>
      <c r="C144" s="30"/>
      <c r="D144" s="70"/>
      <c r="E144" s="69"/>
      <c r="F144" s="70"/>
      <c r="G144" s="30"/>
      <c r="H144" s="63" t="str">
        <f>IF(OR(C144="",D144=""),"",C144*D144)</f>
        <v/>
      </c>
      <c r="I144" s="63" t="str">
        <f>IF(OR(E144="",F144="",M144&lt;=0),"",M144*F144)</f>
        <v/>
      </c>
      <c r="J144" s="63" t="str">
        <f>IF(I144="","",I144-(M144*D144))</f>
        <v/>
      </c>
      <c r="K144" s="28" t="str">
        <f>IF(A144="","",IF(T144&gt;0,"Yes","No"))</f>
        <v/>
      </c>
      <c r="L144" s="28" t="str">
        <f>IF(A144="","",A144&amp;"-"&amp;TEXT(B144,"yyyymmdd")&amp;"-R"&amp;ROW())</f>
        <v/>
      </c>
      <c r="M144" s="28" t="str">
        <f>IF(OR(C144="",G144=""),"",C144-G144)</f>
        <v/>
      </c>
      <c r="N144" s="63" t="str">
        <f>IF(OR(M144&lt;=0,J144&gt;=0),"",ABS(J144)/M144)</f>
        <v/>
      </c>
      <c r="O144" s="63" t="str">
        <f>IF(OR(A144="",M144&lt;=0,J144&gt;=0),"",MIN(M144,SUMPRODUCT(($A$18:$A$379=A144)*(IFERROR($B$18:$B$379&gt;=E144-30,0))*(IFERROR($B$18:$B$379&lt;=E144+30,0))*($G$18:$G$379&gt;0)*($L$18:$L$379&lt;&gt;L144)*($G$18:$G$379))+SUMPRODUCT(($A$381:$A$498=A144)*(IFERROR($B$381:$B$498&gt;=E144-30,0))*(IFERROR($B$381:$B$498&lt;=E144+30,0))*($G$381:$G$498&gt;0)*($L$381:$L$498&lt;&gt;L144)*($G$381:$G$498))))</f>
        <v/>
      </c>
      <c r="P144" s="28" t="str">
        <f>IF(OR(A144="",M144&lt;=0,J144&gt;=0),"",SUMPRODUCT(($A$18:$A$379=A144)*(IFERROR($B$18:$B$379&gt;=E144-30,0))*(IFERROR($B$18:$B$379&lt;=E144+30,0))*($G$18:$G$379&gt;0)*($L$18:$L$379&lt;&gt;L144))+SUMPRODUCT(($A$381:$A$498=A144)*(IFERROR($B$381:$B$498&gt;=E144-30,0))*(IFERROR($B$381:$B$498&lt;=E144+30,0))*($G$381:$G$498&gt;0)*($L$381:$L$498&lt;&gt;L144)))</f>
        <v/>
      </c>
      <c r="Q144" s="31" t="str">
        <f>IF(P144=1,IFERROR(INDEX($L$18:$L$379,MATCH(1,INDEX(($A$18:$A$379=A144)*(IFERROR($B$18:$B$379&gt;=E144-30,0))*(IFERROR($B$18:$B$379&lt;=E144+30,0))*($G$18:$G$379&gt;0)*($L$18:$L$379&lt;&gt;L144),0),0)),IFERROR(INDEX($L$381:$L$498,MATCH(1,INDEX(($A$381:$A$498=A144)*(IFERROR($B$381:$B$498&gt;=E144-30,0))*(IFERROR($B$381:$B$498&lt;=E144+30,0))*($G$381:$G$498&gt;0)*($L$381:$L$498&lt;&gt;L144),0),0)),"")),"")</f>
        <v/>
      </c>
      <c r="R144" s="32"/>
      <c r="S144" s="31" t="str">
        <f>IF(R144&lt;&gt;"",R144,Q144)</f>
        <v/>
      </c>
      <c r="T144" s="63">
        <f>IF(OR(N144="",O144=0),0,N144*O144)</f>
        <v>0</v>
      </c>
      <c r="U144" s="63">
        <f>IF(COUNTIF($S$18:$S$498,L144)=0,"",SUMIF($S$18:$S$498,L144,$T$18:$T$498))</f>
        <v>0</v>
      </c>
      <c r="V144" s="63" t="str">
        <f>IF(H144="","",IFERROR(H144+U144,H144))</f>
        <v/>
      </c>
      <c r="W144" s="63" t="str">
        <f>IF(OR(V144="",C144=""),"",V144/C144)</f>
        <v/>
      </c>
      <c r="X144" s="11" t="str">
        <f>IF(A144="","",IF(AND(U144&lt;&gt;"",U144&lt;&gt;0,M144=0),"Replacement lot receiving wash basis",IF(J144="","",IF(J144&gt;=0,"",IF(O144=0,"No replacement buy found",IF(P144&gt;1,"Manual selection needed","Auto matched"))))))</f>
        <v/>
      </c>
      <c r="Z144" t="str">
        <f>IF(K144="Yes",COUNTIF($K$18:K144,"Yes"),"")</f>
        <v/>
      </c>
    </row>
    <row r="145" spans="1:26" ht="34.15" customHeight="1" x14ac:dyDescent="0.2">
      <c r="A145" s="9"/>
      <c r="B145" s="69"/>
      <c r="C145" s="30"/>
      <c r="D145" s="70"/>
      <c r="E145" s="69"/>
      <c r="F145" s="70"/>
      <c r="G145" s="30"/>
      <c r="H145" s="63" t="str">
        <f>IF(OR(C145="",D145=""),"",C145*D145)</f>
        <v/>
      </c>
      <c r="I145" s="63" t="str">
        <f>IF(OR(E145="",F145="",M145&lt;=0),"",M145*F145)</f>
        <v/>
      </c>
      <c r="J145" s="63" t="str">
        <f>IF(I145="","",I145-(M145*D145))</f>
        <v/>
      </c>
      <c r="K145" s="28" t="str">
        <f>IF(A145="","",IF(T145&gt;0,"Yes","No"))</f>
        <v/>
      </c>
      <c r="L145" s="28" t="str">
        <f>IF(A145="","",A145&amp;"-"&amp;TEXT(B145,"yyyymmdd")&amp;"-R"&amp;ROW())</f>
        <v/>
      </c>
      <c r="M145" s="28" t="str">
        <f>IF(OR(C145="",G145=""),"",C145-G145)</f>
        <v/>
      </c>
      <c r="N145" s="63" t="str">
        <f>IF(OR(M145&lt;=0,J145&gt;=0),"",ABS(J145)/M145)</f>
        <v/>
      </c>
      <c r="O145" s="63" t="str">
        <f>IF(OR(A145="",M145&lt;=0,J145&gt;=0),"",MIN(M145,SUMPRODUCT(($A$18:$A$379=A145)*(IFERROR($B$18:$B$379&gt;=E145-30,0))*(IFERROR($B$18:$B$379&lt;=E145+30,0))*($G$18:$G$379&gt;0)*($L$18:$L$379&lt;&gt;L145)*($G$18:$G$379))+SUMPRODUCT(($A$381:$A$498=A145)*(IFERROR($B$381:$B$498&gt;=E145-30,0))*(IFERROR($B$381:$B$498&lt;=E145+30,0))*($G$381:$G$498&gt;0)*($L$381:$L$498&lt;&gt;L145)*($G$381:$G$498))))</f>
        <v/>
      </c>
      <c r="P145" s="28" t="str">
        <f>IF(OR(A145="",M145&lt;=0,J145&gt;=0),"",SUMPRODUCT(($A$18:$A$379=A145)*(IFERROR($B$18:$B$379&gt;=E145-30,0))*(IFERROR($B$18:$B$379&lt;=E145+30,0))*($G$18:$G$379&gt;0)*($L$18:$L$379&lt;&gt;L145))+SUMPRODUCT(($A$381:$A$498=A145)*(IFERROR($B$381:$B$498&gt;=E145-30,0))*(IFERROR($B$381:$B$498&lt;=E145+30,0))*($G$381:$G$498&gt;0)*($L$381:$L$498&lt;&gt;L145)))</f>
        <v/>
      </c>
      <c r="Q145" s="31" t="str">
        <f>IF(P145=1,IFERROR(INDEX($L$18:$L$379,MATCH(1,INDEX(($A$18:$A$379=A145)*(IFERROR($B$18:$B$379&gt;=E145-30,0))*(IFERROR($B$18:$B$379&lt;=E145+30,0))*($G$18:$G$379&gt;0)*($L$18:$L$379&lt;&gt;L145),0),0)),IFERROR(INDEX($L$381:$L$498,MATCH(1,INDEX(($A$381:$A$498=A145)*(IFERROR($B$381:$B$498&gt;=E145-30,0))*(IFERROR($B$381:$B$498&lt;=E145+30,0))*($G$381:$G$498&gt;0)*($L$381:$L$498&lt;&gt;L145),0),0)),"")),"")</f>
        <v/>
      </c>
      <c r="R145" s="32"/>
      <c r="S145" s="31" t="str">
        <f>IF(R145&lt;&gt;"",R145,Q145)</f>
        <v/>
      </c>
      <c r="T145" s="63">
        <f>IF(OR(N145="",O145=0),0,N145*O145)</f>
        <v>0</v>
      </c>
      <c r="U145" s="63">
        <f>IF(COUNTIF($S$18:$S$498,L145)=0,"",SUMIF($S$18:$S$498,L145,$T$18:$T$498))</f>
        <v>0</v>
      </c>
      <c r="V145" s="63" t="str">
        <f>IF(H145="","",IFERROR(H145+U145,H145))</f>
        <v/>
      </c>
      <c r="W145" s="63" t="str">
        <f>IF(OR(V145="",C145=""),"",V145/C145)</f>
        <v/>
      </c>
      <c r="X145" s="11" t="str">
        <f>IF(A145="","",IF(AND(U145&lt;&gt;"",U145&lt;&gt;0,M145=0),"Replacement lot receiving wash basis",IF(J145="","",IF(J145&gt;=0,"",IF(O145=0,"No replacement buy found",IF(P145&gt;1,"Manual selection needed","Auto matched"))))))</f>
        <v/>
      </c>
      <c r="Z145" t="str">
        <f>IF(K145="Yes",COUNTIF($K$18:K145,"Yes"),"")</f>
        <v/>
      </c>
    </row>
    <row r="146" spans="1:26" ht="34.15" customHeight="1" x14ac:dyDescent="0.2">
      <c r="A146" s="9"/>
      <c r="B146" s="69"/>
      <c r="C146" s="30"/>
      <c r="D146" s="70"/>
      <c r="E146" s="69"/>
      <c r="F146" s="70"/>
      <c r="G146" s="30"/>
      <c r="H146" s="63" t="str">
        <f>IF(OR(C146="",D146=""),"",C146*D146)</f>
        <v/>
      </c>
      <c r="I146" s="63" t="str">
        <f>IF(OR(E146="",F146="",M146&lt;=0),"",M146*F146)</f>
        <v/>
      </c>
      <c r="J146" s="63" t="str">
        <f>IF(I146="","",I146-(M146*D146))</f>
        <v/>
      </c>
      <c r="K146" s="28" t="str">
        <f>IF(A146="","",IF(T146&gt;0,"Yes","No"))</f>
        <v/>
      </c>
      <c r="L146" s="28" t="str">
        <f>IF(A146="","",A146&amp;"-"&amp;TEXT(B146,"yyyymmdd")&amp;"-R"&amp;ROW())</f>
        <v/>
      </c>
      <c r="M146" s="28" t="str">
        <f>IF(OR(C146="",G146=""),"",C146-G146)</f>
        <v/>
      </c>
      <c r="N146" s="63" t="str">
        <f>IF(OR(M146&lt;=0,J146&gt;=0),"",ABS(J146)/M146)</f>
        <v/>
      </c>
      <c r="O146" s="63" t="str">
        <f>IF(OR(A146="",M146&lt;=0,J146&gt;=0),"",MIN(M146,SUMPRODUCT(($A$18:$A$379=A146)*(IFERROR($B$18:$B$379&gt;=E146-30,0))*(IFERROR($B$18:$B$379&lt;=E146+30,0))*($G$18:$G$379&gt;0)*($L$18:$L$379&lt;&gt;L146)*($G$18:$G$379))+SUMPRODUCT(($A$381:$A$498=A146)*(IFERROR($B$381:$B$498&gt;=E146-30,0))*(IFERROR($B$381:$B$498&lt;=E146+30,0))*($G$381:$G$498&gt;0)*($L$381:$L$498&lt;&gt;L146)*($G$381:$G$498))))</f>
        <v/>
      </c>
      <c r="P146" s="28" t="str">
        <f>IF(OR(A146="",M146&lt;=0,J146&gt;=0),"",SUMPRODUCT(($A$18:$A$379=A146)*(IFERROR($B$18:$B$379&gt;=E146-30,0))*(IFERROR($B$18:$B$379&lt;=E146+30,0))*($G$18:$G$379&gt;0)*($L$18:$L$379&lt;&gt;L146))+SUMPRODUCT(($A$381:$A$498=A146)*(IFERROR($B$381:$B$498&gt;=E146-30,0))*(IFERROR($B$381:$B$498&lt;=E146+30,0))*($G$381:$G$498&gt;0)*($L$381:$L$498&lt;&gt;L146)))</f>
        <v/>
      </c>
      <c r="Q146" s="31" t="str">
        <f>IF(P146=1,IFERROR(INDEX($L$18:$L$379,MATCH(1,INDEX(($A$18:$A$379=A146)*(IFERROR($B$18:$B$379&gt;=E146-30,0))*(IFERROR($B$18:$B$379&lt;=E146+30,0))*($G$18:$G$379&gt;0)*($L$18:$L$379&lt;&gt;L146),0),0)),IFERROR(INDEX($L$381:$L$498,MATCH(1,INDEX(($A$381:$A$498=A146)*(IFERROR($B$381:$B$498&gt;=E146-30,0))*(IFERROR($B$381:$B$498&lt;=E146+30,0))*($G$381:$G$498&gt;0)*($L$381:$L$498&lt;&gt;L146),0),0)),"")),"")</f>
        <v/>
      </c>
      <c r="R146" s="32"/>
      <c r="S146" s="31" t="str">
        <f>IF(R146&lt;&gt;"",R146,Q146)</f>
        <v/>
      </c>
      <c r="T146" s="63">
        <f>IF(OR(N146="",O146=0),0,N146*O146)</f>
        <v>0</v>
      </c>
      <c r="U146" s="63">
        <f>IF(COUNTIF($S$18:$S$498,L146)=0,"",SUMIF($S$18:$S$498,L146,$T$18:$T$498))</f>
        <v>0</v>
      </c>
      <c r="V146" s="63" t="str">
        <f>IF(H146="","",IFERROR(H146+U146,H146))</f>
        <v/>
      </c>
      <c r="W146" s="63" t="str">
        <f>IF(OR(V146="",C146=""),"",V146/C146)</f>
        <v/>
      </c>
      <c r="X146" s="11" t="str">
        <f>IF(A146="","",IF(AND(U146&lt;&gt;"",U146&lt;&gt;0,M146=0),"Replacement lot receiving wash basis",IF(J146="","",IF(J146&gt;=0,"",IF(O146=0,"No replacement buy found",IF(P146&gt;1,"Manual selection needed","Auto matched"))))))</f>
        <v/>
      </c>
      <c r="Z146" t="str">
        <f>IF(K146="Yes",COUNTIF($K$18:K146,"Yes"),"")</f>
        <v/>
      </c>
    </row>
    <row r="147" spans="1:26" ht="34.15" customHeight="1" x14ac:dyDescent="0.2">
      <c r="A147" s="9"/>
      <c r="B147" s="69"/>
      <c r="C147" s="30"/>
      <c r="D147" s="70"/>
      <c r="E147" s="69"/>
      <c r="F147" s="70"/>
      <c r="G147" s="30"/>
      <c r="H147" s="63" t="str">
        <f>IF(OR(C147="",D147=""),"",C147*D147)</f>
        <v/>
      </c>
      <c r="I147" s="63" t="str">
        <f>IF(OR(E147="",F147="",M147&lt;=0),"",M147*F147)</f>
        <v/>
      </c>
      <c r="J147" s="63" t="str">
        <f>IF(I147="","",I147-(M147*D147))</f>
        <v/>
      </c>
      <c r="K147" s="28" t="str">
        <f>IF(A147="","",IF(T147&gt;0,"Yes","No"))</f>
        <v/>
      </c>
      <c r="L147" s="28" t="str">
        <f>IF(A147="","",A147&amp;"-"&amp;TEXT(B147,"yyyymmdd")&amp;"-R"&amp;ROW())</f>
        <v/>
      </c>
      <c r="M147" s="28" t="str">
        <f>IF(OR(C147="",G147=""),"",C147-G147)</f>
        <v/>
      </c>
      <c r="N147" s="63" t="str">
        <f>IF(OR(M147&lt;=0,J147&gt;=0),"",ABS(J147)/M147)</f>
        <v/>
      </c>
      <c r="O147" s="63" t="str">
        <f>IF(OR(A147="",M147&lt;=0,J147&gt;=0),"",MIN(M147,SUMPRODUCT(($A$18:$A$379=A147)*(IFERROR($B$18:$B$379&gt;=E147-30,0))*(IFERROR($B$18:$B$379&lt;=E147+30,0))*($G$18:$G$379&gt;0)*($L$18:$L$379&lt;&gt;L147)*($G$18:$G$379))+SUMPRODUCT(($A$381:$A$498=A147)*(IFERROR($B$381:$B$498&gt;=E147-30,0))*(IFERROR($B$381:$B$498&lt;=E147+30,0))*($G$381:$G$498&gt;0)*($L$381:$L$498&lt;&gt;L147)*($G$381:$G$498))))</f>
        <v/>
      </c>
      <c r="P147" s="28" t="str">
        <f>IF(OR(A147="",M147&lt;=0,J147&gt;=0),"",SUMPRODUCT(($A$18:$A$379=A147)*(IFERROR($B$18:$B$379&gt;=E147-30,0))*(IFERROR($B$18:$B$379&lt;=E147+30,0))*($G$18:$G$379&gt;0)*($L$18:$L$379&lt;&gt;L147))+SUMPRODUCT(($A$381:$A$498=A147)*(IFERROR($B$381:$B$498&gt;=E147-30,0))*(IFERROR($B$381:$B$498&lt;=E147+30,0))*($G$381:$G$498&gt;0)*($L$381:$L$498&lt;&gt;L147)))</f>
        <v/>
      </c>
      <c r="Q147" s="31" t="str">
        <f>IF(P147=1,IFERROR(INDEX($L$18:$L$379,MATCH(1,INDEX(($A$18:$A$379=A147)*(IFERROR($B$18:$B$379&gt;=E147-30,0))*(IFERROR($B$18:$B$379&lt;=E147+30,0))*($G$18:$G$379&gt;0)*($L$18:$L$379&lt;&gt;L147),0),0)),IFERROR(INDEX($L$381:$L$498,MATCH(1,INDEX(($A$381:$A$498=A147)*(IFERROR($B$381:$B$498&gt;=E147-30,0))*(IFERROR($B$381:$B$498&lt;=E147+30,0))*($G$381:$G$498&gt;0)*($L$381:$L$498&lt;&gt;L147),0),0)),"")),"")</f>
        <v/>
      </c>
      <c r="R147" s="32"/>
      <c r="S147" s="31" t="str">
        <f>IF(R147&lt;&gt;"",R147,Q147)</f>
        <v/>
      </c>
      <c r="T147" s="63">
        <f>IF(OR(N147="",O147=0),0,N147*O147)</f>
        <v>0</v>
      </c>
      <c r="U147" s="63">
        <f>IF(COUNTIF($S$18:$S$498,L147)=0,"",SUMIF($S$18:$S$498,L147,$T$18:$T$498))</f>
        <v>0</v>
      </c>
      <c r="V147" s="63" t="str">
        <f>IF(H147="","",IFERROR(H147+U147,H147))</f>
        <v/>
      </c>
      <c r="W147" s="63" t="str">
        <f>IF(OR(V147="",C147=""),"",V147/C147)</f>
        <v/>
      </c>
      <c r="X147" s="11" t="str">
        <f>IF(A147="","",IF(AND(U147&lt;&gt;"",U147&lt;&gt;0,M147=0),"Replacement lot receiving wash basis",IF(J147="","",IF(J147&gt;=0,"",IF(O147=0,"No replacement buy found",IF(P147&gt;1,"Manual selection needed","Auto matched"))))))</f>
        <v/>
      </c>
      <c r="Z147" t="str">
        <f>IF(K147="Yes",COUNTIF($K$18:K147,"Yes"),"")</f>
        <v/>
      </c>
    </row>
    <row r="148" spans="1:26" ht="34.15" customHeight="1" x14ac:dyDescent="0.2">
      <c r="A148" s="9"/>
      <c r="B148" s="69"/>
      <c r="C148" s="30"/>
      <c r="D148" s="70"/>
      <c r="E148" s="69"/>
      <c r="F148" s="70"/>
      <c r="G148" s="30"/>
      <c r="H148" s="63" t="str">
        <f>IF(OR(C148="",D148=""),"",C148*D148)</f>
        <v/>
      </c>
      <c r="I148" s="63" t="str">
        <f>IF(OR(E148="",F148="",M148&lt;=0),"",M148*F148)</f>
        <v/>
      </c>
      <c r="J148" s="63" t="str">
        <f>IF(I148="","",I148-(M148*D148))</f>
        <v/>
      </c>
      <c r="K148" s="28" t="str">
        <f>IF(A148="","",IF(T148&gt;0,"Yes","No"))</f>
        <v/>
      </c>
      <c r="L148" s="28" t="str">
        <f>IF(A148="","",A148&amp;"-"&amp;TEXT(B148,"yyyymmdd")&amp;"-R"&amp;ROW())</f>
        <v/>
      </c>
      <c r="M148" s="28" t="str">
        <f>IF(OR(C148="",G148=""),"",C148-G148)</f>
        <v/>
      </c>
      <c r="N148" s="63" t="str">
        <f>IF(OR(M148&lt;=0,J148&gt;=0),"",ABS(J148)/M148)</f>
        <v/>
      </c>
      <c r="O148" s="63" t="str">
        <f>IF(OR(A148="",M148&lt;=0,J148&gt;=0),"",MIN(M148,SUMPRODUCT(($A$18:$A$379=A148)*(IFERROR($B$18:$B$379&gt;=E148-30,0))*(IFERROR($B$18:$B$379&lt;=E148+30,0))*($G$18:$G$379&gt;0)*($L$18:$L$379&lt;&gt;L148)*($G$18:$G$379))+SUMPRODUCT(($A$381:$A$498=A148)*(IFERROR($B$381:$B$498&gt;=E148-30,0))*(IFERROR($B$381:$B$498&lt;=E148+30,0))*($G$381:$G$498&gt;0)*($L$381:$L$498&lt;&gt;L148)*($G$381:$G$498))))</f>
        <v/>
      </c>
      <c r="P148" s="28" t="str">
        <f>IF(OR(A148="",M148&lt;=0,J148&gt;=0),"",SUMPRODUCT(($A$18:$A$379=A148)*(IFERROR($B$18:$B$379&gt;=E148-30,0))*(IFERROR($B$18:$B$379&lt;=E148+30,0))*($G$18:$G$379&gt;0)*($L$18:$L$379&lt;&gt;L148))+SUMPRODUCT(($A$381:$A$498=A148)*(IFERROR($B$381:$B$498&gt;=E148-30,0))*(IFERROR($B$381:$B$498&lt;=E148+30,0))*($G$381:$G$498&gt;0)*($L$381:$L$498&lt;&gt;L148)))</f>
        <v/>
      </c>
      <c r="Q148" s="31" t="str">
        <f>IF(P148=1,IFERROR(INDEX($L$18:$L$379,MATCH(1,INDEX(($A$18:$A$379=A148)*(IFERROR($B$18:$B$379&gt;=E148-30,0))*(IFERROR($B$18:$B$379&lt;=E148+30,0))*($G$18:$G$379&gt;0)*($L$18:$L$379&lt;&gt;L148),0),0)),IFERROR(INDEX($L$381:$L$498,MATCH(1,INDEX(($A$381:$A$498=A148)*(IFERROR($B$381:$B$498&gt;=E148-30,0))*(IFERROR($B$381:$B$498&lt;=E148+30,0))*($G$381:$G$498&gt;0)*($L$381:$L$498&lt;&gt;L148),0),0)),"")),"")</f>
        <v/>
      </c>
      <c r="R148" s="32"/>
      <c r="S148" s="31" t="str">
        <f>IF(R148&lt;&gt;"",R148,Q148)</f>
        <v/>
      </c>
      <c r="T148" s="63">
        <f>IF(OR(N148="",O148=0),0,N148*O148)</f>
        <v>0</v>
      </c>
      <c r="U148" s="63">
        <f>IF(COUNTIF($S$18:$S$498,L148)=0,"",SUMIF($S$18:$S$498,L148,$T$18:$T$498))</f>
        <v>0</v>
      </c>
      <c r="V148" s="63" t="str">
        <f>IF(H148="","",IFERROR(H148+U148,H148))</f>
        <v/>
      </c>
      <c r="W148" s="63" t="str">
        <f>IF(OR(V148="",C148=""),"",V148/C148)</f>
        <v/>
      </c>
      <c r="X148" s="11" t="str">
        <f>IF(A148="","",IF(AND(U148&lt;&gt;"",U148&lt;&gt;0,M148=0),"Replacement lot receiving wash basis",IF(J148="","",IF(J148&gt;=0,"",IF(O148=0,"No replacement buy found",IF(P148&gt;1,"Manual selection needed","Auto matched"))))))</f>
        <v/>
      </c>
      <c r="Z148" t="str">
        <f>IF(K148="Yes",COUNTIF($K$18:K148,"Yes"),"")</f>
        <v/>
      </c>
    </row>
    <row r="149" spans="1:26" ht="34.15" customHeight="1" x14ac:dyDescent="0.2">
      <c r="A149" s="9"/>
      <c r="B149" s="69"/>
      <c r="C149" s="30"/>
      <c r="D149" s="70"/>
      <c r="E149" s="69"/>
      <c r="F149" s="70"/>
      <c r="G149" s="30"/>
      <c r="H149" s="63" t="str">
        <f>IF(OR(C149="",D149=""),"",C149*D149)</f>
        <v/>
      </c>
      <c r="I149" s="63" t="str">
        <f>IF(OR(E149="",F149="",M149&lt;=0),"",M149*F149)</f>
        <v/>
      </c>
      <c r="J149" s="63" t="str">
        <f>IF(I149="","",I149-(M149*D149))</f>
        <v/>
      </c>
      <c r="K149" s="28" t="str">
        <f>IF(A149="","",IF(T149&gt;0,"Yes","No"))</f>
        <v/>
      </c>
      <c r="L149" s="28" t="str">
        <f>IF(A149="","",A149&amp;"-"&amp;TEXT(B149,"yyyymmdd")&amp;"-R"&amp;ROW())</f>
        <v/>
      </c>
      <c r="M149" s="28" t="str">
        <f>IF(OR(C149="",G149=""),"",C149-G149)</f>
        <v/>
      </c>
      <c r="N149" s="63" t="str">
        <f>IF(OR(M149&lt;=0,J149&gt;=0),"",ABS(J149)/M149)</f>
        <v/>
      </c>
      <c r="O149" s="63" t="str">
        <f>IF(OR(A149="",M149&lt;=0,J149&gt;=0),"",MIN(M149,SUMPRODUCT(($A$18:$A$379=A149)*(IFERROR($B$18:$B$379&gt;=E149-30,0))*(IFERROR($B$18:$B$379&lt;=E149+30,0))*($G$18:$G$379&gt;0)*($L$18:$L$379&lt;&gt;L149)*($G$18:$G$379))+SUMPRODUCT(($A$381:$A$498=A149)*(IFERROR($B$381:$B$498&gt;=E149-30,0))*(IFERROR($B$381:$B$498&lt;=E149+30,0))*($G$381:$G$498&gt;0)*($L$381:$L$498&lt;&gt;L149)*($G$381:$G$498))))</f>
        <v/>
      </c>
      <c r="P149" s="28" t="str">
        <f>IF(OR(A149="",M149&lt;=0,J149&gt;=0),"",SUMPRODUCT(($A$18:$A$379=A149)*(IFERROR($B$18:$B$379&gt;=E149-30,0))*(IFERROR($B$18:$B$379&lt;=E149+30,0))*($G$18:$G$379&gt;0)*($L$18:$L$379&lt;&gt;L149))+SUMPRODUCT(($A$381:$A$498=A149)*(IFERROR($B$381:$B$498&gt;=E149-30,0))*(IFERROR($B$381:$B$498&lt;=E149+30,0))*($G$381:$G$498&gt;0)*($L$381:$L$498&lt;&gt;L149)))</f>
        <v/>
      </c>
      <c r="Q149" s="31" t="str">
        <f>IF(P149=1,IFERROR(INDEX($L$18:$L$379,MATCH(1,INDEX(($A$18:$A$379=A149)*(IFERROR($B$18:$B$379&gt;=E149-30,0))*(IFERROR($B$18:$B$379&lt;=E149+30,0))*($G$18:$G$379&gt;0)*($L$18:$L$379&lt;&gt;L149),0),0)),IFERROR(INDEX($L$381:$L$498,MATCH(1,INDEX(($A$381:$A$498=A149)*(IFERROR($B$381:$B$498&gt;=E149-30,0))*(IFERROR($B$381:$B$498&lt;=E149+30,0))*($G$381:$G$498&gt;0)*($L$381:$L$498&lt;&gt;L149),0),0)),"")),"")</f>
        <v/>
      </c>
      <c r="R149" s="32"/>
      <c r="S149" s="31" t="str">
        <f>IF(R149&lt;&gt;"",R149,Q149)</f>
        <v/>
      </c>
      <c r="T149" s="63">
        <f>IF(OR(N149="",O149=0),0,N149*O149)</f>
        <v>0</v>
      </c>
      <c r="U149" s="63">
        <f>IF(COUNTIF($S$18:$S$498,L149)=0,"",SUMIF($S$18:$S$498,L149,$T$18:$T$498))</f>
        <v>0</v>
      </c>
      <c r="V149" s="63" t="str">
        <f>IF(H149="","",IFERROR(H149+U149,H149))</f>
        <v/>
      </c>
      <c r="W149" s="63" t="str">
        <f>IF(OR(V149="",C149=""),"",V149/C149)</f>
        <v/>
      </c>
      <c r="X149" s="11" t="str">
        <f>IF(A149="","",IF(AND(U149&lt;&gt;"",U149&lt;&gt;0,M149=0),"Replacement lot receiving wash basis",IF(J149="","",IF(J149&gt;=0,"",IF(O149=0,"No replacement buy found",IF(P149&gt;1,"Manual selection needed","Auto matched"))))))</f>
        <v/>
      </c>
      <c r="Z149" t="str">
        <f>IF(K149="Yes",COUNTIF($K$18:K149,"Yes"),"")</f>
        <v/>
      </c>
    </row>
    <row r="150" spans="1:26" ht="34.15" customHeight="1" x14ac:dyDescent="0.2">
      <c r="A150" s="9"/>
      <c r="B150" s="69"/>
      <c r="C150" s="30"/>
      <c r="D150" s="70"/>
      <c r="E150" s="69"/>
      <c r="F150" s="70"/>
      <c r="G150" s="30"/>
      <c r="H150" s="63" t="str">
        <f>IF(OR(C150="",D150=""),"",C150*D150)</f>
        <v/>
      </c>
      <c r="I150" s="63" t="str">
        <f>IF(OR(E150="",F150="",M150&lt;=0),"",M150*F150)</f>
        <v/>
      </c>
      <c r="J150" s="63" t="str">
        <f>IF(I150="","",I150-(M150*D150))</f>
        <v/>
      </c>
      <c r="K150" s="28" t="str">
        <f>IF(A150="","",IF(T150&gt;0,"Yes","No"))</f>
        <v/>
      </c>
      <c r="L150" s="28" t="str">
        <f>IF(A150="","",A150&amp;"-"&amp;TEXT(B150,"yyyymmdd")&amp;"-R"&amp;ROW())</f>
        <v/>
      </c>
      <c r="M150" s="28" t="str">
        <f>IF(OR(C150="",G150=""),"",C150-G150)</f>
        <v/>
      </c>
      <c r="N150" s="63" t="str">
        <f>IF(OR(M150&lt;=0,J150&gt;=0),"",ABS(J150)/M150)</f>
        <v/>
      </c>
      <c r="O150" s="63" t="str">
        <f>IF(OR(A150="",M150&lt;=0,J150&gt;=0),"",MIN(M150,SUMPRODUCT(($A$18:$A$379=A150)*(IFERROR($B$18:$B$379&gt;=E150-30,0))*(IFERROR($B$18:$B$379&lt;=E150+30,0))*($G$18:$G$379&gt;0)*($L$18:$L$379&lt;&gt;L150)*($G$18:$G$379))+SUMPRODUCT(($A$381:$A$498=A150)*(IFERROR($B$381:$B$498&gt;=E150-30,0))*(IFERROR($B$381:$B$498&lt;=E150+30,0))*($G$381:$G$498&gt;0)*($L$381:$L$498&lt;&gt;L150)*($G$381:$G$498))))</f>
        <v/>
      </c>
      <c r="P150" s="28" t="str">
        <f>IF(OR(A150="",M150&lt;=0,J150&gt;=0),"",SUMPRODUCT(($A$18:$A$379=A150)*(IFERROR($B$18:$B$379&gt;=E150-30,0))*(IFERROR($B$18:$B$379&lt;=E150+30,0))*($G$18:$G$379&gt;0)*($L$18:$L$379&lt;&gt;L150))+SUMPRODUCT(($A$381:$A$498=A150)*(IFERROR($B$381:$B$498&gt;=E150-30,0))*(IFERROR($B$381:$B$498&lt;=E150+30,0))*($G$381:$G$498&gt;0)*($L$381:$L$498&lt;&gt;L150)))</f>
        <v/>
      </c>
      <c r="Q150" s="31" t="str">
        <f>IF(P150=1,IFERROR(INDEX($L$18:$L$379,MATCH(1,INDEX(($A$18:$A$379=A150)*(IFERROR($B$18:$B$379&gt;=E150-30,0))*(IFERROR($B$18:$B$379&lt;=E150+30,0))*($G$18:$G$379&gt;0)*($L$18:$L$379&lt;&gt;L150),0),0)),IFERROR(INDEX($L$381:$L$498,MATCH(1,INDEX(($A$381:$A$498=A150)*(IFERROR($B$381:$B$498&gt;=E150-30,0))*(IFERROR($B$381:$B$498&lt;=E150+30,0))*($G$381:$G$498&gt;0)*($L$381:$L$498&lt;&gt;L150),0),0)),"")),"")</f>
        <v/>
      </c>
      <c r="R150" s="32"/>
      <c r="S150" s="31" t="str">
        <f>IF(R150&lt;&gt;"",R150,Q150)</f>
        <v/>
      </c>
      <c r="T150" s="63">
        <f>IF(OR(N150="",O150=0),0,N150*O150)</f>
        <v>0</v>
      </c>
      <c r="U150" s="63">
        <f>IF(COUNTIF($S$18:$S$498,L150)=0,"",SUMIF($S$18:$S$498,L150,$T$18:$T$498))</f>
        <v>0</v>
      </c>
      <c r="V150" s="63" t="str">
        <f>IF(H150="","",IFERROR(H150+U150,H150))</f>
        <v/>
      </c>
      <c r="W150" s="63" t="str">
        <f>IF(OR(V150="",C150=""),"",V150/C150)</f>
        <v/>
      </c>
      <c r="X150" s="11" t="str">
        <f>IF(A150="","",IF(AND(U150&lt;&gt;"",U150&lt;&gt;0,M150=0),"Replacement lot receiving wash basis",IF(J150="","",IF(J150&gt;=0,"",IF(O150=0,"No replacement buy found",IF(P150&gt;1,"Manual selection needed","Auto matched"))))))</f>
        <v/>
      </c>
      <c r="Z150" t="str">
        <f>IF(K150="Yes",COUNTIF($K$18:K150,"Yes"),"")</f>
        <v/>
      </c>
    </row>
    <row r="151" spans="1:26" ht="34.15" customHeight="1" x14ac:dyDescent="0.2">
      <c r="A151" s="9"/>
      <c r="B151" s="69"/>
      <c r="C151" s="30"/>
      <c r="D151" s="70"/>
      <c r="E151" s="69"/>
      <c r="F151" s="70"/>
      <c r="G151" s="30"/>
      <c r="H151" s="63" t="str">
        <f>IF(OR(C151="",D151=""),"",C151*D151)</f>
        <v/>
      </c>
      <c r="I151" s="63" t="str">
        <f>IF(OR(E151="",F151="",M151&lt;=0),"",M151*F151)</f>
        <v/>
      </c>
      <c r="J151" s="63" t="str">
        <f>IF(I151="","",I151-(M151*D151))</f>
        <v/>
      </c>
      <c r="K151" s="28" t="str">
        <f>IF(A151="","",IF(T151&gt;0,"Yes","No"))</f>
        <v/>
      </c>
      <c r="L151" s="28" t="str">
        <f>IF(A151="","",A151&amp;"-"&amp;TEXT(B151,"yyyymmdd")&amp;"-R"&amp;ROW())</f>
        <v/>
      </c>
      <c r="M151" s="28" t="str">
        <f>IF(OR(C151="",G151=""),"",C151-G151)</f>
        <v/>
      </c>
      <c r="N151" s="63" t="str">
        <f>IF(OR(M151&lt;=0,J151&gt;=0),"",ABS(J151)/M151)</f>
        <v/>
      </c>
      <c r="O151" s="63" t="str">
        <f>IF(OR(A151="",M151&lt;=0,J151&gt;=0),"",MIN(M151,SUMPRODUCT(($A$18:$A$379=A151)*(IFERROR($B$18:$B$379&gt;=E151-30,0))*(IFERROR($B$18:$B$379&lt;=E151+30,0))*($G$18:$G$379&gt;0)*($L$18:$L$379&lt;&gt;L151)*($G$18:$G$379))+SUMPRODUCT(($A$381:$A$498=A151)*(IFERROR($B$381:$B$498&gt;=E151-30,0))*(IFERROR($B$381:$B$498&lt;=E151+30,0))*($G$381:$G$498&gt;0)*($L$381:$L$498&lt;&gt;L151)*($G$381:$G$498))))</f>
        <v/>
      </c>
      <c r="P151" s="28" t="str">
        <f>IF(OR(A151="",M151&lt;=0,J151&gt;=0),"",SUMPRODUCT(($A$18:$A$379=A151)*(IFERROR($B$18:$B$379&gt;=E151-30,0))*(IFERROR($B$18:$B$379&lt;=E151+30,0))*($G$18:$G$379&gt;0)*($L$18:$L$379&lt;&gt;L151))+SUMPRODUCT(($A$381:$A$498=A151)*(IFERROR($B$381:$B$498&gt;=E151-30,0))*(IFERROR($B$381:$B$498&lt;=E151+30,0))*($G$381:$G$498&gt;0)*($L$381:$L$498&lt;&gt;L151)))</f>
        <v/>
      </c>
      <c r="Q151" s="31" t="str">
        <f>IF(P151=1,IFERROR(INDEX($L$18:$L$379,MATCH(1,INDEX(($A$18:$A$379=A151)*(IFERROR($B$18:$B$379&gt;=E151-30,0))*(IFERROR($B$18:$B$379&lt;=E151+30,0))*($G$18:$G$379&gt;0)*($L$18:$L$379&lt;&gt;L151),0),0)),IFERROR(INDEX($L$381:$L$498,MATCH(1,INDEX(($A$381:$A$498=A151)*(IFERROR($B$381:$B$498&gt;=E151-30,0))*(IFERROR($B$381:$B$498&lt;=E151+30,0))*($G$381:$G$498&gt;0)*($L$381:$L$498&lt;&gt;L151),0),0)),"")),"")</f>
        <v/>
      </c>
      <c r="R151" s="32"/>
      <c r="S151" s="31" t="str">
        <f>IF(R151&lt;&gt;"",R151,Q151)</f>
        <v/>
      </c>
      <c r="T151" s="63">
        <f>IF(OR(N151="",O151=0),0,N151*O151)</f>
        <v>0</v>
      </c>
      <c r="U151" s="63">
        <f>IF(COUNTIF($S$18:$S$498,L151)=0,"",SUMIF($S$18:$S$498,L151,$T$18:$T$498))</f>
        <v>0</v>
      </c>
      <c r="V151" s="63" t="str">
        <f>IF(H151="","",IFERROR(H151+U151,H151))</f>
        <v/>
      </c>
      <c r="W151" s="63" t="str">
        <f>IF(OR(V151="",C151=""),"",V151/C151)</f>
        <v/>
      </c>
      <c r="X151" s="11" t="str">
        <f>IF(A151="","",IF(AND(U151&lt;&gt;"",U151&lt;&gt;0,M151=0),"Replacement lot receiving wash basis",IF(J151="","",IF(J151&gt;=0,"",IF(O151=0,"No replacement buy found",IF(P151&gt;1,"Manual selection needed","Auto matched"))))))</f>
        <v/>
      </c>
      <c r="Z151" t="str">
        <f>IF(K151="Yes",COUNTIF($K$18:K151,"Yes"),"")</f>
        <v/>
      </c>
    </row>
    <row r="152" spans="1:26" ht="34.15" customHeight="1" x14ac:dyDescent="0.2">
      <c r="A152" s="9"/>
      <c r="B152" s="69"/>
      <c r="C152" s="30"/>
      <c r="D152" s="70"/>
      <c r="E152" s="69"/>
      <c r="F152" s="70"/>
      <c r="G152" s="30"/>
      <c r="H152" s="63" t="str">
        <f>IF(OR(C152="",D152=""),"",C152*D152)</f>
        <v/>
      </c>
      <c r="I152" s="63" t="str">
        <f>IF(OR(E152="",F152="",M152&lt;=0),"",M152*F152)</f>
        <v/>
      </c>
      <c r="J152" s="63" t="str">
        <f>IF(I152="","",I152-(M152*D152))</f>
        <v/>
      </c>
      <c r="K152" s="28" t="str">
        <f>IF(A152="","",IF(T152&gt;0,"Yes","No"))</f>
        <v/>
      </c>
      <c r="L152" s="28" t="str">
        <f>IF(A152="","",A152&amp;"-"&amp;TEXT(B152,"yyyymmdd")&amp;"-R"&amp;ROW())</f>
        <v/>
      </c>
      <c r="M152" s="28" t="str">
        <f>IF(OR(C152="",G152=""),"",C152-G152)</f>
        <v/>
      </c>
      <c r="N152" s="63" t="str">
        <f>IF(OR(M152&lt;=0,J152&gt;=0),"",ABS(J152)/M152)</f>
        <v/>
      </c>
      <c r="O152" s="63" t="str">
        <f>IF(OR(A152="",M152&lt;=0,J152&gt;=0),"",MIN(M152,SUMPRODUCT(($A$18:$A$379=A152)*(IFERROR($B$18:$B$379&gt;=E152-30,0))*(IFERROR($B$18:$B$379&lt;=E152+30,0))*($G$18:$G$379&gt;0)*($L$18:$L$379&lt;&gt;L152)*($G$18:$G$379))+SUMPRODUCT(($A$381:$A$498=A152)*(IFERROR($B$381:$B$498&gt;=E152-30,0))*(IFERROR($B$381:$B$498&lt;=E152+30,0))*($G$381:$G$498&gt;0)*($L$381:$L$498&lt;&gt;L152)*($G$381:$G$498))))</f>
        <v/>
      </c>
      <c r="P152" s="28" t="str">
        <f>IF(OR(A152="",M152&lt;=0,J152&gt;=0),"",SUMPRODUCT(($A$18:$A$379=A152)*(IFERROR($B$18:$B$379&gt;=E152-30,0))*(IFERROR($B$18:$B$379&lt;=E152+30,0))*($G$18:$G$379&gt;0)*($L$18:$L$379&lt;&gt;L152))+SUMPRODUCT(($A$381:$A$498=A152)*(IFERROR($B$381:$B$498&gt;=E152-30,0))*(IFERROR($B$381:$B$498&lt;=E152+30,0))*($G$381:$G$498&gt;0)*($L$381:$L$498&lt;&gt;L152)))</f>
        <v/>
      </c>
      <c r="Q152" s="31" t="str">
        <f>IF(P152=1,IFERROR(INDEX($L$18:$L$379,MATCH(1,INDEX(($A$18:$A$379=A152)*(IFERROR($B$18:$B$379&gt;=E152-30,0))*(IFERROR($B$18:$B$379&lt;=E152+30,0))*($G$18:$G$379&gt;0)*($L$18:$L$379&lt;&gt;L152),0),0)),IFERROR(INDEX($L$381:$L$498,MATCH(1,INDEX(($A$381:$A$498=A152)*(IFERROR($B$381:$B$498&gt;=E152-30,0))*(IFERROR($B$381:$B$498&lt;=E152+30,0))*($G$381:$G$498&gt;0)*($L$381:$L$498&lt;&gt;L152),0),0)),"")),"")</f>
        <v/>
      </c>
      <c r="R152" s="32"/>
      <c r="S152" s="31" t="str">
        <f>IF(R152&lt;&gt;"",R152,Q152)</f>
        <v/>
      </c>
      <c r="T152" s="63">
        <f>IF(OR(N152="",O152=0),0,N152*O152)</f>
        <v>0</v>
      </c>
      <c r="U152" s="63">
        <f>IF(COUNTIF($S$18:$S$498,L152)=0,"",SUMIF($S$18:$S$498,L152,$T$18:$T$498))</f>
        <v>0</v>
      </c>
      <c r="V152" s="63" t="str">
        <f>IF(H152="","",IFERROR(H152+U152,H152))</f>
        <v/>
      </c>
      <c r="W152" s="63" t="str">
        <f>IF(OR(V152="",C152=""),"",V152/C152)</f>
        <v/>
      </c>
      <c r="X152" s="11" t="str">
        <f>IF(A152="","",IF(AND(U152&lt;&gt;"",U152&lt;&gt;0,M152=0),"Replacement lot receiving wash basis",IF(J152="","",IF(J152&gt;=0,"",IF(O152=0,"No replacement buy found",IF(P152&gt;1,"Manual selection needed","Auto matched"))))))</f>
        <v/>
      </c>
      <c r="Z152" t="str">
        <f>IF(K152="Yes",COUNTIF($K$18:K152,"Yes"),"")</f>
        <v/>
      </c>
    </row>
    <row r="153" spans="1:26" ht="34.15" customHeight="1" x14ac:dyDescent="0.2">
      <c r="A153" s="9"/>
      <c r="B153" s="69"/>
      <c r="C153" s="30"/>
      <c r="D153" s="70"/>
      <c r="E153" s="69"/>
      <c r="F153" s="70"/>
      <c r="G153" s="30"/>
      <c r="H153" s="63" t="str">
        <f>IF(OR(C153="",D153=""),"",C153*D153)</f>
        <v/>
      </c>
      <c r="I153" s="63" t="str">
        <f>IF(OR(E153="",F153="",M153&lt;=0),"",M153*F153)</f>
        <v/>
      </c>
      <c r="J153" s="63" t="str">
        <f>IF(I153="","",I153-(M153*D153))</f>
        <v/>
      </c>
      <c r="K153" s="28" t="str">
        <f>IF(A153="","",IF(T153&gt;0,"Yes","No"))</f>
        <v/>
      </c>
      <c r="L153" s="28" t="str">
        <f>IF(A153="","",A153&amp;"-"&amp;TEXT(B153,"yyyymmdd")&amp;"-R"&amp;ROW())</f>
        <v/>
      </c>
      <c r="M153" s="28" t="str">
        <f>IF(OR(C153="",G153=""),"",C153-G153)</f>
        <v/>
      </c>
      <c r="N153" s="63" t="str">
        <f>IF(OR(M153&lt;=0,J153&gt;=0),"",ABS(J153)/M153)</f>
        <v/>
      </c>
      <c r="O153" s="63" t="str">
        <f>IF(OR(A153="",M153&lt;=0,J153&gt;=0),"",MIN(M153,SUMPRODUCT(($A$18:$A$379=A153)*(IFERROR($B$18:$B$379&gt;=E153-30,0))*(IFERROR($B$18:$B$379&lt;=E153+30,0))*($G$18:$G$379&gt;0)*($L$18:$L$379&lt;&gt;L153)*($G$18:$G$379))+SUMPRODUCT(($A$381:$A$498=A153)*(IFERROR($B$381:$B$498&gt;=E153-30,0))*(IFERROR($B$381:$B$498&lt;=E153+30,0))*($G$381:$G$498&gt;0)*($L$381:$L$498&lt;&gt;L153)*($G$381:$G$498))))</f>
        <v/>
      </c>
      <c r="P153" s="28" t="str">
        <f>IF(OR(A153="",M153&lt;=0,J153&gt;=0),"",SUMPRODUCT(($A$18:$A$379=A153)*(IFERROR($B$18:$B$379&gt;=E153-30,0))*(IFERROR($B$18:$B$379&lt;=E153+30,0))*($G$18:$G$379&gt;0)*($L$18:$L$379&lt;&gt;L153))+SUMPRODUCT(($A$381:$A$498=A153)*(IFERROR($B$381:$B$498&gt;=E153-30,0))*(IFERROR($B$381:$B$498&lt;=E153+30,0))*($G$381:$G$498&gt;0)*($L$381:$L$498&lt;&gt;L153)))</f>
        <v/>
      </c>
      <c r="Q153" s="31" t="str">
        <f>IF(P153=1,IFERROR(INDEX($L$18:$L$379,MATCH(1,INDEX(($A$18:$A$379=A153)*(IFERROR($B$18:$B$379&gt;=E153-30,0))*(IFERROR($B$18:$B$379&lt;=E153+30,0))*($G$18:$G$379&gt;0)*($L$18:$L$379&lt;&gt;L153),0),0)),IFERROR(INDEX($L$381:$L$498,MATCH(1,INDEX(($A$381:$A$498=A153)*(IFERROR($B$381:$B$498&gt;=E153-30,0))*(IFERROR($B$381:$B$498&lt;=E153+30,0))*($G$381:$G$498&gt;0)*($L$381:$L$498&lt;&gt;L153),0),0)),"")),"")</f>
        <v/>
      </c>
      <c r="R153" s="32"/>
      <c r="S153" s="31" t="str">
        <f>IF(R153&lt;&gt;"",R153,Q153)</f>
        <v/>
      </c>
      <c r="T153" s="63">
        <f>IF(OR(N153="",O153=0),0,N153*O153)</f>
        <v>0</v>
      </c>
      <c r="U153" s="63">
        <f>IF(COUNTIF($S$18:$S$498,L153)=0,"",SUMIF($S$18:$S$498,L153,$T$18:$T$498))</f>
        <v>0</v>
      </c>
      <c r="V153" s="63" t="str">
        <f>IF(H153="","",IFERROR(H153+U153,H153))</f>
        <v/>
      </c>
      <c r="W153" s="63" t="str">
        <f>IF(OR(V153="",C153=""),"",V153/C153)</f>
        <v/>
      </c>
      <c r="X153" s="11" t="str">
        <f>IF(A153="","",IF(AND(U153&lt;&gt;"",U153&lt;&gt;0,M153=0),"Replacement lot receiving wash basis",IF(J153="","",IF(J153&gt;=0,"",IF(O153=0,"No replacement buy found",IF(P153&gt;1,"Manual selection needed","Auto matched"))))))</f>
        <v/>
      </c>
      <c r="Z153" t="str">
        <f>IF(K153="Yes",COUNTIF($K$18:K153,"Yes"),"")</f>
        <v/>
      </c>
    </row>
    <row r="154" spans="1:26" ht="34.15" customHeight="1" x14ac:dyDescent="0.2">
      <c r="A154" s="9"/>
      <c r="B154" s="69"/>
      <c r="C154" s="30"/>
      <c r="D154" s="70"/>
      <c r="E154" s="69"/>
      <c r="F154" s="70"/>
      <c r="G154" s="30"/>
      <c r="H154" s="63" t="str">
        <f>IF(OR(C154="",D154=""),"",C154*D154)</f>
        <v/>
      </c>
      <c r="I154" s="63" t="str">
        <f>IF(OR(E154="",F154="",M154&lt;=0),"",M154*F154)</f>
        <v/>
      </c>
      <c r="J154" s="63" t="str">
        <f>IF(I154="","",I154-(M154*D154))</f>
        <v/>
      </c>
      <c r="K154" s="28" t="str">
        <f>IF(A154="","",IF(T154&gt;0,"Yes","No"))</f>
        <v/>
      </c>
      <c r="L154" s="28" t="str">
        <f>IF(A154="","",A154&amp;"-"&amp;TEXT(B154,"yyyymmdd")&amp;"-R"&amp;ROW())</f>
        <v/>
      </c>
      <c r="M154" s="28" t="str">
        <f>IF(OR(C154="",G154=""),"",C154-G154)</f>
        <v/>
      </c>
      <c r="N154" s="63" t="str">
        <f>IF(OR(M154&lt;=0,J154&gt;=0),"",ABS(J154)/M154)</f>
        <v/>
      </c>
      <c r="O154" s="63" t="str">
        <f>IF(OR(A154="",M154&lt;=0,J154&gt;=0),"",MIN(M154,SUMPRODUCT(($A$18:$A$379=A154)*(IFERROR($B$18:$B$379&gt;=E154-30,0))*(IFERROR($B$18:$B$379&lt;=E154+30,0))*($G$18:$G$379&gt;0)*($L$18:$L$379&lt;&gt;L154)*($G$18:$G$379))+SUMPRODUCT(($A$381:$A$498=A154)*(IFERROR($B$381:$B$498&gt;=E154-30,0))*(IFERROR($B$381:$B$498&lt;=E154+30,0))*($G$381:$G$498&gt;0)*($L$381:$L$498&lt;&gt;L154)*($G$381:$G$498))))</f>
        <v/>
      </c>
      <c r="P154" s="28" t="str">
        <f>IF(OR(A154="",M154&lt;=0,J154&gt;=0),"",SUMPRODUCT(($A$18:$A$379=A154)*(IFERROR($B$18:$B$379&gt;=E154-30,0))*(IFERROR($B$18:$B$379&lt;=E154+30,0))*($G$18:$G$379&gt;0)*($L$18:$L$379&lt;&gt;L154))+SUMPRODUCT(($A$381:$A$498=A154)*(IFERROR($B$381:$B$498&gt;=E154-30,0))*(IFERROR($B$381:$B$498&lt;=E154+30,0))*($G$381:$G$498&gt;0)*($L$381:$L$498&lt;&gt;L154)))</f>
        <v/>
      </c>
      <c r="Q154" s="31" t="str">
        <f>IF(P154=1,IFERROR(INDEX($L$18:$L$379,MATCH(1,INDEX(($A$18:$A$379=A154)*(IFERROR($B$18:$B$379&gt;=E154-30,0))*(IFERROR($B$18:$B$379&lt;=E154+30,0))*($G$18:$G$379&gt;0)*($L$18:$L$379&lt;&gt;L154),0),0)),IFERROR(INDEX($L$381:$L$498,MATCH(1,INDEX(($A$381:$A$498=A154)*(IFERROR($B$381:$B$498&gt;=E154-30,0))*(IFERROR($B$381:$B$498&lt;=E154+30,0))*($G$381:$G$498&gt;0)*($L$381:$L$498&lt;&gt;L154),0),0)),"")),"")</f>
        <v/>
      </c>
      <c r="R154" s="32"/>
      <c r="S154" s="31" t="str">
        <f>IF(R154&lt;&gt;"",R154,Q154)</f>
        <v/>
      </c>
      <c r="T154" s="63">
        <f>IF(OR(N154="",O154=0),0,N154*O154)</f>
        <v>0</v>
      </c>
      <c r="U154" s="63">
        <f>IF(COUNTIF($S$18:$S$498,L154)=0,"",SUMIF($S$18:$S$498,L154,$T$18:$T$498))</f>
        <v>0</v>
      </c>
      <c r="V154" s="63" t="str">
        <f>IF(H154="","",IFERROR(H154+U154,H154))</f>
        <v/>
      </c>
      <c r="W154" s="63" t="str">
        <f>IF(OR(V154="",C154=""),"",V154/C154)</f>
        <v/>
      </c>
      <c r="X154" s="11" t="str">
        <f>IF(A154="","",IF(AND(U154&lt;&gt;"",U154&lt;&gt;0,M154=0),"Replacement lot receiving wash basis",IF(J154="","",IF(J154&gt;=0,"",IF(O154=0,"No replacement buy found",IF(P154&gt;1,"Manual selection needed","Auto matched"))))))</f>
        <v/>
      </c>
      <c r="Z154" t="str">
        <f>IF(K154="Yes",COUNTIF($K$18:K154,"Yes"),"")</f>
        <v/>
      </c>
    </row>
    <row r="155" spans="1:26" ht="34.15" customHeight="1" x14ac:dyDescent="0.2">
      <c r="A155" s="9"/>
      <c r="B155" s="69"/>
      <c r="C155" s="30"/>
      <c r="D155" s="70"/>
      <c r="E155" s="69"/>
      <c r="F155" s="70"/>
      <c r="G155" s="30"/>
      <c r="H155" s="63" t="str">
        <f>IF(OR(C155="",D155=""),"",C155*D155)</f>
        <v/>
      </c>
      <c r="I155" s="63" t="str">
        <f>IF(OR(E155="",F155="",M155&lt;=0),"",M155*F155)</f>
        <v/>
      </c>
      <c r="J155" s="63" t="str">
        <f>IF(I155="","",I155-(M155*D155))</f>
        <v/>
      </c>
      <c r="K155" s="28" t="str">
        <f>IF(A155="","",IF(T155&gt;0,"Yes","No"))</f>
        <v/>
      </c>
      <c r="L155" s="28" t="str">
        <f>IF(A155="","",A155&amp;"-"&amp;TEXT(B155,"yyyymmdd")&amp;"-R"&amp;ROW())</f>
        <v/>
      </c>
      <c r="M155" s="28" t="str">
        <f>IF(OR(C155="",G155=""),"",C155-G155)</f>
        <v/>
      </c>
      <c r="N155" s="63" t="str">
        <f>IF(OR(M155&lt;=0,J155&gt;=0),"",ABS(J155)/M155)</f>
        <v/>
      </c>
      <c r="O155" s="63" t="str">
        <f>IF(OR(A155="",M155&lt;=0,J155&gt;=0),"",MIN(M155,SUMPRODUCT(($A$18:$A$379=A155)*(IFERROR($B$18:$B$379&gt;=E155-30,0))*(IFERROR($B$18:$B$379&lt;=E155+30,0))*($G$18:$G$379&gt;0)*($L$18:$L$379&lt;&gt;L155)*($G$18:$G$379))+SUMPRODUCT(($A$381:$A$498=A155)*(IFERROR($B$381:$B$498&gt;=E155-30,0))*(IFERROR($B$381:$B$498&lt;=E155+30,0))*($G$381:$G$498&gt;0)*($L$381:$L$498&lt;&gt;L155)*($G$381:$G$498))))</f>
        <v/>
      </c>
      <c r="P155" s="28" t="str">
        <f>IF(OR(A155="",M155&lt;=0,J155&gt;=0),"",SUMPRODUCT(($A$18:$A$379=A155)*(IFERROR($B$18:$B$379&gt;=E155-30,0))*(IFERROR($B$18:$B$379&lt;=E155+30,0))*($G$18:$G$379&gt;0)*($L$18:$L$379&lt;&gt;L155))+SUMPRODUCT(($A$381:$A$498=A155)*(IFERROR($B$381:$B$498&gt;=E155-30,0))*(IFERROR($B$381:$B$498&lt;=E155+30,0))*($G$381:$G$498&gt;0)*($L$381:$L$498&lt;&gt;L155)))</f>
        <v/>
      </c>
      <c r="Q155" s="31" t="str">
        <f>IF(P155=1,IFERROR(INDEX($L$18:$L$379,MATCH(1,INDEX(($A$18:$A$379=A155)*(IFERROR($B$18:$B$379&gt;=E155-30,0))*(IFERROR($B$18:$B$379&lt;=E155+30,0))*($G$18:$G$379&gt;0)*($L$18:$L$379&lt;&gt;L155),0),0)),IFERROR(INDEX($L$381:$L$498,MATCH(1,INDEX(($A$381:$A$498=A155)*(IFERROR($B$381:$B$498&gt;=E155-30,0))*(IFERROR($B$381:$B$498&lt;=E155+30,0))*($G$381:$G$498&gt;0)*($L$381:$L$498&lt;&gt;L155),0),0)),"")),"")</f>
        <v/>
      </c>
      <c r="R155" s="32"/>
      <c r="S155" s="31" t="str">
        <f>IF(R155&lt;&gt;"",R155,Q155)</f>
        <v/>
      </c>
      <c r="T155" s="63">
        <f>IF(OR(N155="",O155=0),0,N155*O155)</f>
        <v>0</v>
      </c>
      <c r="U155" s="63">
        <f>IF(COUNTIF($S$18:$S$498,L155)=0,"",SUMIF($S$18:$S$498,L155,$T$18:$T$498))</f>
        <v>0</v>
      </c>
      <c r="V155" s="63" t="str">
        <f>IF(H155="","",IFERROR(H155+U155,H155))</f>
        <v/>
      </c>
      <c r="W155" s="63" t="str">
        <f>IF(OR(V155="",C155=""),"",V155/C155)</f>
        <v/>
      </c>
      <c r="X155" s="11" t="str">
        <f>IF(A155="","",IF(AND(U155&lt;&gt;"",U155&lt;&gt;0,M155=0),"Replacement lot receiving wash basis",IF(J155="","",IF(J155&gt;=0,"",IF(O155=0,"No replacement buy found",IF(P155&gt;1,"Manual selection needed","Auto matched"))))))</f>
        <v/>
      </c>
      <c r="Z155" t="str">
        <f>IF(K155="Yes",COUNTIF($K$18:K155,"Yes"),"")</f>
        <v/>
      </c>
    </row>
    <row r="156" spans="1:26" ht="34.15" customHeight="1" x14ac:dyDescent="0.2">
      <c r="A156" s="9"/>
      <c r="B156" s="69"/>
      <c r="C156" s="30"/>
      <c r="D156" s="70"/>
      <c r="E156" s="69"/>
      <c r="F156" s="70"/>
      <c r="G156" s="30"/>
      <c r="H156" s="63" t="str">
        <f>IF(OR(C156="",D156=""),"",C156*D156)</f>
        <v/>
      </c>
      <c r="I156" s="63" t="str">
        <f>IF(OR(E156="",F156="",M156&lt;=0),"",M156*F156)</f>
        <v/>
      </c>
      <c r="J156" s="63" t="str">
        <f>IF(I156="","",I156-(M156*D156))</f>
        <v/>
      </c>
      <c r="K156" s="28" t="str">
        <f>IF(A156="","",IF(T156&gt;0,"Yes","No"))</f>
        <v/>
      </c>
      <c r="L156" s="28" t="str">
        <f>IF(A156="","",A156&amp;"-"&amp;TEXT(B156,"yyyymmdd")&amp;"-R"&amp;ROW())</f>
        <v/>
      </c>
      <c r="M156" s="28" t="str">
        <f>IF(OR(C156="",G156=""),"",C156-G156)</f>
        <v/>
      </c>
      <c r="N156" s="63" t="str">
        <f>IF(OR(M156&lt;=0,J156&gt;=0),"",ABS(J156)/M156)</f>
        <v/>
      </c>
      <c r="O156" s="63" t="str">
        <f>IF(OR(A156="",M156&lt;=0,J156&gt;=0),"",MIN(M156,SUMPRODUCT(($A$18:$A$379=A156)*(IFERROR($B$18:$B$379&gt;=E156-30,0))*(IFERROR($B$18:$B$379&lt;=E156+30,0))*($G$18:$G$379&gt;0)*($L$18:$L$379&lt;&gt;L156)*($G$18:$G$379))+SUMPRODUCT(($A$381:$A$498=A156)*(IFERROR($B$381:$B$498&gt;=E156-30,0))*(IFERROR($B$381:$B$498&lt;=E156+30,0))*($G$381:$G$498&gt;0)*($L$381:$L$498&lt;&gt;L156)*($G$381:$G$498))))</f>
        <v/>
      </c>
      <c r="P156" s="28" t="str">
        <f>IF(OR(A156="",M156&lt;=0,J156&gt;=0),"",SUMPRODUCT(($A$18:$A$379=A156)*(IFERROR($B$18:$B$379&gt;=E156-30,0))*(IFERROR($B$18:$B$379&lt;=E156+30,0))*($G$18:$G$379&gt;0)*($L$18:$L$379&lt;&gt;L156))+SUMPRODUCT(($A$381:$A$498=A156)*(IFERROR($B$381:$B$498&gt;=E156-30,0))*(IFERROR($B$381:$B$498&lt;=E156+30,0))*($G$381:$G$498&gt;0)*($L$381:$L$498&lt;&gt;L156)))</f>
        <v/>
      </c>
      <c r="Q156" s="31" t="str">
        <f>IF(P156=1,IFERROR(INDEX($L$18:$L$379,MATCH(1,INDEX(($A$18:$A$379=A156)*(IFERROR($B$18:$B$379&gt;=E156-30,0))*(IFERROR($B$18:$B$379&lt;=E156+30,0))*($G$18:$G$379&gt;0)*($L$18:$L$379&lt;&gt;L156),0),0)),IFERROR(INDEX($L$381:$L$498,MATCH(1,INDEX(($A$381:$A$498=A156)*(IFERROR($B$381:$B$498&gt;=E156-30,0))*(IFERROR($B$381:$B$498&lt;=E156+30,0))*($G$381:$G$498&gt;0)*($L$381:$L$498&lt;&gt;L156),0),0)),"")),"")</f>
        <v/>
      </c>
      <c r="R156" s="32"/>
      <c r="S156" s="31" t="str">
        <f>IF(R156&lt;&gt;"",R156,Q156)</f>
        <v/>
      </c>
      <c r="T156" s="63">
        <f>IF(OR(N156="",O156=0),0,N156*O156)</f>
        <v>0</v>
      </c>
      <c r="U156" s="63">
        <f>IF(COUNTIF($S$18:$S$498,L156)=0,"",SUMIF($S$18:$S$498,L156,$T$18:$T$498))</f>
        <v>0</v>
      </c>
      <c r="V156" s="63" t="str">
        <f>IF(H156="","",IFERROR(H156+U156,H156))</f>
        <v/>
      </c>
      <c r="W156" s="63" t="str">
        <f>IF(OR(V156="",C156=""),"",V156/C156)</f>
        <v/>
      </c>
      <c r="X156" s="11" t="str">
        <f>IF(A156="","",IF(AND(U156&lt;&gt;"",U156&lt;&gt;0,M156=0),"Replacement lot receiving wash basis",IF(J156="","",IF(J156&gt;=0,"",IF(O156=0,"No replacement buy found",IF(P156&gt;1,"Manual selection needed","Auto matched"))))))</f>
        <v/>
      </c>
      <c r="Z156" t="str">
        <f>IF(K156="Yes",COUNTIF($K$18:K156,"Yes"),"")</f>
        <v/>
      </c>
    </row>
    <row r="157" spans="1:26" ht="34.15" customHeight="1" x14ac:dyDescent="0.2">
      <c r="A157" s="9"/>
      <c r="B157" s="69"/>
      <c r="C157" s="30"/>
      <c r="D157" s="70"/>
      <c r="E157" s="69"/>
      <c r="F157" s="70"/>
      <c r="G157" s="30"/>
      <c r="H157" s="63" t="str">
        <f>IF(OR(C157="",D157=""),"",C157*D157)</f>
        <v/>
      </c>
      <c r="I157" s="63" t="str">
        <f>IF(OR(E157="",F157="",M157&lt;=0),"",M157*F157)</f>
        <v/>
      </c>
      <c r="J157" s="63" t="str">
        <f>IF(I157="","",I157-(M157*D157))</f>
        <v/>
      </c>
      <c r="K157" s="28" t="str">
        <f>IF(A157="","",IF(T157&gt;0,"Yes","No"))</f>
        <v/>
      </c>
      <c r="L157" s="28" t="str">
        <f>IF(A157="","",A157&amp;"-"&amp;TEXT(B157,"yyyymmdd")&amp;"-R"&amp;ROW())</f>
        <v/>
      </c>
      <c r="M157" s="28" t="str">
        <f>IF(OR(C157="",G157=""),"",C157-G157)</f>
        <v/>
      </c>
      <c r="N157" s="63" t="str">
        <f>IF(OR(M157&lt;=0,J157&gt;=0),"",ABS(J157)/M157)</f>
        <v/>
      </c>
      <c r="O157" s="63" t="str">
        <f>IF(OR(A157="",M157&lt;=0,J157&gt;=0),"",MIN(M157,SUMPRODUCT(($A$18:$A$379=A157)*(IFERROR($B$18:$B$379&gt;=E157-30,0))*(IFERROR($B$18:$B$379&lt;=E157+30,0))*($G$18:$G$379&gt;0)*($L$18:$L$379&lt;&gt;L157)*($G$18:$G$379))+SUMPRODUCT(($A$381:$A$498=A157)*(IFERROR($B$381:$B$498&gt;=E157-30,0))*(IFERROR($B$381:$B$498&lt;=E157+30,0))*($G$381:$G$498&gt;0)*($L$381:$L$498&lt;&gt;L157)*($G$381:$G$498))))</f>
        <v/>
      </c>
      <c r="P157" s="28" t="str">
        <f>IF(OR(A157="",M157&lt;=0,J157&gt;=0),"",SUMPRODUCT(($A$18:$A$379=A157)*(IFERROR($B$18:$B$379&gt;=E157-30,0))*(IFERROR($B$18:$B$379&lt;=E157+30,0))*($G$18:$G$379&gt;0)*($L$18:$L$379&lt;&gt;L157))+SUMPRODUCT(($A$381:$A$498=A157)*(IFERROR($B$381:$B$498&gt;=E157-30,0))*(IFERROR($B$381:$B$498&lt;=E157+30,0))*($G$381:$G$498&gt;0)*($L$381:$L$498&lt;&gt;L157)))</f>
        <v/>
      </c>
      <c r="Q157" s="31" t="str">
        <f>IF(P157=1,IFERROR(INDEX($L$18:$L$379,MATCH(1,INDEX(($A$18:$A$379=A157)*(IFERROR($B$18:$B$379&gt;=E157-30,0))*(IFERROR($B$18:$B$379&lt;=E157+30,0))*($G$18:$G$379&gt;0)*($L$18:$L$379&lt;&gt;L157),0),0)),IFERROR(INDEX($L$381:$L$498,MATCH(1,INDEX(($A$381:$A$498=A157)*(IFERROR($B$381:$B$498&gt;=E157-30,0))*(IFERROR($B$381:$B$498&lt;=E157+30,0))*($G$381:$G$498&gt;0)*($L$381:$L$498&lt;&gt;L157),0),0)),"")),"")</f>
        <v/>
      </c>
      <c r="R157" s="32"/>
      <c r="S157" s="31" t="str">
        <f>IF(R157&lt;&gt;"",R157,Q157)</f>
        <v/>
      </c>
      <c r="T157" s="63">
        <f>IF(OR(N157="",O157=0),0,N157*O157)</f>
        <v>0</v>
      </c>
      <c r="U157" s="63">
        <f>IF(COUNTIF($S$18:$S$498,L157)=0,"",SUMIF($S$18:$S$498,L157,$T$18:$T$498))</f>
        <v>0</v>
      </c>
      <c r="V157" s="63" t="str">
        <f>IF(H157="","",IFERROR(H157+U157,H157))</f>
        <v/>
      </c>
      <c r="W157" s="63" t="str">
        <f>IF(OR(V157="",C157=""),"",V157/C157)</f>
        <v/>
      </c>
      <c r="X157" s="11" t="str">
        <f>IF(A157="","",IF(AND(U157&lt;&gt;"",U157&lt;&gt;0,M157=0),"Replacement lot receiving wash basis",IF(J157="","",IF(J157&gt;=0,"",IF(O157=0,"No replacement buy found",IF(P157&gt;1,"Manual selection needed","Auto matched"))))))</f>
        <v/>
      </c>
      <c r="Z157" t="str">
        <f>IF(K157="Yes",COUNTIF($K$18:K157,"Yes"),"")</f>
        <v/>
      </c>
    </row>
    <row r="158" spans="1:26" ht="34.15" customHeight="1" x14ac:dyDescent="0.2">
      <c r="A158" s="9"/>
      <c r="B158" s="69"/>
      <c r="C158" s="30"/>
      <c r="D158" s="70"/>
      <c r="E158" s="69"/>
      <c r="F158" s="70"/>
      <c r="G158" s="30"/>
      <c r="H158" s="63" t="str">
        <f>IF(OR(C158="",D158=""),"",C158*D158)</f>
        <v/>
      </c>
      <c r="I158" s="63" t="str">
        <f>IF(OR(E158="",F158="",M158&lt;=0),"",M158*F158)</f>
        <v/>
      </c>
      <c r="J158" s="63" t="str">
        <f>IF(I158="","",I158-(M158*D158))</f>
        <v/>
      </c>
      <c r="K158" s="28" t="str">
        <f>IF(A158="","",IF(T158&gt;0,"Yes","No"))</f>
        <v/>
      </c>
      <c r="L158" s="28" t="str">
        <f>IF(A158="","",A158&amp;"-"&amp;TEXT(B158,"yyyymmdd")&amp;"-R"&amp;ROW())</f>
        <v/>
      </c>
      <c r="M158" s="28" t="str">
        <f>IF(OR(C158="",G158=""),"",C158-G158)</f>
        <v/>
      </c>
      <c r="N158" s="63" t="str">
        <f>IF(OR(M158&lt;=0,J158&gt;=0),"",ABS(J158)/M158)</f>
        <v/>
      </c>
      <c r="O158" s="63" t="str">
        <f>IF(OR(A158="",M158&lt;=0,J158&gt;=0),"",MIN(M158,SUMPRODUCT(($A$18:$A$379=A158)*(IFERROR($B$18:$B$379&gt;=E158-30,0))*(IFERROR($B$18:$B$379&lt;=E158+30,0))*($G$18:$G$379&gt;0)*($L$18:$L$379&lt;&gt;L158)*($G$18:$G$379))+SUMPRODUCT(($A$381:$A$498=A158)*(IFERROR($B$381:$B$498&gt;=E158-30,0))*(IFERROR($B$381:$B$498&lt;=E158+30,0))*($G$381:$G$498&gt;0)*($L$381:$L$498&lt;&gt;L158)*($G$381:$G$498))))</f>
        <v/>
      </c>
      <c r="P158" s="28" t="str">
        <f>IF(OR(A158="",M158&lt;=0,J158&gt;=0),"",SUMPRODUCT(($A$18:$A$379=A158)*(IFERROR($B$18:$B$379&gt;=E158-30,0))*(IFERROR($B$18:$B$379&lt;=E158+30,0))*($G$18:$G$379&gt;0)*($L$18:$L$379&lt;&gt;L158))+SUMPRODUCT(($A$381:$A$498=A158)*(IFERROR($B$381:$B$498&gt;=E158-30,0))*(IFERROR($B$381:$B$498&lt;=E158+30,0))*($G$381:$G$498&gt;0)*($L$381:$L$498&lt;&gt;L158)))</f>
        <v/>
      </c>
      <c r="Q158" s="31" t="str">
        <f>IF(P158=1,IFERROR(INDEX($L$18:$L$379,MATCH(1,INDEX(($A$18:$A$379=A158)*(IFERROR($B$18:$B$379&gt;=E158-30,0))*(IFERROR($B$18:$B$379&lt;=E158+30,0))*($G$18:$G$379&gt;0)*($L$18:$L$379&lt;&gt;L158),0),0)),IFERROR(INDEX($L$381:$L$498,MATCH(1,INDEX(($A$381:$A$498=A158)*(IFERROR($B$381:$B$498&gt;=E158-30,0))*(IFERROR($B$381:$B$498&lt;=E158+30,0))*($G$381:$G$498&gt;0)*($L$381:$L$498&lt;&gt;L158),0),0)),"")),"")</f>
        <v/>
      </c>
      <c r="R158" s="32"/>
      <c r="S158" s="31" t="str">
        <f>IF(R158&lt;&gt;"",R158,Q158)</f>
        <v/>
      </c>
      <c r="T158" s="63">
        <f>IF(OR(N158="",O158=0),0,N158*O158)</f>
        <v>0</v>
      </c>
      <c r="U158" s="63">
        <f>IF(COUNTIF($S$18:$S$498,L158)=0,"",SUMIF($S$18:$S$498,L158,$T$18:$T$498))</f>
        <v>0</v>
      </c>
      <c r="V158" s="63" t="str">
        <f>IF(H158="","",IFERROR(H158+U158,H158))</f>
        <v/>
      </c>
      <c r="W158" s="63" t="str">
        <f>IF(OR(V158="",C158=""),"",V158/C158)</f>
        <v/>
      </c>
      <c r="X158" s="11" t="str">
        <f>IF(A158="","",IF(AND(U158&lt;&gt;"",U158&lt;&gt;0,M158=0),"Replacement lot receiving wash basis",IF(J158="","",IF(J158&gt;=0,"",IF(O158=0,"No replacement buy found",IF(P158&gt;1,"Manual selection needed","Auto matched"))))))</f>
        <v/>
      </c>
      <c r="Z158" t="str">
        <f>IF(K158="Yes",COUNTIF($K$18:K158,"Yes"),"")</f>
        <v/>
      </c>
    </row>
    <row r="159" spans="1:26" ht="34.15" customHeight="1" x14ac:dyDescent="0.2">
      <c r="A159" s="9"/>
      <c r="B159" s="69"/>
      <c r="C159" s="30"/>
      <c r="D159" s="70"/>
      <c r="E159" s="69"/>
      <c r="F159" s="70"/>
      <c r="G159" s="30"/>
      <c r="H159" s="63" t="str">
        <f>IF(OR(C159="",D159=""),"",C159*D159)</f>
        <v/>
      </c>
      <c r="I159" s="63" t="str">
        <f>IF(OR(E159="",F159="",M159&lt;=0),"",M159*F159)</f>
        <v/>
      </c>
      <c r="J159" s="63" t="str">
        <f>IF(I159="","",I159-(M159*D159))</f>
        <v/>
      </c>
      <c r="K159" s="28" t="str">
        <f>IF(A159="","",IF(T159&gt;0,"Yes","No"))</f>
        <v/>
      </c>
      <c r="L159" s="28" t="str">
        <f>IF(A159="","",A159&amp;"-"&amp;TEXT(B159,"yyyymmdd")&amp;"-R"&amp;ROW())</f>
        <v/>
      </c>
      <c r="M159" s="28" t="str">
        <f>IF(OR(C159="",G159=""),"",C159-G159)</f>
        <v/>
      </c>
      <c r="N159" s="63" t="str">
        <f>IF(OR(M159&lt;=0,J159&gt;=0),"",ABS(J159)/M159)</f>
        <v/>
      </c>
      <c r="O159" s="63" t="str">
        <f>IF(OR(A159="",M159&lt;=0,J159&gt;=0),"",MIN(M159,SUMPRODUCT(($A$18:$A$379=A159)*(IFERROR($B$18:$B$379&gt;=E159-30,0))*(IFERROR($B$18:$B$379&lt;=E159+30,0))*($G$18:$G$379&gt;0)*($L$18:$L$379&lt;&gt;L159)*($G$18:$G$379))+SUMPRODUCT(($A$381:$A$498=A159)*(IFERROR($B$381:$B$498&gt;=E159-30,0))*(IFERROR($B$381:$B$498&lt;=E159+30,0))*($G$381:$G$498&gt;0)*($L$381:$L$498&lt;&gt;L159)*($G$381:$G$498))))</f>
        <v/>
      </c>
      <c r="P159" s="28" t="str">
        <f>IF(OR(A159="",M159&lt;=0,J159&gt;=0),"",SUMPRODUCT(($A$18:$A$379=A159)*(IFERROR($B$18:$B$379&gt;=E159-30,0))*(IFERROR($B$18:$B$379&lt;=E159+30,0))*($G$18:$G$379&gt;0)*($L$18:$L$379&lt;&gt;L159))+SUMPRODUCT(($A$381:$A$498=A159)*(IFERROR($B$381:$B$498&gt;=E159-30,0))*(IFERROR($B$381:$B$498&lt;=E159+30,0))*($G$381:$G$498&gt;0)*($L$381:$L$498&lt;&gt;L159)))</f>
        <v/>
      </c>
      <c r="Q159" s="31" t="str">
        <f>IF(P159=1,IFERROR(INDEX($L$18:$L$379,MATCH(1,INDEX(($A$18:$A$379=A159)*(IFERROR($B$18:$B$379&gt;=E159-30,0))*(IFERROR($B$18:$B$379&lt;=E159+30,0))*($G$18:$G$379&gt;0)*($L$18:$L$379&lt;&gt;L159),0),0)),IFERROR(INDEX($L$381:$L$498,MATCH(1,INDEX(($A$381:$A$498=A159)*(IFERROR($B$381:$B$498&gt;=E159-30,0))*(IFERROR($B$381:$B$498&lt;=E159+30,0))*($G$381:$G$498&gt;0)*($L$381:$L$498&lt;&gt;L159),0),0)),"")),"")</f>
        <v/>
      </c>
      <c r="R159" s="32"/>
      <c r="S159" s="31" t="str">
        <f>IF(R159&lt;&gt;"",R159,Q159)</f>
        <v/>
      </c>
      <c r="T159" s="63">
        <f>IF(OR(N159="",O159=0),0,N159*O159)</f>
        <v>0</v>
      </c>
      <c r="U159" s="63">
        <f>IF(COUNTIF($S$18:$S$498,L159)=0,"",SUMIF($S$18:$S$498,L159,$T$18:$T$498))</f>
        <v>0</v>
      </c>
      <c r="V159" s="63" t="str">
        <f>IF(H159="","",IFERROR(H159+U159,H159))</f>
        <v/>
      </c>
      <c r="W159" s="63" t="str">
        <f>IF(OR(V159="",C159=""),"",V159/C159)</f>
        <v/>
      </c>
      <c r="X159" s="11" t="str">
        <f>IF(A159="","",IF(AND(U159&lt;&gt;"",U159&lt;&gt;0,M159=0),"Replacement lot receiving wash basis",IF(J159="","",IF(J159&gt;=0,"",IF(O159=0,"No replacement buy found",IF(P159&gt;1,"Manual selection needed","Auto matched"))))))</f>
        <v/>
      </c>
      <c r="Z159" t="str">
        <f>IF(K159="Yes",COUNTIF($K$18:K159,"Yes"),"")</f>
        <v/>
      </c>
    </row>
    <row r="160" spans="1:26" ht="34.15" customHeight="1" x14ac:dyDescent="0.2">
      <c r="A160" s="9"/>
      <c r="B160" s="69"/>
      <c r="C160" s="30"/>
      <c r="D160" s="70"/>
      <c r="E160" s="69"/>
      <c r="F160" s="70"/>
      <c r="G160" s="30"/>
      <c r="H160" s="63" t="str">
        <f>IF(OR(C160="",D160=""),"",C160*D160)</f>
        <v/>
      </c>
      <c r="I160" s="63" t="str">
        <f>IF(OR(E160="",F160="",M160&lt;=0),"",M160*F160)</f>
        <v/>
      </c>
      <c r="J160" s="63" t="str">
        <f>IF(I160="","",I160-(M160*D160))</f>
        <v/>
      </c>
      <c r="K160" s="28" t="str">
        <f>IF(A160="","",IF(T160&gt;0,"Yes","No"))</f>
        <v/>
      </c>
      <c r="L160" s="28" t="str">
        <f>IF(A160="","",A160&amp;"-"&amp;TEXT(B160,"yyyymmdd")&amp;"-R"&amp;ROW())</f>
        <v/>
      </c>
      <c r="M160" s="28" t="str">
        <f>IF(OR(C160="",G160=""),"",C160-G160)</f>
        <v/>
      </c>
      <c r="N160" s="63" t="str">
        <f>IF(OR(M160&lt;=0,J160&gt;=0),"",ABS(J160)/M160)</f>
        <v/>
      </c>
      <c r="O160" s="63" t="str">
        <f>IF(OR(A160="",M160&lt;=0,J160&gt;=0),"",MIN(M160,SUMPRODUCT(($A$18:$A$379=A160)*(IFERROR($B$18:$B$379&gt;=E160-30,0))*(IFERROR($B$18:$B$379&lt;=E160+30,0))*($G$18:$G$379&gt;0)*($L$18:$L$379&lt;&gt;L160)*($G$18:$G$379))+SUMPRODUCT(($A$381:$A$498=A160)*(IFERROR($B$381:$B$498&gt;=E160-30,0))*(IFERROR($B$381:$B$498&lt;=E160+30,0))*($G$381:$G$498&gt;0)*($L$381:$L$498&lt;&gt;L160)*($G$381:$G$498))))</f>
        <v/>
      </c>
      <c r="P160" s="28" t="str">
        <f>IF(OR(A160="",M160&lt;=0,J160&gt;=0),"",SUMPRODUCT(($A$18:$A$379=A160)*(IFERROR($B$18:$B$379&gt;=E160-30,0))*(IFERROR($B$18:$B$379&lt;=E160+30,0))*($G$18:$G$379&gt;0)*($L$18:$L$379&lt;&gt;L160))+SUMPRODUCT(($A$381:$A$498=A160)*(IFERROR($B$381:$B$498&gt;=E160-30,0))*(IFERROR($B$381:$B$498&lt;=E160+30,0))*($G$381:$G$498&gt;0)*($L$381:$L$498&lt;&gt;L160)))</f>
        <v/>
      </c>
      <c r="Q160" s="31" t="str">
        <f>IF(P160=1,IFERROR(INDEX($L$18:$L$379,MATCH(1,INDEX(($A$18:$A$379=A160)*(IFERROR($B$18:$B$379&gt;=E160-30,0))*(IFERROR($B$18:$B$379&lt;=E160+30,0))*($G$18:$G$379&gt;0)*($L$18:$L$379&lt;&gt;L160),0),0)),IFERROR(INDEX($L$381:$L$498,MATCH(1,INDEX(($A$381:$A$498=A160)*(IFERROR($B$381:$B$498&gt;=E160-30,0))*(IFERROR($B$381:$B$498&lt;=E160+30,0))*($G$381:$G$498&gt;0)*($L$381:$L$498&lt;&gt;L160),0),0)),"")),"")</f>
        <v/>
      </c>
      <c r="R160" s="32"/>
      <c r="S160" s="31" t="str">
        <f>IF(R160&lt;&gt;"",R160,Q160)</f>
        <v/>
      </c>
      <c r="T160" s="63">
        <f>IF(OR(N160="",O160=0),0,N160*O160)</f>
        <v>0</v>
      </c>
      <c r="U160" s="63">
        <f>IF(COUNTIF($S$18:$S$498,L160)=0,"",SUMIF($S$18:$S$498,L160,$T$18:$T$498))</f>
        <v>0</v>
      </c>
      <c r="V160" s="63" t="str">
        <f>IF(H160="","",IFERROR(H160+U160,H160))</f>
        <v/>
      </c>
      <c r="W160" s="63" t="str">
        <f>IF(OR(V160="",C160=""),"",V160/C160)</f>
        <v/>
      </c>
      <c r="X160" s="11" t="str">
        <f>IF(A160="","",IF(AND(U160&lt;&gt;"",U160&lt;&gt;0,M160=0),"Replacement lot receiving wash basis",IF(J160="","",IF(J160&gt;=0,"",IF(O160=0,"No replacement buy found",IF(P160&gt;1,"Manual selection needed","Auto matched"))))))</f>
        <v/>
      </c>
      <c r="Z160" t="str">
        <f>IF(K160="Yes",COUNTIF($K$18:K160,"Yes"),"")</f>
        <v/>
      </c>
    </row>
    <row r="161" spans="1:26" ht="34.15" customHeight="1" x14ac:dyDescent="0.2">
      <c r="A161" s="9"/>
      <c r="B161" s="69"/>
      <c r="C161" s="30"/>
      <c r="D161" s="70"/>
      <c r="E161" s="69"/>
      <c r="F161" s="70"/>
      <c r="G161" s="30"/>
      <c r="H161" s="63" t="str">
        <f>IF(OR(C161="",D161=""),"",C161*D161)</f>
        <v/>
      </c>
      <c r="I161" s="63" t="str">
        <f>IF(OR(E161="",F161="",M161&lt;=0),"",M161*F161)</f>
        <v/>
      </c>
      <c r="J161" s="63" t="str">
        <f>IF(I161="","",I161-(M161*D161))</f>
        <v/>
      </c>
      <c r="K161" s="28" t="str">
        <f>IF(A161="","",IF(T161&gt;0,"Yes","No"))</f>
        <v/>
      </c>
      <c r="L161" s="28" t="str">
        <f>IF(A161="","",A161&amp;"-"&amp;TEXT(B161,"yyyymmdd")&amp;"-R"&amp;ROW())</f>
        <v/>
      </c>
      <c r="M161" s="28" t="str">
        <f>IF(OR(C161="",G161=""),"",C161-G161)</f>
        <v/>
      </c>
      <c r="N161" s="63" t="str">
        <f>IF(OR(M161&lt;=0,J161&gt;=0),"",ABS(J161)/M161)</f>
        <v/>
      </c>
      <c r="O161" s="63" t="str">
        <f>IF(OR(A161="",M161&lt;=0,J161&gt;=0),"",MIN(M161,SUMPRODUCT(($A$18:$A$379=A161)*(IFERROR($B$18:$B$379&gt;=E161-30,0))*(IFERROR($B$18:$B$379&lt;=E161+30,0))*($G$18:$G$379&gt;0)*($L$18:$L$379&lt;&gt;L161)*($G$18:$G$379))+SUMPRODUCT(($A$381:$A$498=A161)*(IFERROR($B$381:$B$498&gt;=E161-30,0))*(IFERROR($B$381:$B$498&lt;=E161+30,0))*($G$381:$G$498&gt;0)*($L$381:$L$498&lt;&gt;L161)*($G$381:$G$498))))</f>
        <v/>
      </c>
      <c r="P161" s="28" t="str">
        <f>IF(OR(A161="",M161&lt;=0,J161&gt;=0),"",SUMPRODUCT(($A$18:$A$379=A161)*(IFERROR($B$18:$B$379&gt;=E161-30,0))*(IFERROR($B$18:$B$379&lt;=E161+30,0))*($G$18:$G$379&gt;0)*($L$18:$L$379&lt;&gt;L161))+SUMPRODUCT(($A$381:$A$498=A161)*(IFERROR($B$381:$B$498&gt;=E161-30,0))*(IFERROR($B$381:$B$498&lt;=E161+30,0))*($G$381:$G$498&gt;0)*($L$381:$L$498&lt;&gt;L161)))</f>
        <v/>
      </c>
      <c r="Q161" s="31" t="str">
        <f>IF(P161=1,IFERROR(INDEX($L$18:$L$379,MATCH(1,INDEX(($A$18:$A$379=A161)*(IFERROR($B$18:$B$379&gt;=E161-30,0))*(IFERROR($B$18:$B$379&lt;=E161+30,0))*($G$18:$G$379&gt;0)*($L$18:$L$379&lt;&gt;L161),0),0)),IFERROR(INDEX($L$381:$L$498,MATCH(1,INDEX(($A$381:$A$498=A161)*(IFERROR($B$381:$B$498&gt;=E161-30,0))*(IFERROR($B$381:$B$498&lt;=E161+30,0))*($G$381:$G$498&gt;0)*($L$381:$L$498&lt;&gt;L161),0),0)),"")),"")</f>
        <v/>
      </c>
      <c r="R161" s="32"/>
      <c r="S161" s="31" t="str">
        <f>IF(R161&lt;&gt;"",R161,Q161)</f>
        <v/>
      </c>
      <c r="T161" s="63">
        <f>IF(OR(N161="",O161=0),0,N161*O161)</f>
        <v>0</v>
      </c>
      <c r="U161" s="63">
        <f>IF(COUNTIF($S$18:$S$498,L161)=0,"",SUMIF($S$18:$S$498,L161,$T$18:$T$498))</f>
        <v>0</v>
      </c>
      <c r="V161" s="63" t="str">
        <f>IF(H161="","",IFERROR(H161+U161,H161))</f>
        <v/>
      </c>
      <c r="W161" s="63" t="str">
        <f>IF(OR(V161="",C161=""),"",V161/C161)</f>
        <v/>
      </c>
      <c r="X161" s="11" t="str">
        <f>IF(A161="","",IF(AND(U161&lt;&gt;"",U161&lt;&gt;0,M161=0),"Replacement lot receiving wash basis",IF(J161="","",IF(J161&gt;=0,"",IF(O161=0,"No replacement buy found",IF(P161&gt;1,"Manual selection needed","Auto matched"))))))</f>
        <v/>
      </c>
      <c r="Z161" t="str">
        <f>IF(K161="Yes",COUNTIF($K$18:K161,"Yes"),"")</f>
        <v/>
      </c>
    </row>
    <row r="162" spans="1:26" ht="34.15" customHeight="1" x14ac:dyDescent="0.2">
      <c r="A162" s="9"/>
      <c r="B162" s="69"/>
      <c r="C162" s="30"/>
      <c r="D162" s="70"/>
      <c r="E162" s="69"/>
      <c r="F162" s="70"/>
      <c r="G162" s="30"/>
      <c r="H162" s="63" t="str">
        <f>IF(OR(C162="",D162=""),"",C162*D162)</f>
        <v/>
      </c>
      <c r="I162" s="63" t="str">
        <f>IF(OR(E162="",F162="",M162&lt;=0),"",M162*F162)</f>
        <v/>
      </c>
      <c r="J162" s="63" t="str">
        <f>IF(I162="","",I162-(M162*D162))</f>
        <v/>
      </c>
      <c r="K162" s="28" t="str">
        <f>IF(A162="","",IF(T162&gt;0,"Yes","No"))</f>
        <v/>
      </c>
      <c r="L162" s="28" t="str">
        <f>IF(A162="","",A162&amp;"-"&amp;TEXT(B162,"yyyymmdd")&amp;"-R"&amp;ROW())</f>
        <v/>
      </c>
      <c r="M162" s="28" t="str">
        <f>IF(OR(C162="",G162=""),"",C162-G162)</f>
        <v/>
      </c>
      <c r="N162" s="63" t="str">
        <f>IF(OR(M162&lt;=0,J162&gt;=0),"",ABS(J162)/M162)</f>
        <v/>
      </c>
      <c r="O162" s="63" t="str">
        <f>IF(OR(A162="",M162&lt;=0,J162&gt;=0),"",MIN(M162,SUMPRODUCT(($A$18:$A$379=A162)*(IFERROR($B$18:$B$379&gt;=E162-30,0))*(IFERROR($B$18:$B$379&lt;=E162+30,0))*($G$18:$G$379&gt;0)*($L$18:$L$379&lt;&gt;L162)*($G$18:$G$379))+SUMPRODUCT(($A$381:$A$498=A162)*(IFERROR($B$381:$B$498&gt;=E162-30,0))*(IFERROR($B$381:$B$498&lt;=E162+30,0))*($G$381:$G$498&gt;0)*($L$381:$L$498&lt;&gt;L162)*($G$381:$G$498))))</f>
        <v/>
      </c>
      <c r="P162" s="28" t="str">
        <f>IF(OR(A162="",M162&lt;=0,J162&gt;=0),"",SUMPRODUCT(($A$18:$A$379=A162)*(IFERROR($B$18:$B$379&gt;=E162-30,0))*(IFERROR($B$18:$B$379&lt;=E162+30,0))*($G$18:$G$379&gt;0)*($L$18:$L$379&lt;&gt;L162))+SUMPRODUCT(($A$381:$A$498=A162)*(IFERROR($B$381:$B$498&gt;=E162-30,0))*(IFERROR($B$381:$B$498&lt;=E162+30,0))*($G$381:$G$498&gt;0)*($L$381:$L$498&lt;&gt;L162)))</f>
        <v/>
      </c>
      <c r="Q162" s="31" t="str">
        <f>IF(P162=1,IFERROR(INDEX($L$18:$L$379,MATCH(1,INDEX(($A$18:$A$379=A162)*(IFERROR($B$18:$B$379&gt;=E162-30,0))*(IFERROR($B$18:$B$379&lt;=E162+30,0))*($G$18:$G$379&gt;0)*($L$18:$L$379&lt;&gt;L162),0),0)),IFERROR(INDEX($L$381:$L$498,MATCH(1,INDEX(($A$381:$A$498=A162)*(IFERROR($B$381:$B$498&gt;=E162-30,0))*(IFERROR($B$381:$B$498&lt;=E162+30,0))*($G$381:$G$498&gt;0)*($L$381:$L$498&lt;&gt;L162),0),0)),"")),"")</f>
        <v/>
      </c>
      <c r="R162" s="32"/>
      <c r="S162" s="31" t="str">
        <f>IF(R162&lt;&gt;"",R162,Q162)</f>
        <v/>
      </c>
      <c r="T162" s="63">
        <f>IF(OR(N162="",O162=0),0,N162*O162)</f>
        <v>0</v>
      </c>
      <c r="U162" s="63">
        <f>IF(COUNTIF($S$18:$S$498,L162)=0,"",SUMIF($S$18:$S$498,L162,$T$18:$T$498))</f>
        <v>0</v>
      </c>
      <c r="V162" s="63" t="str">
        <f>IF(H162="","",IFERROR(H162+U162,H162))</f>
        <v/>
      </c>
      <c r="W162" s="63" t="str">
        <f>IF(OR(V162="",C162=""),"",V162/C162)</f>
        <v/>
      </c>
      <c r="X162" s="11" t="str">
        <f>IF(A162="","",IF(AND(U162&lt;&gt;"",U162&lt;&gt;0,M162=0),"Replacement lot receiving wash basis",IF(J162="","",IF(J162&gt;=0,"",IF(O162=0,"No replacement buy found",IF(P162&gt;1,"Manual selection needed","Auto matched"))))))</f>
        <v/>
      </c>
      <c r="Z162" t="str">
        <f>IF(K162="Yes",COUNTIF($K$18:K162,"Yes"),"")</f>
        <v/>
      </c>
    </row>
    <row r="163" spans="1:26" ht="34.15" customHeight="1" x14ac:dyDescent="0.2">
      <c r="A163" s="9"/>
      <c r="B163" s="69"/>
      <c r="C163" s="30"/>
      <c r="D163" s="70"/>
      <c r="E163" s="69"/>
      <c r="F163" s="70"/>
      <c r="G163" s="30"/>
      <c r="H163" s="63" t="str">
        <f>IF(OR(C163="",D163=""),"",C163*D163)</f>
        <v/>
      </c>
      <c r="I163" s="63" t="str">
        <f>IF(OR(E163="",F163="",M163&lt;=0),"",M163*F163)</f>
        <v/>
      </c>
      <c r="J163" s="63" t="str">
        <f>IF(I163="","",I163-(M163*D163))</f>
        <v/>
      </c>
      <c r="K163" s="28" t="str">
        <f>IF(A163="","",IF(T163&gt;0,"Yes","No"))</f>
        <v/>
      </c>
      <c r="L163" s="28" t="str">
        <f>IF(A163="","",A163&amp;"-"&amp;TEXT(B163,"yyyymmdd")&amp;"-R"&amp;ROW())</f>
        <v/>
      </c>
      <c r="M163" s="28" t="str">
        <f>IF(OR(C163="",G163=""),"",C163-G163)</f>
        <v/>
      </c>
      <c r="N163" s="63" t="str">
        <f>IF(OR(M163&lt;=0,J163&gt;=0),"",ABS(J163)/M163)</f>
        <v/>
      </c>
      <c r="O163" s="63" t="str">
        <f>IF(OR(A163="",M163&lt;=0,J163&gt;=0),"",MIN(M163,SUMPRODUCT(($A$18:$A$379=A163)*(IFERROR($B$18:$B$379&gt;=E163-30,0))*(IFERROR($B$18:$B$379&lt;=E163+30,0))*($G$18:$G$379&gt;0)*($L$18:$L$379&lt;&gt;L163)*($G$18:$G$379))+SUMPRODUCT(($A$381:$A$498=A163)*(IFERROR($B$381:$B$498&gt;=E163-30,0))*(IFERROR($B$381:$B$498&lt;=E163+30,0))*($G$381:$G$498&gt;0)*($L$381:$L$498&lt;&gt;L163)*($G$381:$G$498))))</f>
        <v/>
      </c>
      <c r="P163" s="28" t="str">
        <f>IF(OR(A163="",M163&lt;=0,J163&gt;=0),"",SUMPRODUCT(($A$18:$A$379=A163)*(IFERROR($B$18:$B$379&gt;=E163-30,0))*(IFERROR($B$18:$B$379&lt;=E163+30,0))*($G$18:$G$379&gt;0)*($L$18:$L$379&lt;&gt;L163))+SUMPRODUCT(($A$381:$A$498=A163)*(IFERROR($B$381:$B$498&gt;=E163-30,0))*(IFERROR($B$381:$B$498&lt;=E163+30,0))*($G$381:$G$498&gt;0)*($L$381:$L$498&lt;&gt;L163)))</f>
        <v/>
      </c>
      <c r="Q163" s="31" t="str">
        <f>IF(P163=1,IFERROR(INDEX($L$18:$L$379,MATCH(1,INDEX(($A$18:$A$379=A163)*(IFERROR($B$18:$B$379&gt;=E163-30,0))*(IFERROR($B$18:$B$379&lt;=E163+30,0))*($G$18:$G$379&gt;0)*($L$18:$L$379&lt;&gt;L163),0),0)),IFERROR(INDEX($L$381:$L$498,MATCH(1,INDEX(($A$381:$A$498=A163)*(IFERROR($B$381:$B$498&gt;=E163-30,0))*(IFERROR($B$381:$B$498&lt;=E163+30,0))*($G$381:$G$498&gt;0)*($L$381:$L$498&lt;&gt;L163),0),0)),"")),"")</f>
        <v/>
      </c>
      <c r="R163" s="32"/>
      <c r="S163" s="31" t="str">
        <f>IF(R163&lt;&gt;"",R163,Q163)</f>
        <v/>
      </c>
      <c r="T163" s="63">
        <f>IF(OR(N163="",O163=0),0,N163*O163)</f>
        <v>0</v>
      </c>
      <c r="U163" s="63">
        <f>IF(COUNTIF($S$18:$S$498,L163)=0,"",SUMIF($S$18:$S$498,L163,$T$18:$T$498))</f>
        <v>0</v>
      </c>
      <c r="V163" s="63" t="str">
        <f>IF(H163="","",IFERROR(H163+U163,H163))</f>
        <v/>
      </c>
      <c r="W163" s="63" t="str">
        <f>IF(OR(V163="",C163=""),"",V163/C163)</f>
        <v/>
      </c>
      <c r="X163" s="11" t="str">
        <f>IF(A163="","",IF(AND(U163&lt;&gt;"",U163&lt;&gt;0,M163=0),"Replacement lot receiving wash basis",IF(J163="","",IF(J163&gt;=0,"",IF(O163=0,"No replacement buy found",IF(P163&gt;1,"Manual selection needed","Auto matched"))))))</f>
        <v/>
      </c>
      <c r="Z163" t="str">
        <f>IF(K163="Yes",COUNTIF($K$18:K163,"Yes"),"")</f>
        <v/>
      </c>
    </row>
    <row r="164" spans="1:26" ht="34.15" customHeight="1" x14ac:dyDescent="0.2">
      <c r="A164" s="9"/>
      <c r="B164" s="69"/>
      <c r="C164" s="30"/>
      <c r="D164" s="70"/>
      <c r="E164" s="69"/>
      <c r="F164" s="70"/>
      <c r="G164" s="30"/>
      <c r="H164" s="63" t="str">
        <f>IF(OR(C164="",D164=""),"",C164*D164)</f>
        <v/>
      </c>
      <c r="I164" s="63" t="str">
        <f>IF(OR(E164="",F164="",M164&lt;=0),"",M164*F164)</f>
        <v/>
      </c>
      <c r="J164" s="63" t="str">
        <f>IF(I164="","",I164-(M164*D164))</f>
        <v/>
      </c>
      <c r="K164" s="28" t="str">
        <f>IF(A164="","",IF(T164&gt;0,"Yes","No"))</f>
        <v/>
      </c>
      <c r="L164" s="28" t="str">
        <f>IF(A164="","",A164&amp;"-"&amp;TEXT(B164,"yyyymmdd")&amp;"-R"&amp;ROW())</f>
        <v/>
      </c>
      <c r="M164" s="28" t="str">
        <f>IF(OR(C164="",G164=""),"",C164-G164)</f>
        <v/>
      </c>
      <c r="N164" s="63" t="str">
        <f>IF(OR(M164&lt;=0,J164&gt;=0),"",ABS(J164)/M164)</f>
        <v/>
      </c>
      <c r="O164" s="63" t="str">
        <f>IF(OR(A164="",M164&lt;=0,J164&gt;=0),"",MIN(M164,SUMPRODUCT(($A$18:$A$379=A164)*(IFERROR($B$18:$B$379&gt;=E164-30,0))*(IFERROR($B$18:$B$379&lt;=E164+30,0))*($G$18:$G$379&gt;0)*($L$18:$L$379&lt;&gt;L164)*($G$18:$G$379))+SUMPRODUCT(($A$381:$A$498=A164)*(IFERROR($B$381:$B$498&gt;=E164-30,0))*(IFERROR($B$381:$B$498&lt;=E164+30,0))*($G$381:$G$498&gt;0)*($L$381:$L$498&lt;&gt;L164)*($G$381:$G$498))))</f>
        <v/>
      </c>
      <c r="P164" s="28" t="str">
        <f>IF(OR(A164="",M164&lt;=0,J164&gt;=0),"",SUMPRODUCT(($A$18:$A$379=A164)*(IFERROR($B$18:$B$379&gt;=E164-30,0))*(IFERROR($B$18:$B$379&lt;=E164+30,0))*($G$18:$G$379&gt;0)*($L$18:$L$379&lt;&gt;L164))+SUMPRODUCT(($A$381:$A$498=A164)*(IFERROR($B$381:$B$498&gt;=E164-30,0))*(IFERROR($B$381:$B$498&lt;=E164+30,0))*($G$381:$G$498&gt;0)*($L$381:$L$498&lt;&gt;L164)))</f>
        <v/>
      </c>
      <c r="Q164" s="31" t="str">
        <f>IF(P164=1,IFERROR(INDEX($L$18:$L$379,MATCH(1,INDEX(($A$18:$A$379=A164)*(IFERROR($B$18:$B$379&gt;=E164-30,0))*(IFERROR($B$18:$B$379&lt;=E164+30,0))*($G$18:$G$379&gt;0)*($L$18:$L$379&lt;&gt;L164),0),0)),IFERROR(INDEX($L$381:$L$498,MATCH(1,INDEX(($A$381:$A$498=A164)*(IFERROR($B$381:$B$498&gt;=E164-30,0))*(IFERROR($B$381:$B$498&lt;=E164+30,0))*($G$381:$G$498&gt;0)*($L$381:$L$498&lt;&gt;L164),0),0)),"")),"")</f>
        <v/>
      </c>
      <c r="R164" s="32"/>
      <c r="S164" s="31" t="str">
        <f>IF(R164&lt;&gt;"",R164,Q164)</f>
        <v/>
      </c>
      <c r="T164" s="63">
        <f>IF(OR(N164="",O164=0),0,N164*O164)</f>
        <v>0</v>
      </c>
      <c r="U164" s="63">
        <f>IF(COUNTIF($S$18:$S$498,L164)=0,"",SUMIF($S$18:$S$498,L164,$T$18:$T$498))</f>
        <v>0</v>
      </c>
      <c r="V164" s="63" t="str">
        <f>IF(H164="","",IFERROR(H164+U164,H164))</f>
        <v/>
      </c>
      <c r="W164" s="63" t="str">
        <f>IF(OR(V164="",C164=""),"",V164/C164)</f>
        <v/>
      </c>
      <c r="X164" s="11" t="str">
        <f>IF(A164="","",IF(AND(U164&lt;&gt;"",U164&lt;&gt;0,M164=0),"Replacement lot receiving wash basis",IF(J164="","",IF(J164&gt;=0,"",IF(O164=0,"No replacement buy found",IF(P164&gt;1,"Manual selection needed","Auto matched"))))))</f>
        <v/>
      </c>
      <c r="Z164" t="str">
        <f>IF(K164="Yes",COUNTIF($K$18:K164,"Yes"),"")</f>
        <v/>
      </c>
    </row>
    <row r="165" spans="1:26" ht="34.15" customHeight="1" x14ac:dyDescent="0.2">
      <c r="A165" s="9"/>
      <c r="B165" s="69"/>
      <c r="C165" s="30"/>
      <c r="D165" s="70"/>
      <c r="E165" s="69"/>
      <c r="F165" s="70"/>
      <c r="G165" s="30"/>
      <c r="H165" s="63" t="str">
        <f>IF(OR(C165="",D165=""),"",C165*D165)</f>
        <v/>
      </c>
      <c r="I165" s="63" t="str">
        <f>IF(OR(E165="",F165="",M165&lt;=0),"",M165*F165)</f>
        <v/>
      </c>
      <c r="J165" s="63" t="str">
        <f>IF(I165="","",I165-(M165*D165))</f>
        <v/>
      </c>
      <c r="K165" s="28" t="str">
        <f>IF(A165="","",IF(T165&gt;0,"Yes","No"))</f>
        <v/>
      </c>
      <c r="L165" s="28" t="str">
        <f>IF(A165="","",A165&amp;"-"&amp;TEXT(B165,"yyyymmdd")&amp;"-R"&amp;ROW())</f>
        <v/>
      </c>
      <c r="M165" s="28" t="str">
        <f>IF(OR(C165="",G165=""),"",C165-G165)</f>
        <v/>
      </c>
      <c r="N165" s="63" t="str">
        <f>IF(OR(M165&lt;=0,J165&gt;=0),"",ABS(J165)/M165)</f>
        <v/>
      </c>
      <c r="O165" s="63" t="str">
        <f>IF(OR(A165="",M165&lt;=0,J165&gt;=0),"",MIN(M165,SUMPRODUCT(($A$18:$A$379=A165)*(IFERROR($B$18:$B$379&gt;=E165-30,0))*(IFERROR($B$18:$B$379&lt;=E165+30,0))*($G$18:$G$379&gt;0)*($L$18:$L$379&lt;&gt;L165)*($G$18:$G$379))+SUMPRODUCT(($A$381:$A$498=A165)*(IFERROR($B$381:$B$498&gt;=E165-30,0))*(IFERROR($B$381:$B$498&lt;=E165+30,0))*($G$381:$G$498&gt;0)*($L$381:$L$498&lt;&gt;L165)*($G$381:$G$498))))</f>
        <v/>
      </c>
      <c r="P165" s="28" t="str">
        <f>IF(OR(A165="",M165&lt;=0,J165&gt;=0),"",SUMPRODUCT(($A$18:$A$379=A165)*(IFERROR($B$18:$B$379&gt;=E165-30,0))*(IFERROR($B$18:$B$379&lt;=E165+30,0))*($G$18:$G$379&gt;0)*($L$18:$L$379&lt;&gt;L165))+SUMPRODUCT(($A$381:$A$498=A165)*(IFERROR($B$381:$B$498&gt;=E165-30,0))*(IFERROR($B$381:$B$498&lt;=E165+30,0))*($G$381:$G$498&gt;0)*($L$381:$L$498&lt;&gt;L165)))</f>
        <v/>
      </c>
      <c r="Q165" s="31" t="str">
        <f>IF(P165=1,IFERROR(INDEX($L$18:$L$379,MATCH(1,INDEX(($A$18:$A$379=A165)*(IFERROR($B$18:$B$379&gt;=E165-30,0))*(IFERROR($B$18:$B$379&lt;=E165+30,0))*($G$18:$G$379&gt;0)*($L$18:$L$379&lt;&gt;L165),0),0)),IFERROR(INDEX($L$381:$L$498,MATCH(1,INDEX(($A$381:$A$498=A165)*(IFERROR($B$381:$B$498&gt;=E165-30,0))*(IFERROR($B$381:$B$498&lt;=E165+30,0))*($G$381:$G$498&gt;0)*($L$381:$L$498&lt;&gt;L165),0),0)),"")),"")</f>
        <v/>
      </c>
      <c r="R165" s="32"/>
      <c r="S165" s="31" t="str">
        <f>IF(R165&lt;&gt;"",R165,Q165)</f>
        <v/>
      </c>
      <c r="T165" s="63">
        <f>IF(OR(N165="",O165=0),0,N165*O165)</f>
        <v>0</v>
      </c>
      <c r="U165" s="63">
        <f>IF(COUNTIF($S$18:$S$498,L165)=0,"",SUMIF($S$18:$S$498,L165,$T$18:$T$498))</f>
        <v>0</v>
      </c>
      <c r="V165" s="63" t="str">
        <f>IF(H165="","",IFERROR(H165+U165,H165))</f>
        <v/>
      </c>
      <c r="W165" s="63" t="str">
        <f>IF(OR(V165="",C165=""),"",V165/C165)</f>
        <v/>
      </c>
      <c r="X165" s="11" t="str">
        <f>IF(A165="","",IF(AND(U165&lt;&gt;"",U165&lt;&gt;0,M165=0),"Replacement lot receiving wash basis",IF(J165="","",IF(J165&gt;=0,"",IF(O165=0,"No replacement buy found",IF(P165&gt;1,"Manual selection needed","Auto matched"))))))</f>
        <v/>
      </c>
      <c r="Z165" t="str">
        <f>IF(K165="Yes",COUNTIF($K$18:K165,"Yes"),"")</f>
        <v/>
      </c>
    </row>
    <row r="166" spans="1:26" ht="34.15" customHeight="1" x14ac:dyDescent="0.2">
      <c r="A166" s="9"/>
      <c r="B166" s="69"/>
      <c r="C166" s="30"/>
      <c r="D166" s="70"/>
      <c r="E166" s="69"/>
      <c r="F166" s="70"/>
      <c r="G166" s="30"/>
      <c r="H166" s="63" t="str">
        <f>IF(OR(C166="",D166=""),"",C166*D166)</f>
        <v/>
      </c>
      <c r="I166" s="63" t="str">
        <f>IF(OR(E166="",F166="",M166&lt;=0),"",M166*F166)</f>
        <v/>
      </c>
      <c r="J166" s="63" t="str">
        <f>IF(I166="","",I166-(M166*D166))</f>
        <v/>
      </c>
      <c r="K166" s="28" t="str">
        <f>IF(A166="","",IF(T166&gt;0,"Yes","No"))</f>
        <v/>
      </c>
      <c r="L166" s="28" t="str">
        <f>IF(A166="","",A166&amp;"-"&amp;TEXT(B166,"yyyymmdd")&amp;"-R"&amp;ROW())</f>
        <v/>
      </c>
      <c r="M166" s="28" t="str">
        <f>IF(OR(C166="",G166=""),"",C166-G166)</f>
        <v/>
      </c>
      <c r="N166" s="63" t="str">
        <f>IF(OR(M166&lt;=0,J166&gt;=0),"",ABS(J166)/M166)</f>
        <v/>
      </c>
      <c r="O166" s="63" t="str">
        <f>IF(OR(A166="",M166&lt;=0,J166&gt;=0),"",MIN(M166,SUMPRODUCT(($A$18:$A$379=A166)*(IFERROR($B$18:$B$379&gt;=E166-30,0))*(IFERROR($B$18:$B$379&lt;=E166+30,0))*($G$18:$G$379&gt;0)*($L$18:$L$379&lt;&gt;L166)*($G$18:$G$379))+SUMPRODUCT(($A$381:$A$498=A166)*(IFERROR($B$381:$B$498&gt;=E166-30,0))*(IFERROR($B$381:$B$498&lt;=E166+30,0))*($G$381:$G$498&gt;0)*($L$381:$L$498&lt;&gt;L166)*($G$381:$G$498))))</f>
        <v/>
      </c>
      <c r="P166" s="28" t="str">
        <f>IF(OR(A166="",M166&lt;=0,J166&gt;=0),"",SUMPRODUCT(($A$18:$A$379=A166)*(IFERROR($B$18:$B$379&gt;=E166-30,0))*(IFERROR($B$18:$B$379&lt;=E166+30,0))*($G$18:$G$379&gt;0)*($L$18:$L$379&lt;&gt;L166))+SUMPRODUCT(($A$381:$A$498=A166)*(IFERROR($B$381:$B$498&gt;=E166-30,0))*(IFERROR($B$381:$B$498&lt;=E166+30,0))*($G$381:$G$498&gt;0)*($L$381:$L$498&lt;&gt;L166)))</f>
        <v/>
      </c>
      <c r="Q166" s="31" t="str">
        <f>IF(P166=1,IFERROR(INDEX($L$18:$L$379,MATCH(1,INDEX(($A$18:$A$379=A166)*(IFERROR($B$18:$B$379&gt;=E166-30,0))*(IFERROR($B$18:$B$379&lt;=E166+30,0))*($G$18:$G$379&gt;0)*($L$18:$L$379&lt;&gt;L166),0),0)),IFERROR(INDEX($L$381:$L$498,MATCH(1,INDEX(($A$381:$A$498=A166)*(IFERROR($B$381:$B$498&gt;=E166-30,0))*(IFERROR($B$381:$B$498&lt;=E166+30,0))*($G$381:$G$498&gt;0)*($L$381:$L$498&lt;&gt;L166),0),0)),"")),"")</f>
        <v/>
      </c>
      <c r="R166" s="32"/>
      <c r="S166" s="31" t="str">
        <f>IF(R166&lt;&gt;"",R166,Q166)</f>
        <v/>
      </c>
      <c r="T166" s="63">
        <f>IF(OR(N166="",O166=0),0,N166*O166)</f>
        <v>0</v>
      </c>
      <c r="U166" s="63">
        <f>IF(COUNTIF($S$18:$S$498,L166)=0,"",SUMIF($S$18:$S$498,L166,$T$18:$T$498))</f>
        <v>0</v>
      </c>
      <c r="V166" s="63" t="str">
        <f>IF(H166="","",IFERROR(H166+U166,H166))</f>
        <v/>
      </c>
      <c r="W166" s="63" t="str">
        <f>IF(OR(V166="",C166=""),"",V166/C166)</f>
        <v/>
      </c>
      <c r="X166" s="11" t="str">
        <f>IF(A166="","",IF(AND(U166&lt;&gt;"",U166&lt;&gt;0,M166=0),"Replacement lot receiving wash basis",IF(J166="","",IF(J166&gt;=0,"",IF(O166=0,"No replacement buy found",IF(P166&gt;1,"Manual selection needed","Auto matched"))))))</f>
        <v/>
      </c>
      <c r="Z166" t="str">
        <f>IF(K166="Yes",COUNTIF($K$18:K166,"Yes"),"")</f>
        <v/>
      </c>
    </row>
    <row r="167" spans="1:26" ht="34.15" customHeight="1" x14ac:dyDescent="0.2">
      <c r="A167" s="9"/>
      <c r="B167" s="69"/>
      <c r="C167" s="30"/>
      <c r="D167" s="70"/>
      <c r="E167" s="69"/>
      <c r="F167" s="70"/>
      <c r="G167" s="30"/>
      <c r="H167" s="63" t="str">
        <f>IF(OR(C167="",D167=""),"",C167*D167)</f>
        <v/>
      </c>
      <c r="I167" s="63" t="str">
        <f>IF(OR(E167="",F167="",M167&lt;=0),"",M167*F167)</f>
        <v/>
      </c>
      <c r="J167" s="63" t="str">
        <f>IF(I167="","",I167-(M167*D167))</f>
        <v/>
      </c>
      <c r="K167" s="28" t="str">
        <f>IF(A167="","",IF(T167&gt;0,"Yes","No"))</f>
        <v/>
      </c>
      <c r="L167" s="28" t="str">
        <f>IF(A167="","",A167&amp;"-"&amp;TEXT(B167,"yyyymmdd")&amp;"-R"&amp;ROW())</f>
        <v/>
      </c>
      <c r="M167" s="28" t="str">
        <f>IF(OR(C167="",G167=""),"",C167-G167)</f>
        <v/>
      </c>
      <c r="N167" s="63" t="str">
        <f>IF(OR(M167&lt;=0,J167&gt;=0),"",ABS(J167)/M167)</f>
        <v/>
      </c>
      <c r="O167" s="63" t="str">
        <f>IF(OR(A167="",M167&lt;=0,J167&gt;=0),"",MIN(M167,SUMPRODUCT(($A$18:$A$379=A167)*(IFERROR($B$18:$B$379&gt;=E167-30,0))*(IFERROR($B$18:$B$379&lt;=E167+30,0))*($G$18:$G$379&gt;0)*($L$18:$L$379&lt;&gt;L167)*($G$18:$G$379))+SUMPRODUCT(($A$381:$A$498=A167)*(IFERROR($B$381:$B$498&gt;=E167-30,0))*(IFERROR($B$381:$B$498&lt;=E167+30,0))*($G$381:$G$498&gt;0)*($L$381:$L$498&lt;&gt;L167)*($G$381:$G$498))))</f>
        <v/>
      </c>
      <c r="P167" s="28" t="str">
        <f>IF(OR(A167="",M167&lt;=0,J167&gt;=0),"",SUMPRODUCT(($A$18:$A$379=A167)*(IFERROR($B$18:$B$379&gt;=E167-30,0))*(IFERROR($B$18:$B$379&lt;=E167+30,0))*($G$18:$G$379&gt;0)*($L$18:$L$379&lt;&gt;L167))+SUMPRODUCT(($A$381:$A$498=A167)*(IFERROR($B$381:$B$498&gt;=E167-30,0))*(IFERROR($B$381:$B$498&lt;=E167+30,0))*($G$381:$G$498&gt;0)*($L$381:$L$498&lt;&gt;L167)))</f>
        <v/>
      </c>
      <c r="Q167" s="31" t="str">
        <f>IF(P167=1,IFERROR(INDEX($L$18:$L$379,MATCH(1,INDEX(($A$18:$A$379=A167)*(IFERROR($B$18:$B$379&gt;=E167-30,0))*(IFERROR($B$18:$B$379&lt;=E167+30,0))*($G$18:$G$379&gt;0)*($L$18:$L$379&lt;&gt;L167),0),0)),IFERROR(INDEX($L$381:$L$498,MATCH(1,INDEX(($A$381:$A$498=A167)*(IFERROR($B$381:$B$498&gt;=E167-30,0))*(IFERROR($B$381:$B$498&lt;=E167+30,0))*($G$381:$G$498&gt;0)*($L$381:$L$498&lt;&gt;L167),0),0)),"")),"")</f>
        <v/>
      </c>
      <c r="R167" s="32"/>
      <c r="S167" s="31" t="str">
        <f>IF(R167&lt;&gt;"",R167,Q167)</f>
        <v/>
      </c>
      <c r="T167" s="63">
        <f>IF(OR(N167="",O167=0),0,N167*O167)</f>
        <v>0</v>
      </c>
      <c r="U167" s="63">
        <f>IF(COUNTIF($S$18:$S$498,L167)=0,"",SUMIF($S$18:$S$498,L167,$T$18:$T$498))</f>
        <v>0</v>
      </c>
      <c r="V167" s="63" t="str">
        <f>IF(H167="","",IFERROR(H167+U167,H167))</f>
        <v/>
      </c>
      <c r="W167" s="63" t="str">
        <f>IF(OR(V167="",C167=""),"",V167/C167)</f>
        <v/>
      </c>
      <c r="X167" s="11" t="str">
        <f>IF(A167="","",IF(AND(U167&lt;&gt;"",U167&lt;&gt;0,M167=0),"Replacement lot receiving wash basis",IF(J167="","",IF(J167&gt;=0,"",IF(O167=0,"No replacement buy found",IF(P167&gt;1,"Manual selection needed","Auto matched"))))))</f>
        <v/>
      </c>
      <c r="Z167" t="str">
        <f>IF(K167="Yes",COUNTIF($K$18:K167,"Yes"),"")</f>
        <v/>
      </c>
    </row>
    <row r="168" spans="1:26" ht="34.15" customHeight="1" x14ac:dyDescent="0.2">
      <c r="A168" s="9"/>
      <c r="B168" s="69"/>
      <c r="C168" s="30"/>
      <c r="D168" s="70"/>
      <c r="E168" s="69"/>
      <c r="F168" s="70"/>
      <c r="G168" s="30"/>
      <c r="H168" s="63" t="str">
        <f>IF(OR(C168="",D168=""),"",C168*D168)</f>
        <v/>
      </c>
      <c r="I168" s="63" t="str">
        <f>IF(OR(E168="",F168="",M168&lt;=0),"",M168*F168)</f>
        <v/>
      </c>
      <c r="J168" s="63" t="str">
        <f>IF(I168="","",I168-(M168*D168))</f>
        <v/>
      </c>
      <c r="K168" s="28" t="str">
        <f>IF(A168="","",IF(T168&gt;0,"Yes","No"))</f>
        <v/>
      </c>
      <c r="L168" s="28" t="str">
        <f>IF(A168="","",A168&amp;"-"&amp;TEXT(B168,"yyyymmdd")&amp;"-R"&amp;ROW())</f>
        <v/>
      </c>
      <c r="M168" s="28" t="str">
        <f>IF(OR(C168="",G168=""),"",C168-G168)</f>
        <v/>
      </c>
      <c r="N168" s="63" t="str">
        <f>IF(OR(M168&lt;=0,J168&gt;=0),"",ABS(J168)/M168)</f>
        <v/>
      </c>
      <c r="O168" s="63" t="str">
        <f>IF(OR(A168="",M168&lt;=0,J168&gt;=0),"",MIN(M168,SUMPRODUCT(($A$18:$A$379=A168)*(IFERROR($B$18:$B$379&gt;=E168-30,0))*(IFERROR($B$18:$B$379&lt;=E168+30,0))*($G$18:$G$379&gt;0)*($L$18:$L$379&lt;&gt;L168)*($G$18:$G$379))+SUMPRODUCT(($A$381:$A$498=A168)*(IFERROR($B$381:$B$498&gt;=E168-30,0))*(IFERROR($B$381:$B$498&lt;=E168+30,0))*($G$381:$G$498&gt;0)*($L$381:$L$498&lt;&gt;L168)*($G$381:$G$498))))</f>
        <v/>
      </c>
      <c r="P168" s="28" t="str">
        <f>IF(OR(A168="",M168&lt;=0,J168&gt;=0),"",SUMPRODUCT(($A$18:$A$379=A168)*(IFERROR($B$18:$B$379&gt;=E168-30,0))*(IFERROR($B$18:$B$379&lt;=E168+30,0))*($G$18:$G$379&gt;0)*($L$18:$L$379&lt;&gt;L168))+SUMPRODUCT(($A$381:$A$498=A168)*(IFERROR($B$381:$B$498&gt;=E168-30,0))*(IFERROR($B$381:$B$498&lt;=E168+30,0))*($G$381:$G$498&gt;0)*($L$381:$L$498&lt;&gt;L168)))</f>
        <v/>
      </c>
      <c r="Q168" s="31" t="str">
        <f>IF(P168=1,IFERROR(INDEX($L$18:$L$379,MATCH(1,INDEX(($A$18:$A$379=A168)*(IFERROR($B$18:$B$379&gt;=E168-30,0))*(IFERROR($B$18:$B$379&lt;=E168+30,0))*($G$18:$G$379&gt;0)*($L$18:$L$379&lt;&gt;L168),0),0)),IFERROR(INDEX($L$381:$L$498,MATCH(1,INDEX(($A$381:$A$498=A168)*(IFERROR($B$381:$B$498&gt;=E168-30,0))*(IFERROR($B$381:$B$498&lt;=E168+30,0))*($G$381:$G$498&gt;0)*($L$381:$L$498&lt;&gt;L168),0),0)),"")),"")</f>
        <v/>
      </c>
      <c r="R168" s="32"/>
      <c r="S168" s="31" t="str">
        <f>IF(R168&lt;&gt;"",R168,Q168)</f>
        <v/>
      </c>
      <c r="T168" s="63">
        <f>IF(OR(N168="",O168=0),0,N168*O168)</f>
        <v>0</v>
      </c>
      <c r="U168" s="63">
        <f>IF(COUNTIF($S$18:$S$498,L168)=0,"",SUMIF($S$18:$S$498,L168,$T$18:$T$498))</f>
        <v>0</v>
      </c>
      <c r="V168" s="63" t="str">
        <f>IF(H168="","",IFERROR(H168+U168,H168))</f>
        <v/>
      </c>
      <c r="W168" s="63" t="str">
        <f>IF(OR(V168="",C168=""),"",V168/C168)</f>
        <v/>
      </c>
      <c r="X168" s="11" t="str">
        <f>IF(A168="","",IF(AND(U168&lt;&gt;"",U168&lt;&gt;0,M168=0),"Replacement lot receiving wash basis",IF(J168="","",IF(J168&gt;=0,"",IF(O168=0,"No replacement buy found",IF(P168&gt;1,"Manual selection needed","Auto matched"))))))</f>
        <v/>
      </c>
      <c r="Z168" t="str">
        <f>IF(K168="Yes",COUNTIF($K$18:K168,"Yes"),"")</f>
        <v/>
      </c>
    </row>
    <row r="169" spans="1:26" ht="34.15" customHeight="1" x14ac:dyDescent="0.2">
      <c r="A169" s="9"/>
      <c r="B169" s="69"/>
      <c r="C169" s="30"/>
      <c r="D169" s="70"/>
      <c r="E169" s="69"/>
      <c r="F169" s="70"/>
      <c r="G169" s="30"/>
      <c r="H169" s="63" t="str">
        <f>IF(OR(C169="",D169=""),"",C169*D169)</f>
        <v/>
      </c>
      <c r="I169" s="63" t="str">
        <f>IF(OR(E169="",F169="",M169&lt;=0),"",M169*F169)</f>
        <v/>
      </c>
      <c r="J169" s="63" t="str">
        <f>IF(I169="","",I169-(M169*D169))</f>
        <v/>
      </c>
      <c r="K169" s="28" t="str">
        <f>IF(A169="","",IF(T169&gt;0,"Yes","No"))</f>
        <v/>
      </c>
      <c r="L169" s="28" t="str">
        <f>IF(A169="","",A169&amp;"-"&amp;TEXT(B169,"yyyymmdd")&amp;"-R"&amp;ROW())</f>
        <v/>
      </c>
      <c r="M169" s="28" t="str">
        <f>IF(OR(C169="",G169=""),"",C169-G169)</f>
        <v/>
      </c>
      <c r="N169" s="63" t="str">
        <f>IF(OR(M169&lt;=0,J169&gt;=0),"",ABS(J169)/M169)</f>
        <v/>
      </c>
      <c r="O169" s="63" t="str">
        <f>IF(OR(A169="",M169&lt;=0,J169&gt;=0),"",MIN(M169,SUMPRODUCT(($A$18:$A$379=A169)*(IFERROR($B$18:$B$379&gt;=E169-30,0))*(IFERROR($B$18:$B$379&lt;=E169+30,0))*($G$18:$G$379&gt;0)*($L$18:$L$379&lt;&gt;L169)*($G$18:$G$379))+SUMPRODUCT(($A$381:$A$498=A169)*(IFERROR($B$381:$B$498&gt;=E169-30,0))*(IFERROR($B$381:$B$498&lt;=E169+30,0))*($G$381:$G$498&gt;0)*($L$381:$L$498&lt;&gt;L169)*($G$381:$G$498))))</f>
        <v/>
      </c>
      <c r="P169" s="28" t="str">
        <f>IF(OR(A169="",M169&lt;=0,J169&gt;=0),"",SUMPRODUCT(($A$18:$A$379=A169)*(IFERROR($B$18:$B$379&gt;=E169-30,0))*(IFERROR($B$18:$B$379&lt;=E169+30,0))*($G$18:$G$379&gt;0)*($L$18:$L$379&lt;&gt;L169))+SUMPRODUCT(($A$381:$A$498=A169)*(IFERROR($B$381:$B$498&gt;=E169-30,0))*(IFERROR($B$381:$B$498&lt;=E169+30,0))*($G$381:$G$498&gt;0)*($L$381:$L$498&lt;&gt;L169)))</f>
        <v/>
      </c>
      <c r="Q169" s="31" t="str">
        <f>IF(P169=1,IFERROR(INDEX($L$18:$L$379,MATCH(1,INDEX(($A$18:$A$379=A169)*(IFERROR($B$18:$B$379&gt;=E169-30,0))*(IFERROR($B$18:$B$379&lt;=E169+30,0))*($G$18:$G$379&gt;0)*($L$18:$L$379&lt;&gt;L169),0),0)),IFERROR(INDEX($L$381:$L$498,MATCH(1,INDEX(($A$381:$A$498=A169)*(IFERROR($B$381:$B$498&gt;=E169-30,0))*(IFERROR($B$381:$B$498&lt;=E169+30,0))*($G$381:$G$498&gt;0)*($L$381:$L$498&lt;&gt;L169),0),0)),"")),"")</f>
        <v/>
      </c>
      <c r="R169" s="32"/>
      <c r="S169" s="31" t="str">
        <f>IF(R169&lt;&gt;"",R169,Q169)</f>
        <v/>
      </c>
      <c r="T169" s="63">
        <f>IF(OR(N169="",O169=0),0,N169*O169)</f>
        <v>0</v>
      </c>
      <c r="U169" s="63">
        <f>IF(COUNTIF($S$18:$S$498,L169)=0,"",SUMIF($S$18:$S$498,L169,$T$18:$T$498))</f>
        <v>0</v>
      </c>
      <c r="V169" s="63" t="str">
        <f>IF(H169="","",IFERROR(H169+U169,H169))</f>
        <v/>
      </c>
      <c r="W169" s="63" t="str">
        <f>IF(OR(V169="",C169=""),"",V169/C169)</f>
        <v/>
      </c>
      <c r="X169" s="11" t="str">
        <f>IF(A169="","",IF(AND(U169&lt;&gt;"",U169&lt;&gt;0,M169=0),"Replacement lot receiving wash basis",IF(J169="","",IF(J169&gt;=0,"",IF(O169=0,"No replacement buy found",IF(P169&gt;1,"Manual selection needed","Auto matched"))))))</f>
        <v/>
      </c>
      <c r="Z169" t="str">
        <f>IF(K169="Yes",COUNTIF($K$18:K169,"Yes"),"")</f>
        <v/>
      </c>
    </row>
    <row r="170" spans="1:26" ht="34.15" customHeight="1" x14ac:dyDescent="0.2">
      <c r="A170" s="9"/>
      <c r="B170" s="69"/>
      <c r="C170" s="30"/>
      <c r="D170" s="70"/>
      <c r="E170" s="69"/>
      <c r="F170" s="70"/>
      <c r="G170" s="30"/>
      <c r="H170" s="63" t="str">
        <f>IF(OR(C170="",D170=""),"",C170*D170)</f>
        <v/>
      </c>
      <c r="I170" s="63" t="str">
        <f>IF(OR(E170="",F170="",M170&lt;=0),"",M170*F170)</f>
        <v/>
      </c>
      <c r="J170" s="63" t="str">
        <f>IF(I170="","",I170-(M170*D170))</f>
        <v/>
      </c>
      <c r="K170" s="28" t="str">
        <f>IF(A170="","",IF(T170&gt;0,"Yes","No"))</f>
        <v/>
      </c>
      <c r="L170" s="28" t="str">
        <f>IF(A170="","",A170&amp;"-"&amp;TEXT(B170,"yyyymmdd")&amp;"-R"&amp;ROW())</f>
        <v/>
      </c>
      <c r="M170" s="28" t="str">
        <f>IF(OR(C170="",G170=""),"",C170-G170)</f>
        <v/>
      </c>
      <c r="N170" s="63" t="str">
        <f>IF(OR(M170&lt;=0,J170&gt;=0),"",ABS(J170)/M170)</f>
        <v/>
      </c>
      <c r="O170" s="63" t="str">
        <f>IF(OR(A170="",M170&lt;=0,J170&gt;=0),"",MIN(M170,SUMPRODUCT(($A$18:$A$379=A170)*(IFERROR($B$18:$B$379&gt;=E170-30,0))*(IFERROR($B$18:$B$379&lt;=E170+30,0))*($G$18:$G$379&gt;0)*($L$18:$L$379&lt;&gt;L170)*($G$18:$G$379))+SUMPRODUCT(($A$381:$A$498=A170)*(IFERROR($B$381:$B$498&gt;=E170-30,0))*(IFERROR($B$381:$B$498&lt;=E170+30,0))*($G$381:$G$498&gt;0)*($L$381:$L$498&lt;&gt;L170)*($G$381:$G$498))))</f>
        <v/>
      </c>
      <c r="P170" s="28" t="str">
        <f>IF(OR(A170="",M170&lt;=0,J170&gt;=0),"",SUMPRODUCT(($A$18:$A$379=A170)*(IFERROR($B$18:$B$379&gt;=E170-30,0))*(IFERROR($B$18:$B$379&lt;=E170+30,0))*($G$18:$G$379&gt;0)*($L$18:$L$379&lt;&gt;L170))+SUMPRODUCT(($A$381:$A$498=A170)*(IFERROR($B$381:$B$498&gt;=E170-30,0))*(IFERROR($B$381:$B$498&lt;=E170+30,0))*($G$381:$G$498&gt;0)*($L$381:$L$498&lt;&gt;L170)))</f>
        <v/>
      </c>
      <c r="Q170" s="31" t="str">
        <f>IF(P170=1,IFERROR(INDEX($L$18:$L$379,MATCH(1,INDEX(($A$18:$A$379=A170)*(IFERROR($B$18:$B$379&gt;=E170-30,0))*(IFERROR($B$18:$B$379&lt;=E170+30,0))*($G$18:$G$379&gt;0)*($L$18:$L$379&lt;&gt;L170),0),0)),IFERROR(INDEX($L$381:$L$498,MATCH(1,INDEX(($A$381:$A$498=A170)*(IFERROR($B$381:$B$498&gt;=E170-30,0))*(IFERROR($B$381:$B$498&lt;=E170+30,0))*($G$381:$G$498&gt;0)*($L$381:$L$498&lt;&gt;L170),0),0)),"")),"")</f>
        <v/>
      </c>
      <c r="R170" s="32"/>
      <c r="S170" s="31" t="str">
        <f>IF(R170&lt;&gt;"",R170,Q170)</f>
        <v/>
      </c>
      <c r="T170" s="63">
        <f>IF(OR(N170="",O170=0),0,N170*O170)</f>
        <v>0</v>
      </c>
      <c r="U170" s="63">
        <f>IF(COUNTIF($S$18:$S$498,L170)=0,"",SUMIF($S$18:$S$498,L170,$T$18:$T$498))</f>
        <v>0</v>
      </c>
      <c r="V170" s="63" t="str">
        <f>IF(H170="","",IFERROR(H170+U170,H170))</f>
        <v/>
      </c>
      <c r="W170" s="63" t="str">
        <f>IF(OR(V170="",C170=""),"",V170/C170)</f>
        <v/>
      </c>
      <c r="X170" s="11" t="str">
        <f>IF(A170="","",IF(AND(U170&lt;&gt;"",U170&lt;&gt;0,M170=0),"Replacement lot receiving wash basis",IF(J170="","",IF(J170&gt;=0,"",IF(O170=0,"No replacement buy found",IF(P170&gt;1,"Manual selection needed","Auto matched"))))))</f>
        <v/>
      </c>
      <c r="Z170" t="str">
        <f>IF(K170="Yes",COUNTIF($K$18:K170,"Yes"),"")</f>
        <v/>
      </c>
    </row>
    <row r="171" spans="1:26" ht="34.15" customHeight="1" x14ac:dyDescent="0.2">
      <c r="A171" s="9"/>
      <c r="B171" s="69"/>
      <c r="C171" s="30"/>
      <c r="D171" s="70"/>
      <c r="E171" s="69"/>
      <c r="F171" s="70"/>
      <c r="G171" s="30"/>
      <c r="H171" s="63" t="str">
        <f>IF(OR(C171="",D171=""),"",C171*D171)</f>
        <v/>
      </c>
      <c r="I171" s="63" t="str">
        <f>IF(OR(E171="",F171="",M171&lt;=0),"",M171*F171)</f>
        <v/>
      </c>
      <c r="J171" s="63" t="str">
        <f>IF(I171="","",I171-(M171*D171))</f>
        <v/>
      </c>
      <c r="K171" s="28" t="str">
        <f>IF(A171="","",IF(T171&gt;0,"Yes","No"))</f>
        <v/>
      </c>
      <c r="L171" s="28" t="str">
        <f>IF(A171="","",A171&amp;"-"&amp;TEXT(B171,"yyyymmdd")&amp;"-R"&amp;ROW())</f>
        <v/>
      </c>
      <c r="M171" s="28" t="str">
        <f>IF(OR(C171="",G171=""),"",C171-G171)</f>
        <v/>
      </c>
      <c r="N171" s="63" t="str">
        <f>IF(OR(M171&lt;=0,J171&gt;=0),"",ABS(J171)/M171)</f>
        <v/>
      </c>
      <c r="O171" s="63" t="str">
        <f>IF(OR(A171="",M171&lt;=0,J171&gt;=0),"",MIN(M171,SUMPRODUCT(($A$18:$A$379=A171)*(IFERROR($B$18:$B$379&gt;=E171-30,0))*(IFERROR($B$18:$B$379&lt;=E171+30,0))*($G$18:$G$379&gt;0)*($L$18:$L$379&lt;&gt;L171)*($G$18:$G$379))+SUMPRODUCT(($A$381:$A$498=A171)*(IFERROR($B$381:$B$498&gt;=E171-30,0))*(IFERROR($B$381:$B$498&lt;=E171+30,0))*($G$381:$G$498&gt;0)*($L$381:$L$498&lt;&gt;L171)*($G$381:$G$498))))</f>
        <v/>
      </c>
      <c r="P171" s="28" t="str">
        <f>IF(OR(A171="",M171&lt;=0,J171&gt;=0),"",SUMPRODUCT(($A$18:$A$379=A171)*(IFERROR($B$18:$B$379&gt;=E171-30,0))*(IFERROR($B$18:$B$379&lt;=E171+30,0))*($G$18:$G$379&gt;0)*($L$18:$L$379&lt;&gt;L171))+SUMPRODUCT(($A$381:$A$498=A171)*(IFERROR($B$381:$B$498&gt;=E171-30,0))*(IFERROR($B$381:$B$498&lt;=E171+30,0))*($G$381:$G$498&gt;0)*($L$381:$L$498&lt;&gt;L171)))</f>
        <v/>
      </c>
      <c r="Q171" s="31" t="str">
        <f>IF(P171=1,IFERROR(INDEX($L$18:$L$379,MATCH(1,INDEX(($A$18:$A$379=A171)*(IFERROR($B$18:$B$379&gt;=E171-30,0))*(IFERROR($B$18:$B$379&lt;=E171+30,0))*($G$18:$G$379&gt;0)*($L$18:$L$379&lt;&gt;L171),0),0)),IFERROR(INDEX($L$381:$L$498,MATCH(1,INDEX(($A$381:$A$498=A171)*(IFERROR($B$381:$B$498&gt;=E171-30,0))*(IFERROR($B$381:$B$498&lt;=E171+30,0))*($G$381:$G$498&gt;0)*($L$381:$L$498&lt;&gt;L171),0),0)),"")),"")</f>
        <v/>
      </c>
      <c r="R171" s="32"/>
      <c r="S171" s="31" t="str">
        <f>IF(R171&lt;&gt;"",R171,Q171)</f>
        <v/>
      </c>
      <c r="T171" s="63">
        <f>IF(OR(N171="",O171=0),0,N171*O171)</f>
        <v>0</v>
      </c>
      <c r="U171" s="63">
        <f>IF(COUNTIF($S$18:$S$498,L171)=0,"",SUMIF($S$18:$S$498,L171,$T$18:$T$498))</f>
        <v>0</v>
      </c>
      <c r="V171" s="63" t="str">
        <f>IF(H171="","",IFERROR(H171+U171,H171))</f>
        <v/>
      </c>
      <c r="W171" s="63" t="str">
        <f>IF(OR(V171="",C171=""),"",V171/C171)</f>
        <v/>
      </c>
      <c r="X171" s="11" t="str">
        <f>IF(A171="","",IF(AND(U171&lt;&gt;"",U171&lt;&gt;0,M171=0),"Replacement lot receiving wash basis",IF(J171="","",IF(J171&gt;=0,"",IF(O171=0,"No replacement buy found",IF(P171&gt;1,"Manual selection needed","Auto matched"))))))</f>
        <v/>
      </c>
      <c r="Z171" t="str">
        <f>IF(K171="Yes",COUNTIF($K$18:K171,"Yes"),"")</f>
        <v/>
      </c>
    </row>
    <row r="172" spans="1:26" ht="34.15" customHeight="1" x14ac:dyDescent="0.2">
      <c r="A172" s="9"/>
      <c r="B172" s="69"/>
      <c r="C172" s="30"/>
      <c r="D172" s="70"/>
      <c r="E172" s="69"/>
      <c r="F172" s="70"/>
      <c r="G172" s="30"/>
      <c r="H172" s="63" t="str">
        <f>IF(OR(C172="",D172=""),"",C172*D172)</f>
        <v/>
      </c>
      <c r="I172" s="63" t="str">
        <f>IF(OR(E172="",F172="",M172&lt;=0),"",M172*F172)</f>
        <v/>
      </c>
      <c r="J172" s="63" t="str">
        <f>IF(I172="","",I172-(M172*D172))</f>
        <v/>
      </c>
      <c r="K172" s="28" t="str">
        <f>IF(A172="","",IF(T172&gt;0,"Yes","No"))</f>
        <v/>
      </c>
      <c r="L172" s="28" t="str">
        <f>IF(A172="","",A172&amp;"-"&amp;TEXT(B172,"yyyymmdd")&amp;"-R"&amp;ROW())</f>
        <v/>
      </c>
      <c r="M172" s="28" t="str">
        <f>IF(OR(C172="",G172=""),"",C172-G172)</f>
        <v/>
      </c>
      <c r="N172" s="63" t="str">
        <f>IF(OR(M172&lt;=0,J172&gt;=0),"",ABS(J172)/M172)</f>
        <v/>
      </c>
      <c r="O172" s="63" t="str">
        <f>IF(OR(A172="",M172&lt;=0,J172&gt;=0),"",MIN(M172,SUMPRODUCT(($A$18:$A$379=A172)*(IFERROR($B$18:$B$379&gt;=E172-30,0))*(IFERROR($B$18:$B$379&lt;=E172+30,0))*($G$18:$G$379&gt;0)*($L$18:$L$379&lt;&gt;L172)*($G$18:$G$379))+SUMPRODUCT(($A$381:$A$498=A172)*(IFERROR($B$381:$B$498&gt;=E172-30,0))*(IFERROR($B$381:$B$498&lt;=E172+30,0))*($G$381:$G$498&gt;0)*($L$381:$L$498&lt;&gt;L172)*($G$381:$G$498))))</f>
        <v/>
      </c>
      <c r="P172" s="28" t="str">
        <f>IF(OR(A172="",M172&lt;=0,J172&gt;=0),"",SUMPRODUCT(($A$18:$A$379=A172)*(IFERROR($B$18:$B$379&gt;=E172-30,0))*(IFERROR($B$18:$B$379&lt;=E172+30,0))*($G$18:$G$379&gt;0)*($L$18:$L$379&lt;&gt;L172))+SUMPRODUCT(($A$381:$A$498=A172)*(IFERROR($B$381:$B$498&gt;=E172-30,0))*(IFERROR($B$381:$B$498&lt;=E172+30,0))*($G$381:$G$498&gt;0)*($L$381:$L$498&lt;&gt;L172)))</f>
        <v/>
      </c>
      <c r="Q172" s="31" t="str">
        <f>IF(P172=1,IFERROR(INDEX($L$18:$L$379,MATCH(1,INDEX(($A$18:$A$379=A172)*(IFERROR($B$18:$B$379&gt;=E172-30,0))*(IFERROR($B$18:$B$379&lt;=E172+30,0))*($G$18:$G$379&gt;0)*($L$18:$L$379&lt;&gt;L172),0),0)),IFERROR(INDEX($L$381:$L$498,MATCH(1,INDEX(($A$381:$A$498=A172)*(IFERROR($B$381:$B$498&gt;=E172-30,0))*(IFERROR($B$381:$B$498&lt;=E172+30,0))*($G$381:$G$498&gt;0)*($L$381:$L$498&lt;&gt;L172),0),0)),"")),"")</f>
        <v/>
      </c>
      <c r="R172" s="32"/>
      <c r="S172" s="31" t="str">
        <f>IF(R172&lt;&gt;"",R172,Q172)</f>
        <v/>
      </c>
      <c r="T172" s="63">
        <f>IF(OR(N172="",O172=0),0,N172*O172)</f>
        <v>0</v>
      </c>
      <c r="U172" s="63">
        <f>IF(COUNTIF($S$18:$S$498,L172)=0,"",SUMIF($S$18:$S$498,L172,$T$18:$T$498))</f>
        <v>0</v>
      </c>
      <c r="V172" s="63" t="str">
        <f>IF(H172="","",IFERROR(H172+U172,H172))</f>
        <v/>
      </c>
      <c r="W172" s="63" t="str">
        <f>IF(OR(V172="",C172=""),"",V172/C172)</f>
        <v/>
      </c>
      <c r="X172" s="11" t="str">
        <f>IF(A172="","",IF(AND(U172&lt;&gt;"",U172&lt;&gt;0,M172=0),"Replacement lot receiving wash basis",IF(J172="","",IF(J172&gt;=0,"",IF(O172=0,"No replacement buy found",IF(P172&gt;1,"Manual selection needed","Auto matched"))))))</f>
        <v/>
      </c>
      <c r="Z172" t="str">
        <f>IF(K172="Yes",COUNTIF($K$18:K172,"Yes"),"")</f>
        <v/>
      </c>
    </row>
    <row r="173" spans="1:26" ht="34.15" customHeight="1" x14ac:dyDescent="0.2">
      <c r="A173" s="9"/>
      <c r="B173" s="69"/>
      <c r="C173" s="30"/>
      <c r="D173" s="70"/>
      <c r="E173" s="69"/>
      <c r="F173" s="70"/>
      <c r="G173" s="30"/>
      <c r="H173" s="63" t="str">
        <f>IF(OR(C173="",D173=""),"",C173*D173)</f>
        <v/>
      </c>
      <c r="I173" s="63" t="str">
        <f>IF(OR(E173="",F173="",M173&lt;=0),"",M173*F173)</f>
        <v/>
      </c>
      <c r="J173" s="63" t="str">
        <f>IF(I173="","",I173-(M173*D173))</f>
        <v/>
      </c>
      <c r="K173" s="28" t="str">
        <f>IF(A173="","",IF(T173&gt;0,"Yes","No"))</f>
        <v/>
      </c>
      <c r="L173" s="28" t="str">
        <f>IF(A173="","",A173&amp;"-"&amp;TEXT(B173,"yyyymmdd")&amp;"-R"&amp;ROW())</f>
        <v/>
      </c>
      <c r="M173" s="28" t="str">
        <f>IF(OR(C173="",G173=""),"",C173-G173)</f>
        <v/>
      </c>
      <c r="N173" s="63" t="str">
        <f>IF(OR(M173&lt;=0,J173&gt;=0),"",ABS(J173)/M173)</f>
        <v/>
      </c>
      <c r="O173" s="63" t="str">
        <f>IF(OR(A173="",M173&lt;=0,J173&gt;=0),"",MIN(M173,SUMPRODUCT(($A$18:$A$379=A173)*(IFERROR($B$18:$B$379&gt;=E173-30,0))*(IFERROR($B$18:$B$379&lt;=E173+30,0))*($G$18:$G$379&gt;0)*($L$18:$L$379&lt;&gt;L173)*($G$18:$G$379))+SUMPRODUCT(($A$381:$A$498=A173)*(IFERROR($B$381:$B$498&gt;=E173-30,0))*(IFERROR($B$381:$B$498&lt;=E173+30,0))*($G$381:$G$498&gt;0)*($L$381:$L$498&lt;&gt;L173)*($G$381:$G$498))))</f>
        <v/>
      </c>
      <c r="P173" s="28" t="str">
        <f>IF(OR(A173="",M173&lt;=0,J173&gt;=0),"",SUMPRODUCT(($A$18:$A$379=A173)*(IFERROR($B$18:$B$379&gt;=E173-30,0))*(IFERROR($B$18:$B$379&lt;=E173+30,0))*($G$18:$G$379&gt;0)*($L$18:$L$379&lt;&gt;L173))+SUMPRODUCT(($A$381:$A$498=A173)*(IFERROR($B$381:$B$498&gt;=E173-30,0))*(IFERROR($B$381:$B$498&lt;=E173+30,0))*($G$381:$G$498&gt;0)*($L$381:$L$498&lt;&gt;L173)))</f>
        <v/>
      </c>
      <c r="Q173" s="31" t="str">
        <f>IF(P173=1,IFERROR(INDEX($L$18:$L$379,MATCH(1,INDEX(($A$18:$A$379=A173)*(IFERROR($B$18:$B$379&gt;=E173-30,0))*(IFERROR($B$18:$B$379&lt;=E173+30,0))*($G$18:$G$379&gt;0)*($L$18:$L$379&lt;&gt;L173),0),0)),IFERROR(INDEX($L$381:$L$498,MATCH(1,INDEX(($A$381:$A$498=A173)*(IFERROR($B$381:$B$498&gt;=E173-30,0))*(IFERROR($B$381:$B$498&lt;=E173+30,0))*($G$381:$G$498&gt;0)*($L$381:$L$498&lt;&gt;L173),0),0)),"")),"")</f>
        <v/>
      </c>
      <c r="R173" s="32"/>
      <c r="S173" s="31" t="str">
        <f>IF(R173&lt;&gt;"",R173,Q173)</f>
        <v/>
      </c>
      <c r="T173" s="63">
        <f>IF(OR(N173="",O173=0),0,N173*O173)</f>
        <v>0</v>
      </c>
      <c r="U173" s="63">
        <f>IF(COUNTIF($S$18:$S$498,L173)=0,"",SUMIF($S$18:$S$498,L173,$T$18:$T$498))</f>
        <v>0</v>
      </c>
      <c r="V173" s="63" t="str">
        <f>IF(H173="","",IFERROR(H173+U173,H173))</f>
        <v/>
      </c>
      <c r="W173" s="63" t="str">
        <f>IF(OR(V173="",C173=""),"",V173/C173)</f>
        <v/>
      </c>
      <c r="X173" s="11" t="str">
        <f>IF(A173="","",IF(AND(U173&lt;&gt;"",U173&lt;&gt;0,M173=0),"Replacement lot receiving wash basis",IF(J173="","",IF(J173&gt;=0,"",IF(O173=0,"No replacement buy found",IF(P173&gt;1,"Manual selection needed","Auto matched"))))))</f>
        <v/>
      </c>
      <c r="Z173" t="str">
        <f>IF(K173="Yes",COUNTIF($K$18:K173,"Yes"),"")</f>
        <v/>
      </c>
    </row>
    <row r="174" spans="1:26" ht="34.15" customHeight="1" x14ac:dyDescent="0.2">
      <c r="A174" s="9"/>
      <c r="B174" s="69"/>
      <c r="C174" s="30"/>
      <c r="D174" s="70"/>
      <c r="E174" s="69"/>
      <c r="F174" s="70"/>
      <c r="G174" s="30"/>
      <c r="H174" s="63" t="str">
        <f>IF(OR(C174="",D174=""),"",C174*D174)</f>
        <v/>
      </c>
      <c r="I174" s="63" t="str">
        <f>IF(OR(E174="",F174="",M174&lt;=0),"",M174*F174)</f>
        <v/>
      </c>
      <c r="J174" s="63" t="str">
        <f>IF(I174="","",I174-(M174*D174))</f>
        <v/>
      </c>
      <c r="K174" s="28" t="str">
        <f>IF(A174="","",IF(T174&gt;0,"Yes","No"))</f>
        <v/>
      </c>
      <c r="L174" s="28" t="str">
        <f>IF(A174="","",A174&amp;"-"&amp;TEXT(B174,"yyyymmdd")&amp;"-R"&amp;ROW())</f>
        <v/>
      </c>
      <c r="M174" s="28" t="str">
        <f>IF(OR(C174="",G174=""),"",C174-G174)</f>
        <v/>
      </c>
      <c r="N174" s="63" t="str">
        <f>IF(OR(M174&lt;=0,J174&gt;=0),"",ABS(J174)/M174)</f>
        <v/>
      </c>
      <c r="O174" s="63" t="str">
        <f>IF(OR(A174="",M174&lt;=0,J174&gt;=0),"",MIN(M174,SUMPRODUCT(($A$18:$A$379=A174)*(IFERROR($B$18:$B$379&gt;=E174-30,0))*(IFERROR($B$18:$B$379&lt;=E174+30,0))*($G$18:$G$379&gt;0)*($L$18:$L$379&lt;&gt;L174)*($G$18:$G$379))+SUMPRODUCT(($A$381:$A$498=A174)*(IFERROR($B$381:$B$498&gt;=E174-30,0))*(IFERROR($B$381:$B$498&lt;=E174+30,0))*($G$381:$G$498&gt;0)*($L$381:$L$498&lt;&gt;L174)*($G$381:$G$498))))</f>
        <v/>
      </c>
      <c r="P174" s="28" t="str">
        <f>IF(OR(A174="",M174&lt;=0,J174&gt;=0),"",SUMPRODUCT(($A$18:$A$379=A174)*(IFERROR($B$18:$B$379&gt;=E174-30,0))*(IFERROR($B$18:$B$379&lt;=E174+30,0))*($G$18:$G$379&gt;0)*($L$18:$L$379&lt;&gt;L174))+SUMPRODUCT(($A$381:$A$498=A174)*(IFERROR($B$381:$B$498&gt;=E174-30,0))*(IFERROR($B$381:$B$498&lt;=E174+30,0))*($G$381:$G$498&gt;0)*($L$381:$L$498&lt;&gt;L174)))</f>
        <v/>
      </c>
      <c r="Q174" s="31" t="str">
        <f>IF(P174=1,IFERROR(INDEX($L$18:$L$379,MATCH(1,INDEX(($A$18:$A$379=A174)*(IFERROR($B$18:$B$379&gt;=E174-30,0))*(IFERROR($B$18:$B$379&lt;=E174+30,0))*($G$18:$G$379&gt;0)*($L$18:$L$379&lt;&gt;L174),0),0)),IFERROR(INDEX($L$381:$L$498,MATCH(1,INDEX(($A$381:$A$498=A174)*(IFERROR($B$381:$B$498&gt;=E174-30,0))*(IFERROR($B$381:$B$498&lt;=E174+30,0))*($G$381:$G$498&gt;0)*($L$381:$L$498&lt;&gt;L174),0),0)),"")),"")</f>
        <v/>
      </c>
      <c r="R174" s="32"/>
      <c r="S174" s="31" t="str">
        <f>IF(R174&lt;&gt;"",R174,Q174)</f>
        <v/>
      </c>
      <c r="T174" s="63">
        <f>IF(OR(N174="",O174=0),0,N174*O174)</f>
        <v>0</v>
      </c>
      <c r="U174" s="63">
        <f>IF(COUNTIF($S$18:$S$498,L174)=0,"",SUMIF($S$18:$S$498,L174,$T$18:$T$498))</f>
        <v>0</v>
      </c>
      <c r="V174" s="63" t="str">
        <f>IF(H174="","",IFERROR(H174+U174,H174))</f>
        <v/>
      </c>
      <c r="W174" s="63" t="str">
        <f>IF(OR(V174="",C174=""),"",V174/C174)</f>
        <v/>
      </c>
      <c r="X174" s="11" t="str">
        <f>IF(A174="","",IF(AND(U174&lt;&gt;"",U174&lt;&gt;0,M174=0),"Replacement lot receiving wash basis",IF(J174="","",IF(J174&gt;=0,"",IF(O174=0,"No replacement buy found",IF(P174&gt;1,"Manual selection needed","Auto matched"))))))</f>
        <v/>
      </c>
      <c r="Z174" t="str">
        <f>IF(K174="Yes",COUNTIF($K$18:K174,"Yes"),"")</f>
        <v/>
      </c>
    </row>
    <row r="175" spans="1:26" ht="34.15" customHeight="1" x14ac:dyDescent="0.2">
      <c r="A175" s="9"/>
      <c r="B175" s="69"/>
      <c r="C175" s="30"/>
      <c r="D175" s="70"/>
      <c r="E175" s="69"/>
      <c r="F175" s="70"/>
      <c r="G175" s="30"/>
      <c r="H175" s="63" t="str">
        <f>IF(OR(C175="",D175=""),"",C175*D175)</f>
        <v/>
      </c>
      <c r="I175" s="63" t="str">
        <f>IF(OR(E175="",F175="",M175&lt;=0),"",M175*F175)</f>
        <v/>
      </c>
      <c r="J175" s="63" t="str">
        <f>IF(I175="","",I175-(M175*D175))</f>
        <v/>
      </c>
      <c r="K175" s="28" t="str">
        <f>IF(A175="","",IF(T175&gt;0,"Yes","No"))</f>
        <v/>
      </c>
      <c r="L175" s="28" t="str">
        <f>IF(A175="","",A175&amp;"-"&amp;TEXT(B175,"yyyymmdd")&amp;"-R"&amp;ROW())</f>
        <v/>
      </c>
      <c r="M175" s="28" t="str">
        <f>IF(OR(C175="",G175=""),"",C175-G175)</f>
        <v/>
      </c>
      <c r="N175" s="63" t="str">
        <f>IF(OR(M175&lt;=0,J175&gt;=0),"",ABS(J175)/M175)</f>
        <v/>
      </c>
      <c r="O175" s="63" t="str">
        <f>IF(OR(A175="",M175&lt;=0,J175&gt;=0),"",MIN(M175,SUMPRODUCT(($A$18:$A$379=A175)*(IFERROR($B$18:$B$379&gt;=E175-30,0))*(IFERROR($B$18:$B$379&lt;=E175+30,0))*($G$18:$G$379&gt;0)*($L$18:$L$379&lt;&gt;L175)*($G$18:$G$379))+SUMPRODUCT(($A$381:$A$498=A175)*(IFERROR($B$381:$B$498&gt;=E175-30,0))*(IFERROR($B$381:$B$498&lt;=E175+30,0))*($G$381:$G$498&gt;0)*($L$381:$L$498&lt;&gt;L175)*($G$381:$G$498))))</f>
        <v/>
      </c>
      <c r="P175" s="28" t="str">
        <f>IF(OR(A175="",M175&lt;=0,J175&gt;=0),"",SUMPRODUCT(($A$18:$A$379=A175)*(IFERROR($B$18:$B$379&gt;=E175-30,0))*(IFERROR($B$18:$B$379&lt;=E175+30,0))*($G$18:$G$379&gt;0)*($L$18:$L$379&lt;&gt;L175))+SUMPRODUCT(($A$381:$A$498=A175)*(IFERROR($B$381:$B$498&gt;=E175-30,0))*(IFERROR($B$381:$B$498&lt;=E175+30,0))*($G$381:$G$498&gt;0)*($L$381:$L$498&lt;&gt;L175)))</f>
        <v/>
      </c>
      <c r="Q175" s="31" t="str">
        <f>IF(P175=1,IFERROR(INDEX($L$18:$L$379,MATCH(1,INDEX(($A$18:$A$379=A175)*(IFERROR($B$18:$B$379&gt;=E175-30,0))*(IFERROR($B$18:$B$379&lt;=E175+30,0))*($G$18:$G$379&gt;0)*($L$18:$L$379&lt;&gt;L175),0),0)),IFERROR(INDEX($L$381:$L$498,MATCH(1,INDEX(($A$381:$A$498=A175)*(IFERROR($B$381:$B$498&gt;=E175-30,0))*(IFERROR($B$381:$B$498&lt;=E175+30,0))*($G$381:$G$498&gt;0)*($L$381:$L$498&lt;&gt;L175),0),0)),"")),"")</f>
        <v/>
      </c>
      <c r="R175" s="32"/>
      <c r="S175" s="31" t="str">
        <f>IF(R175&lt;&gt;"",R175,Q175)</f>
        <v/>
      </c>
      <c r="T175" s="63">
        <f>IF(OR(N175="",O175=0),0,N175*O175)</f>
        <v>0</v>
      </c>
      <c r="U175" s="63">
        <f>IF(COUNTIF($S$18:$S$498,L175)=0,"",SUMIF($S$18:$S$498,L175,$T$18:$T$498))</f>
        <v>0</v>
      </c>
      <c r="V175" s="63" t="str">
        <f>IF(H175="","",IFERROR(H175+U175,H175))</f>
        <v/>
      </c>
      <c r="W175" s="63" t="str">
        <f>IF(OR(V175="",C175=""),"",V175/C175)</f>
        <v/>
      </c>
      <c r="X175" s="11" t="str">
        <f>IF(A175="","",IF(AND(U175&lt;&gt;"",U175&lt;&gt;0,M175=0),"Replacement lot receiving wash basis",IF(J175="","",IF(J175&gt;=0,"",IF(O175=0,"No replacement buy found",IF(P175&gt;1,"Manual selection needed","Auto matched"))))))</f>
        <v/>
      </c>
      <c r="Z175" t="str">
        <f>IF(K175="Yes",COUNTIF($K$18:K175,"Yes"),"")</f>
        <v/>
      </c>
    </row>
    <row r="176" spans="1:26" ht="34.15" customHeight="1" x14ac:dyDescent="0.2">
      <c r="A176" s="9"/>
      <c r="B176" s="69"/>
      <c r="C176" s="30"/>
      <c r="D176" s="70"/>
      <c r="E176" s="69"/>
      <c r="F176" s="70"/>
      <c r="G176" s="30"/>
      <c r="H176" s="63" t="str">
        <f>IF(OR(C176="",D176=""),"",C176*D176)</f>
        <v/>
      </c>
      <c r="I176" s="63" t="str">
        <f>IF(OR(E176="",F176="",M176&lt;=0),"",M176*F176)</f>
        <v/>
      </c>
      <c r="J176" s="63" t="str">
        <f>IF(I176="","",I176-(M176*D176))</f>
        <v/>
      </c>
      <c r="K176" s="28" t="str">
        <f>IF(A176="","",IF(T176&gt;0,"Yes","No"))</f>
        <v/>
      </c>
      <c r="L176" s="28" t="str">
        <f>IF(A176="","",A176&amp;"-"&amp;TEXT(B176,"yyyymmdd")&amp;"-R"&amp;ROW())</f>
        <v/>
      </c>
      <c r="M176" s="28" t="str">
        <f>IF(OR(C176="",G176=""),"",C176-G176)</f>
        <v/>
      </c>
      <c r="N176" s="63" t="str">
        <f>IF(OR(M176&lt;=0,J176&gt;=0),"",ABS(J176)/M176)</f>
        <v/>
      </c>
      <c r="O176" s="63" t="str">
        <f>IF(OR(A176="",M176&lt;=0,J176&gt;=0),"",MIN(M176,SUMPRODUCT(($A$18:$A$379=A176)*(IFERROR($B$18:$B$379&gt;=E176-30,0))*(IFERROR($B$18:$B$379&lt;=E176+30,0))*($G$18:$G$379&gt;0)*($L$18:$L$379&lt;&gt;L176)*($G$18:$G$379))+SUMPRODUCT(($A$381:$A$498=A176)*(IFERROR($B$381:$B$498&gt;=E176-30,0))*(IFERROR($B$381:$B$498&lt;=E176+30,0))*($G$381:$G$498&gt;0)*($L$381:$L$498&lt;&gt;L176)*($G$381:$G$498))))</f>
        <v/>
      </c>
      <c r="P176" s="28" t="str">
        <f>IF(OR(A176="",M176&lt;=0,J176&gt;=0),"",SUMPRODUCT(($A$18:$A$379=A176)*(IFERROR($B$18:$B$379&gt;=E176-30,0))*(IFERROR($B$18:$B$379&lt;=E176+30,0))*($G$18:$G$379&gt;0)*($L$18:$L$379&lt;&gt;L176))+SUMPRODUCT(($A$381:$A$498=A176)*(IFERROR($B$381:$B$498&gt;=E176-30,0))*(IFERROR($B$381:$B$498&lt;=E176+30,0))*($G$381:$G$498&gt;0)*($L$381:$L$498&lt;&gt;L176)))</f>
        <v/>
      </c>
      <c r="Q176" s="31" t="str">
        <f>IF(P176=1,IFERROR(INDEX($L$18:$L$379,MATCH(1,INDEX(($A$18:$A$379=A176)*(IFERROR($B$18:$B$379&gt;=E176-30,0))*(IFERROR($B$18:$B$379&lt;=E176+30,0))*($G$18:$G$379&gt;0)*($L$18:$L$379&lt;&gt;L176),0),0)),IFERROR(INDEX($L$381:$L$498,MATCH(1,INDEX(($A$381:$A$498=A176)*(IFERROR($B$381:$B$498&gt;=E176-30,0))*(IFERROR($B$381:$B$498&lt;=E176+30,0))*($G$381:$G$498&gt;0)*($L$381:$L$498&lt;&gt;L176),0),0)),"")),"")</f>
        <v/>
      </c>
      <c r="R176" s="32"/>
      <c r="S176" s="31" t="str">
        <f>IF(R176&lt;&gt;"",R176,Q176)</f>
        <v/>
      </c>
      <c r="T176" s="63">
        <f>IF(OR(N176="",O176=0),0,N176*O176)</f>
        <v>0</v>
      </c>
      <c r="U176" s="63">
        <f>IF(COUNTIF($S$18:$S$498,L176)=0,"",SUMIF($S$18:$S$498,L176,$T$18:$T$498))</f>
        <v>0</v>
      </c>
      <c r="V176" s="63" t="str">
        <f>IF(H176="","",IFERROR(H176+U176,H176))</f>
        <v/>
      </c>
      <c r="W176" s="63" t="str">
        <f>IF(OR(V176="",C176=""),"",V176/C176)</f>
        <v/>
      </c>
      <c r="X176" s="11" t="str">
        <f>IF(A176="","",IF(AND(U176&lt;&gt;"",U176&lt;&gt;0,M176=0),"Replacement lot receiving wash basis",IF(J176="","",IF(J176&gt;=0,"",IF(O176=0,"No replacement buy found",IF(P176&gt;1,"Manual selection needed","Auto matched"))))))</f>
        <v/>
      </c>
      <c r="Z176" t="str">
        <f>IF(K176="Yes",COUNTIF($K$18:K176,"Yes"),"")</f>
        <v/>
      </c>
    </row>
    <row r="177" spans="1:26" ht="34.15" customHeight="1" x14ac:dyDescent="0.2">
      <c r="A177" s="9"/>
      <c r="B177" s="69"/>
      <c r="C177" s="30"/>
      <c r="D177" s="70"/>
      <c r="E177" s="69"/>
      <c r="F177" s="70"/>
      <c r="G177" s="30"/>
      <c r="H177" s="63" t="str">
        <f>IF(OR(C177="",D177=""),"",C177*D177)</f>
        <v/>
      </c>
      <c r="I177" s="63" t="str">
        <f>IF(OR(E177="",F177="",M177&lt;=0),"",M177*F177)</f>
        <v/>
      </c>
      <c r="J177" s="63" t="str">
        <f>IF(I177="","",I177-(M177*D177))</f>
        <v/>
      </c>
      <c r="K177" s="28" t="str">
        <f>IF(A177="","",IF(T177&gt;0,"Yes","No"))</f>
        <v/>
      </c>
      <c r="L177" s="28" t="str">
        <f>IF(A177="","",A177&amp;"-"&amp;TEXT(B177,"yyyymmdd")&amp;"-R"&amp;ROW())</f>
        <v/>
      </c>
      <c r="M177" s="28" t="str">
        <f>IF(OR(C177="",G177=""),"",C177-G177)</f>
        <v/>
      </c>
      <c r="N177" s="63" t="str">
        <f>IF(OR(M177&lt;=0,J177&gt;=0),"",ABS(J177)/M177)</f>
        <v/>
      </c>
      <c r="O177" s="63" t="str">
        <f>IF(OR(A177="",M177&lt;=0,J177&gt;=0),"",MIN(M177,SUMPRODUCT(($A$18:$A$379=A177)*(IFERROR($B$18:$B$379&gt;=E177-30,0))*(IFERROR($B$18:$B$379&lt;=E177+30,0))*($G$18:$G$379&gt;0)*($L$18:$L$379&lt;&gt;L177)*($G$18:$G$379))+SUMPRODUCT(($A$381:$A$498=A177)*(IFERROR($B$381:$B$498&gt;=E177-30,0))*(IFERROR($B$381:$B$498&lt;=E177+30,0))*($G$381:$G$498&gt;0)*($L$381:$L$498&lt;&gt;L177)*($G$381:$G$498))))</f>
        <v/>
      </c>
      <c r="P177" s="28" t="str">
        <f>IF(OR(A177="",M177&lt;=0,J177&gt;=0),"",SUMPRODUCT(($A$18:$A$379=A177)*(IFERROR($B$18:$B$379&gt;=E177-30,0))*(IFERROR($B$18:$B$379&lt;=E177+30,0))*($G$18:$G$379&gt;0)*($L$18:$L$379&lt;&gt;L177))+SUMPRODUCT(($A$381:$A$498=A177)*(IFERROR($B$381:$B$498&gt;=E177-30,0))*(IFERROR($B$381:$B$498&lt;=E177+30,0))*($G$381:$G$498&gt;0)*($L$381:$L$498&lt;&gt;L177)))</f>
        <v/>
      </c>
      <c r="Q177" s="31" t="str">
        <f>IF(P177=1,IFERROR(INDEX($L$18:$L$379,MATCH(1,INDEX(($A$18:$A$379=A177)*(IFERROR($B$18:$B$379&gt;=E177-30,0))*(IFERROR($B$18:$B$379&lt;=E177+30,0))*($G$18:$G$379&gt;0)*($L$18:$L$379&lt;&gt;L177),0),0)),IFERROR(INDEX($L$381:$L$498,MATCH(1,INDEX(($A$381:$A$498=A177)*(IFERROR($B$381:$B$498&gt;=E177-30,0))*(IFERROR($B$381:$B$498&lt;=E177+30,0))*($G$381:$G$498&gt;0)*($L$381:$L$498&lt;&gt;L177),0),0)),"")),"")</f>
        <v/>
      </c>
      <c r="R177" s="32"/>
      <c r="S177" s="31" t="str">
        <f>IF(R177&lt;&gt;"",R177,Q177)</f>
        <v/>
      </c>
      <c r="T177" s="63">
        <f>IF(OR(N177="",O177=0),0,N177*O177)</f>
        <v>0</v>
      </c>
      <c r="U177" s="63">
        <f>IF(COUNTIF($S$18:$S$498,L177)=0,"",SUMIF($S$18:$S$498,L177,$T$18:$T$498))</f>
        <v>0</v>
      </c>
      <c r="V177" s="63" t="str">
        <f>IF(H177="","",IFERROR(H177+U177,H177))</f>
        <v/>
      </c>
      <c r="W177" s="63" t="str">
        <f>IF(OR(V177="",C177=""),"",V177/C177)</f>
        <v/>
      </c>
      <c r="X177" s="11" t="str">
        <f>IF(A177="","",IF(AND(U177&lt;&gt;"",U177&lt;&gt;0,M177=0),"Replacement lot receiving wash basis",IF(J177="","",IF(J177&gt;=0,"",IF(O177=0,"No replacement buy found",IF(P177&gt;1,"Manual selection needed","Auto matched"))))))</f>
        <v/>
      </c>
      <c r="Z177" t="str">
        <f>IF(K177="Yes",COUNTIF($K$18:K177,"Yes"),"")</f>
        <v/>
      </c>
    </row>
    <row r="178" spans="1:26" ht="34.15" customHeight="1" x14ac:dyDescent="0.2">
      <c r="A178" s="9"/>
      <c r="B178" s="69"/>
      <c r="C178" s="30"/>
      <c r="D178" s="70"/>
      <c r="E178" s="69"/>
      <c r="F178" s="70"/>
      <c r="G178" s="30"/>
      <c r="H178" s="63" t="str">
        <f>IF(OR(C178="",D178=""),"",C178*D178)</f>
        <v/>
      </c>
      <c r="I178" s="63" t="str">
        <f>IF(OR(E178="",F178="",M178&lt;=0),"",M178*F178)</f>
        <v/>
      </c>
      <c r="J178" s="63" t="str">
        <f>IF(I178="","",I178-(M178*D178))</f>
        <v/>
      </c>
      <c r="K178" s="28" t="str">
        <f>IF(A178="","",IF(T178&gt;0,"Yes","No"))</f>
        <v/>
      </c>
      <c r="L178" s="28" t="str">
        <f>IF(A178="","",A178&amp;"-"&amp;TEXT(B178,"yyyymmdd")&amp;"-R"&amp;ROW())</f>
        <v/>
      </c>
      <c r="M178" s="28" t="str">
        <f>IF(OR(C178="",G178=""),"",C178-G178)</f>
        <v/>
      </c>
      <c r="N178" s="63" t="str">
        <f>IF(OR(M178&lt;=0,J178&gt;=0),"",ABS(J178)/M178)</f>
        <v/>
      </c>
      <c r="O178" s="63" t="str">
        <f>IF(OR(A178="",M178&lt;=0,J178&gt;=0),"",MIN(M178,SUMPRODUCT(($A$18:$A$379=A178)*(IFERROR($B$18:$B$379&gt;=E178-30,0))*(IFERROR($B$18:$B$379&lt;=E178+30,0))*($G$18:$G$379&gt;0)*($L$18:$L$379&lt;&gt;L178)*($G$18:$G$379))+SUMPRODUCT(($A$381:$A$498=A178)*(IFERROR($B$381:$B$498&gt;=E178-30,0))*(IFERROR($B$381:$B$498&lt;=E178+30,0))*($G$381:$G$498&gt;0)*($L$381:$L$498&lt;&gt;L178)*($G$381:$G$498))))</f>
        <v/>
      </c>
      <c r="P178" s="28" t="str">
        <f>IF(OR(A178="",M178&lt;=0,J178&gt;=0),"",SUMPRODUCT(($A$18:$A$379=A178)*(IFERROR($B$18:$B$379&gt;=E178-30,0))*(IFERROR($B$18:$B$379&lt;=E178+30,0))*($G$18:$G$379&gt;0)*($L$18:$L$379&lt;&gt;L178))+SUMPRODUCT(($A$381:$A$498=A178)*(IFERROR($B$381:$B$498&gt;=E178-30,0))*(IFERROR($B$381:$B$498&lt;=E178+30,0))*($G$381:$G$498&gt;0)*($L$381:$L$498&lt;&gt;L178)))</f>
        <v/>
      </c>
      <c r="Q178" s="31" t="str">
        <f>IF(P178=1,IFERROR(INDEX($L$18:$L$379,MATCH(1,INDEX(($A$18:$A$379=A178)*(IFERROR($B$18:$B$379&gt;=E178-30,0))*(IFERROR($B$18:$B$379&lt;=E178+30,0))*($G$18:$G$379&gt;0)*($L$18:$L$379&lt;&gt;L178),0),0)),IFERROR(INDEX($L$381:$L$498,MATCH(1,INDEX(($A$381:$A$498=A178)*(IFERROR($B$381:$B$498&gt;=E178-30,0))*(IFERROR($B$381:$B$498&lt;=E178+30,0))*($G$381:$G$498&gt;0)*($L$381:$L$498&lt;&gt;L178),0),0)),"")),"")</f>
        <v/>
      </c>
      <c r="R178" s="32"/>
      <c r="S178" s="31" t="str">
        <f>IF(R178&lt;&gt;"",R178,Q178)</f>
        <v/>
      </c>
      <c r="T178" s="63">
        <f>IF(OR(N178="",O178=0),0,N178*O178)</f>
        <v>0</v>
      </c>
      <c r="U178" s="63">
        <f>IF(COUNTIF($S$18:$S$498,L178)=0,"",SUMIF($S$18:$S$498,L178,$T$18:$T$498))</f>
        <v>0</v>
      </c>
      <c r="V178" s="63" t="str">
        <f>IF(H178="","",IFERROR(H178+U178,H178))</f>
        <v/>
      </c>
      <c r="W178" s="63" t="str">
        <f>IF(OR(V178="",C178=""),"",V178/C178)</f>
        <v/>
      </c>
      <c r="X178" s="11" t="str">
        <f>IF(A178="","",IF(AND(U178&lt;&gt;"",U178&lt;&gt;0,M178=0),"Replacement lot receiving wash basis",IF(J178="","",IF(J178&gt;=0,"",IF(O178=0,"No replacement buy found",IF(P178&gt;1,"Manual selection needed","Auto matched"))))))</f>
        <v/>
      </c>
      <c r="Z178" t="str">
        <f>IF(K178="Yes",COUNTIF($K$18:K178,"Yes"),"")</f>
        <v/>
      </c>
    </row>
    <row r="179" spans="1:26" ht="34.15" customHeight="1" x14ac:dyDescent="0.2">
      <c r="A179" s="9"/>
      <c r="B179" s="69"/>
      <c r="C179" s="30"/>
      <c r="D179" s="70"/>
      <c r="E179" s="69"/>
      <c r="F179" s="70"/>
      <c r="G179" s="30"/>
      <c r="H179" s="63" t="str">
        <f>IF(OR(C179="",D179=""),"",C179*D179)</f>
        <v/>
      </c>
      <c r="I179" s="63" t="str">
        <f>IF(OR(E179="",F179="",M179&lt;=0),"",M179*F179)</f>
        <v/>
      </c>
      <c r="J179" s="63" t="str">
        <f>IF(I179="","",I179-(M179*D179))</f>
        <v/>
      </c>
      <c r="K179" s="28" t="str">
        <f>IF(A179="","",IF(T179&gt;0,"Yes","No"))</f>
        <v/>
      </c>
      <c r="L179" s="28" t="str">
        <f>IF(A179="","",A179&amp;"-"&amp;TEXT(B179,"yyyymmdd")&amp;"-R"&amp;ROW())</f>
        <v/>
      </c>
      <c r="M179" s="28" t="str">
        <f>IF(OR(C179="",G179=""),"",C179-G179)</f>
        <v/>
      </c>
      <c r="N179" s="63" t="str">
        <f>IF(OR(M179&lt;=0,J179&gt;=0),"",ABS(J179)/M179)</f>
        <v/>
      </c>
      <c r="O179" s="63" t="str">
        <f>IF(OR(A179="",M179&lt;=0,J179&gt;=0),"",MIN(M179,SUMPRODUCT(($A$18:$A$379=A179)*(IFERROR($B$18:$B$379&gt;=E179-30,0))*(IFERROR($B$18:$B$379&lt;=E179+30,0))*($G$18:$G$379&gt;0)*($L$18:$L$379&lt;&gt;L179)*($G$18:$G$379))+SUMPRODUCT(($A$381:$A$498=A179)*(IFERROR($B$381:$B$498&gt;=E179-30,0))*(IFERROR($B$381:$B$498&lt;=E179+30,0))*($G$381:$G$498&gt;0)*($L$381:$L$498&lt;&gt;L179)*($G$381:$G$498))))</f>
        <v/>
      </c>
      <c r="P179" s="28" t="str">
        <f>IF(OR(A179="",M179&lt;=0,J179&gt;=0),"",SUMPRODUCT(($A$18:$A$379=A179)*(IFERROR($B$18:$B$379&gt;=E179-30,0))*(IFERROR($B$18:$B$379&lt;=E179+30,0))*($G$18:$G$379&gt;0)*($L$18:$L$379&lt;&gt;L179))+SUMPRODUCT(($A$381:$A$498=A179)*(IFERROR($B$381:$B$498&gt;=E179-30,0))*(IFERROR($B$381:$B$498&lt;=E179+30,0))*($G$381:$G$498&gt;0)*($L$381:$L$498&lt;&gt;L179)))</f>
        <v/>
      </c>
      <c r="Q179" s="31" t="str">
        <f>IF(P179=1,IFERROR(INDEX($L$18:$L$379,MATCH(1,INDEX(($A$18:$A$379=A179)*(IFERROR($B$18:$B$379&gt;=E179-30,0))*(IFERROR($B$18:$B$379&lt;=E179+30,0))*($G$18:$G$379&gt;0)*($L$18:$L$379&lt;&gt;L179),0),0)),IFERROR(INDEX($L$381:$L$498,MATCH(1,INDEX(($A$381:$A$498=A179)*(IFERROR($B$381:$B$498&gt;=E179-30,0))*(IFERROR($B$381:$B$498&lt;=E179+30,0))*($G$381:$G$498&gt;0)*($L$381:$L$498&lt;&gt;L179),0),0)),"")),"")</f>
        <v/>
      </c>
      <c r="R179" s="32"/>
      <c r="S179" s="31" t="str">
        <f>IF(R179&lt;&gt;"",R179,Q179)</f>
        <v/>
      </c>
      <c r="T179" s="63">
        <f>IF(OR(N179="",O179=0),0,N179*O179)</f>
        <v>0</v>
      </c>
      <c r="U179" s="63">
        <f>IF(COUNTIF($S$18:$S$498,L179)=0,"",SUMIF($S$18:$S$498,L179,$T$18:$T$498))</f>
        <v>0</v>
      </c>
      <c r="V179" s="63" t="str">
        <f>IF(H179="","",IFERROR(H179+U179,H179))</f>
        <v/>
      </c>
      <c r="W179" s="63" t="str">
        <f>IF(OR(V179="",C179=""),"",V179/C179)</f>
        <v/>
      </c>
      <c r="X179" s="11" t="str">
        <f>IF(A179="","",IF(AND(U179&lt;&gt;"",U179&lt;&gt;0,M179=0),"Replacement lot receiving wash basis",IF(J179="","",IF(J179&gt;=0,"",IF(O179=0,"No replacement buy found",IF(P179&gt;1,"Manual selection needed","Auto matched"))))))</f>
        <v/>
      </c>
      <c r="Z179" t="str">
        <f>IF(K179="Yes",COUNTIF($K$18:K179,"Yes"),"")</f>
        <v/>
      </c>
    </row>
    <row r="180" spans="1:26" ht="34.15" customHeight="1" x14ac:dyDescent="0.2">
      <c r="A180" s="9"/>
      <c r="B180" s="69"/>
      <c r="C180" s="30"/>
      <c r="D180" s="70"/>
      <c r="E180" s="69"/>
      <c r="F180" s="70"/>
      <c r="G180" s="30"/>
      <c r="H180" s="63" t="str">
        <f>IF(OR(C180="",D180=""),"",C180*D180)</f>
        <v/>
      </c>
      <c r="I180" s="63" t="str">
        <f>IF(OR(E180="",F180="",M180&lt;=0),"",M180*F180)</f>
        <v/>
      </c>
      <c r="J180" s="63" t="str">
        <f>IF(I180="","",I180-(M180*D180))</f>
        <v/>
      </c>
      <c r="K180" s="28" t="str">
        <f>IF(A180="","",IF(T180&gt;0,"Yes","No"))</f>
        <v/>
      </c>
      <c r="L180" s="28" t="str">
        <f>IF(A180="","",A180&amp;"-"&amp;TEXT(B180,"yyyymmdd")&amp;"-R"&amp;ROW())</f>
        <v/>
      </c>
      <c r="M180" s="28" t="str">
        <f>IF(OR(C180="",G180=""),"",C180-G180)</f>
        <v/>
      </c>
      <c r="N180" s="63" t="str">
        <f>IF(OR(M180&lt;=0,J180&gt;=0),"",ABS(J180)/M180)</f>
        <v/>
      </c>
      <c r="O180" s="63" t="str">
        <f>IF(OR(A180="",M180&lt;=0,J180&gt;=0),"",MIN(M180,SUMPRODUCT(($A$18:$A$379=A180)*(IFERROR($B$18:$B$379&gt;=E180-30,0))*(IFERROR($B$18:$B$379&lt;=E180+30,0))*($G$18:$G$379&gt;0)*($L$18:$L$379&lt;&gt;L180)*($G$18:$G$379))+SUMPRODUCT(($A$381:$A$498=A180)*(IFERROR($B$381:$B$498&gt;=E180-30,0))*(IFERROR($B$381:$B$498&lt;=E180+30,0))*($G$381:$G$498&gt;0)*($L$381:$L$498&lt;&gt;L180)*($G$381:$G$498))))</f>
        <v/>
      </c>
      <c r="P180" s="28" t="str">
        <f>IF(OR(A180="",M180&lt;=0,J180&gt;=0),"",SUMPRODUCT(($A$18:$A$379=A180)*(IFERROR($B$18:$B$379&gt;=E180-30,0))*(IFERROR($B$18:$B$379&lt;=E180+30,0))*($G$18:$G$379&gt;0)*($L$18:$L$379&lt;&gt;L180))+SUMPRODUCT(($A$381:$A$498=A180)*(IFERROR($B$381:$B$498&gt;=E180-30,0))*(IFERROR($B$381:$B$498&lt;=E180+30,0))*($G$381:$G$498&gt;0)*($L$381:$L$498&lt;&gt;L180)))</f>
        <v/>
      </c>
      <c r="Q180" s="31" t="str">
        <f>IF(P180=1,IFERROR(INDEX($L$18:$L$379,MATCH(1,INDEX(($A$18:$A$379=A180)*(IFERROR($B$18:$B$379&gt;=E180-30,0))*(IFERROR($B$18:$B$379&lt;=E180+30,0))*($G$18:$G$379&gt;0)*($L$18:$L$379&lt;&gt;L180),0),0)),IFERROR(INDEX($L$381:$L$498,MATCH(1,INDEX(($A$381:$A$498=A180)*(IFERROR($B$381:$B$498&gt;=E180-30,0))*(IFERROR($B$381:$B$498&lt;=E180+30,0))*($G$381:$G$498&gt;0)*($L$381:$L$498&lt;&gt;L180),0),0)),"")),"")</f>
        <v/>
      </c>
      <c r="R180" s="32"/>
      <c r="S180" s="31" t="str">
        <f>IF(R180&lt;&gt;"",R180,Q180)</f>
        <v/>
      </c>
      <c r="T180" s="63">
        <f>IF(OR(N180="",O180=0),0,N180*O180)</f>
        <v>0</v>
      </c>
      <c r="U180" s="63">
        <f>IF(COUNTIF($S$18:$S$498,L180)=0,"",SUMIF($S$18:$S$498,L180,$T$18:$T$498))</f>
        <v>0</v>
      </c>
      <c r="V180" s="63" t="str">
        <f>IF(H180="","",IFERROR(H180+U180,H180))</f>
        <v/>
      </c>
      <c r="W180" s="63" t="str">
        <f>IF(OR(V180="",C180=""),"",V180/C180)</f>
        <v/>
      </c>
      <c r="X180" s="11" t="str">
        <f>IF(A180="","",IF(AND(U180&lt;&gt;"",U180&lt;&gt;0,M180=0),"Replacement lot receiving wash basis",IF(J180="","",IF(J180&gt;=0,"",IF(O180=0,"No replacement buy found",IF(P180&gt;1,"Manual selection needed","Auto matched"))))))</f>
        <v/>
      </c>
      <c r="Z180" t="str">
        <f>IF(K180="Yes",COUNTIF($K$18:K180,"Yes"),"")</f>
        <v/>
      </c>
    </row>
    <row r="181" spans="1:26" ht="34.15" customHeight="1" x14ac:dyDescent="0.2">
      <c r="A181" s="9"/>
      <c r="B181" s="69"/>
      <c r="C181" s="30"/>
      <c r="D181" s="70"/>
      <c r="E181" s="69"/>
      <c r="F181" s="70"/>
      <c r="G181" s="30"/>
      <c r="H181" s="63" t="str">
        <f>IF(OR(C181="",D181=""),"",C181*D181)</f>
        <v/>
      </c>
      <c r="I181" s="63" t="str">
        <f>IF(OR(E181="",F181="",M181&lt;=0),"",M181*F181)</f>
        <v/>
      </c>
      <c r="J181" s="63" t="str">
        <f>IF(I181="","",I181-(M181*D181))</f>
        <v/>
      </c>
      <c r="K181" s="28" t="str">
        <f>IF(A181="","",IF(T181&gt;0,"Yes","No"))</f>
        <v/>
      </c>
      <c r="L181" s="28" t="str">
        <f>IF(A181="","",A181&amp;"-"&amp;TEXT(B181,"yyyymmdd")&amp;"-R"&amp;ROW())</f>
        <v/>
      </c>
      <c r="M181" s="28" t="str">
        <f>IF(OR(C181="",G181=""),"",C181-G181)</f>
        <v/>
      </c>
      <c r="N181" s="63" t="str">
        <f>IF(OR(M181&lt;=0,J181&gt;=0),"",ABS(J181)/M181)</f>
        <v/>
      </c>
      <c r="O181" s="63" t="str">
        <f>IF(OR(A181="",M181&lt;=0,J181&gt;=0),"",MIN(M181,SUMPRODUCT(($A$18:$A$379=A181)*(IFERROR($B$18:$B$379&gt;=E181-30,0))*(IFERROR($B$18:$B$379&lt;=E181+30,0))*($G$18:$G$379&gt;0)*($L$18:$L$379&lt;&gt;L181)*($G$18:$G$379))+SUMPRODUCT(($A$381:$A$498=A181)*(IFERROR($B$381:$B$498&gt;=E181-30,0))*(IFERROR($B$381:$B$498&lt;=E181+30,0))*($G$381:$G$498&gt;0)*($L$381:$L$498&lt;&gt;L181)*($G$381:$G$498))))</f>
        <v/>
      </c>
      <c r="P181" s="28" t="str">
        <f>IF(OR(A181="",M181&lt;=0,J181&gt;=0),"",SUMPRODUCT(($A$18:$A$379=A181)*(IFERROR($B$18:$B$379&gt;=E181-30,0))*(IFERROR($B$18:$B$379&lt;=E181+30,0))*($G$18:$G$379&gt;0)*($L$18:$L$379&lt;&gt;L181))+SUMPRODUCT(($A$381:$A$498=A181)*(IFERROR($B$381:$B$498&gt;=E181-30,0))*(IFERROR($B$381:$B$498&lt;=E181+30,0))*($G$381:$G$498&gt;0)*($L$381:$L$498&lt;&gt;L181)))</f>
        <v/>
      </c>
      <c r="Q181" s="31" t="str">
        <f>IF(P181=1,IFERROR(INDEX($L$18:$L$379,MATCH(1,INDEX(($A$18:$A$379=A181)*(IFERROR($B$18:$B$379&gt;=E181-30,0))*(IFERROR($B$18:$B$379&lt;=E181+30,0))*($G$18:$G$379&gt;0)*($L$18:$L$379&lt;&gt;L181),0),0)),IFERROR(INDEX($L$381:$L$498,MATCH(1,INDEX(($A$381:$A$498=A181)*(IFERROR($B$381:$B$498&gt;=E181-30,0))*(IFERROR($B$381:$B$498&lt;=E181+30,0))*($G$381:$G$498&gt;0)*($L$381:$L$498&lt;&gt;L181),0),0)),"")),"")</f>
        <v/>
      </c>
      <c r="R181" s="32"/>
      <c r="S181" s="31" t="str">
        <f>IF(R181&lt;&gt;"",R181,Q181)</f>
        <v/>
      </c>
      <c r="T181" s="63">
        <f>IF(OR(N181="",O181=0),0,N181*O181)</f>
        <v>0</v>
      </c>
      <c r="U181" s="63">
        <f>IF(COUNTIF($S$18:$S$498,L181)=0,"",SUMIF($S$18:$S$498,L181,$T$18:$T$498))</f>
        <v>0</v>
      </c>
      <c r="V181" s="63" t="str">
        <f>IF(H181="","",IFERROR(H181+U181,H181))</f>
        <v/>
      </c>
      <c r="W181" s="63" t="str">
        <f>IF(OR(V181="",C181=""),"",V181/C181)</f>
        <v/>
      </c>
      <c r="X181" s="11" t="str">
        <f>IF(A181="","",IF(AND(U181&lt;&gt;"",U181&lt;&gt;0,M181=0),"Replacement lot receiving wash basis",IF(J181="","",IF(J181&gt;=0,"",IF(O181=0,"No replacement buy found",IF(P181&gt;1,"Manual selection needed","Auto matched"))))))</f>
        <v/>
      </c>
      <c r="Z181" t="str">
        <f>IF(K181="Yes",COUNTIF($K$18:K181,"Yes"),"")</f>
        <v/>
      </c>
    </row>
    <row r="182" spans="1:26" ht="34.15" customHeight="1" x14ac:dyDescent="0.2">
      <c r="A182" s="9"/>
      <c r="B182" s="69"/>
      <c r="C182" s="30"/>
      <c r="D182" s="70"/>
      <c r="E182" s="69"/>
      <c r="F182" s="70"/>
      <c r="G182" s="30"/>
      <c r="H182" s="63" t="str">
        <f>IF(OR(C182="",D182=""),"",C182*D182)</f>
        <v/>
      </c>
      <c r="I182" s="63" t="str">
        <f>IF(OR(E182="",F182="",M182&lt;=0),"",M182*F182)</f>
        <v/>
      </c>
      <c r="J182" s="63" t="str">
        <f>IF(I182="","",I182-(M182*D182))</f>
        <v/>
      </c>
      <c r="K182" s="28" t="str">
        <f>IF(A182="","",IF(T182&gt;0,"Yes","No"))</f>
        <v/>
      </c>
      <c r="L182" s="28" t="str">
        <f>IF(A182="","",A182&amp;"-"&amp;TEXT(B182,"yyyymmdd")&amp;"-R"&amp;ROW())</f>
        <v/>
      </c>
      <c r="M182" s="28" t="str">
        <f>IF(OR(C182="",G182=""),"",C182-G182)</f>
        <v/>
      </c>
      <c r="N182" s="63" t="str">
        <f>IF(OR(M182&lt;=0,J182&gt;=0),"",ABS(J182)/M182)</f>
        <v/>
      </c>
      <c r="O182" s="63" t="str">
        <f>IF(OR(A182="",M182&lt;=0,J182&gt;=0),"",MIN(M182,SUMPRODUCT(($A$18:$A$379=A182)*(IFERROR($B$18:$B$379&gt;=E182-30,0))*(IFERROR($B$18:$B$379&lt;=E182+30,0))*($G$18:$G$379&gt;0)*($L$18:$L$379&lt;&gt;L182)*($G$18:$G$379))+SUMPRODUCT(($A$381:$A$498=A182)*(IFERROR($B$381:$B$498&gt;=E182-30,0))*(IFERROR($B$381:$B$498&lt;=E182+30,0))*($G$381:$G$498&gt;0)*($L$381:$L$498&lt;&gt;L182)*($G$381:$G$498))))</f>
        <v/>
      </c>
      <c r="P182" s="28" t="str">
        <f>IF(OR(A182="",M182&lt;=0,J182&gt;=0),"",SUMPRODUCT(($A$18:$A$379=A182)*(IFERROR($B$18:$B$379&gt;=E182-30,0))*(IFERROR($B$18:$B$379&lt;=E182+30,0))*($G$18:$G$379&gt;0)*($L$18:$L$379&lt;&gt;L182))+SUMPRODUCT(($A$381:$A$498=A182)*(IFERROR($B$381:$B$498&gt;=E182-30,0))*(IFERROR($B$381:$B$498&lt;=E182+30,0))*($G$381:$G$498&gt;0)*($L$381:$L$498&lt;&gt;L182)))</f>
        <v/>
      </c>
      <c r="Q182" s="31" t="str">
        <f>IF(P182=1,IFERROR(INDEX($L$18:$L$379,MATCH(1,INDEX(($A$18:$A$379=A182)*(IFERROR($B$18:$B$379&gt;=E182-30,0))*(IFERROR($B$18:$B$379&lt;=E182+30,0))*($G$18:$G$379&gt;0)*($L$18:$L$379&lt;&gt;L182),0),0)),IFERROR(INDEX($L$381:$L$498,MATCH(1,INDEX(($A$381:$A$498=A182)*(IFERROR($B$381:$B$498&gt;=E182-30,0))*(IFERROR($B$381:$B$498&lt;=E182+30,0))*($G$381:$G$498&gt;0)*($L$381:$L$498&lt;&gt;L182),0),0)),"")),"")</f>
        <v/>
      </c>
      <c r="R182" s="32"/>
      <c r="S182" s="31" t="str">
        <f>IF(R182&lt;&gt;"",R182,Q182)</f>
        <v/>
      </c>
      <c r="T182" s="63">
        <f>IF(OR(N182="",O182=0),0,N182*O182)</f>
        <v>0</v>
      </c>
      <c r="U182" s="63">
        <f>IF(COUNTIF($S$18:$S$498,L182)=0,"",SUMIF($S$18:$S$498,L182,$T$18:$T$498))</f>
        <v>0</v>
      </c>
      <c r="V182" s="63" t="str">
        <f>IF(H182="","",IFERROR(H182+U182,H182))</f>
        <v/>
      </c>
      <c r="W182" s="63" t="str">
        <f>IF(OR(V182="",C182=""),"",V182/C182)</f>
        <v/>
      </c>
      <c r="X182" s="11" t="str">
        <f>IF(A182="","",IF(AND(U182&lt;&gt;"",U182&lt;&gt;0,M182=0),"Replacement lot receiving wash basis",IF(J182="","",IF(J182&gt;=0,"",IF(O182=0,"No replacement buy found",IF(P182&gt;1,"Manual selection needed","Auto matched"))))))</f>
        <v/>
      </c>
      <c r="Z182" t="str">
        <f>IF(K182="Yes",COUNTIF($K$18:K182,"Yes"),"")</f>
        <v/>
      </c>
    </row>
    <row r="183" spans="1:26" ht="34.15" customHeight="1" x14ac:dyDescent="0.2">
      <c r="A183" s="9"/>
      <c r="B183" s="69"/>
      <c r="C183" s="30"/>
      <c r="D183" s="70"/>
      <c r="E183" s="69"/>
      <c r="F183" s="70"/>
      <c r="G183" s="30"/>
      <c r="H183" s="63" t="str">
        <f>IF(OR(C183="",D183=""),"",C183*D183)</f>
        <v/>
      </c>
      <c r="I183" s="63" t="str">
        <f>IF(OR(E183="",F183="",M183&lt;=0),"",M183*F183)</f>
        <v/>
      </c>
      <c r="J183" s="63" t="str">
        <f>IF(I183="","",I183-(M183*D183))</f>
        <v/>
      </c>
      <c r="K183" s="28" t="str">
        <f>IF(A183="","",IF(T183&gt;0,"Yes","No"))</f>
        <v/>
      </c>
      <c r="L183" s="28" t="str">
        <f>IF(A183="","",A183&amp;"-"&amp;TEXT(B183,"yyyymmdd")&amp;"-R"&amp;ROW())</f>
        <v/>
      </c>
      <c r="M183" s="28" t="str">
        <f>IF(OR(C183="",G183=""),"",C183-G183)</f>
        <v/>
      </c>
      <c r="N183" s="63" t="str">
        <f>IF(OR(M183&lt;=0,J183&gt;=0),"",ABS(J183)/M183)</f>
        <v/>
      </c>
      <c r="O183" s="63" t="str">
        <f>IF(OR(A183="",M183&lt;=0,J183&gt;=0),"",MIN(M183,SUMPRODUCT(($A$18:$A$379=A183)*(IFERROR($B$18:$B$379&gt;=E183-30,0))*(IFERROR($B$18:$B$379&lt;=E183+30,0))*($G$18:$G$379&gt;0)*($L$18:$L$379&lt;&gt;L183)*($G$18:$G$379))+SUMPRODUCT(($A$381:$A$498=A183)*(IFERROR($B$381:$B$498&gt;=E183-30,0))*(IFERROR($B$381:$B$498&lt;=E183+30,0))*($G$381:$G$498&gt;0)*($L$381:$L$498&lt;&gt;L183)*($G$381:$G$498))))</f>
        <v/>
      </c>
      <c r="P183" s="28" t="str">
        <f>IF(OR(A183="",M183&lt;=0,J183&gt;=0),"",SUMPRODUCT(($A$18:$A$379=A183)*(IFERROR($B$18:$B$379&gt;=E183-30,0))*(IFERROR($B$18:$B$379&lt;=E183+30,0))*($G$18:$G$379&gt;0)*($L$18:$L$379&lt;&gt;L183))+SUMPRODUCT(($A$381:$A$498=A183)*(IFERROR($B$381:$B$498&gt;=E183-30,0))*(IFERROR($B$381:$B$498&lt;=E183+30,0))*($G$381:$G$498&gt;0)*($L$381:$L$498&lt;&gt;L183)))</f>
        <v/>
      </c>
      <c r="Q183" s="31" t="str">
        <f>IF(P183=1,IFERROR(INDEX($L$18:$L$379,MATCH(1,INDEX(($A$18:$A$379=A183)*(IFERROR($B$18:$B$379&gt;=E183-30,0))*(IFERROR($B$18:$B$379&lt;=E183+30,0))*($G$18:$G$379&gt;0)*($L$18:$L$379&lt;&gt;L183),0),0)),IFERROR(INDEX($L$381:$L$498,MATCH(1,INDEX(($A$381:$A$498=A183)*(IFERROR($B$381:$B$498&gt;=E183-30,0))*(IFERROR($B$381:$B$498&lt;=E183+30,0))*($G$381:$G$498&gt;0)*($L$381:$L$498&lt;&gt;L183),0),0)),"")),"")</f>
        <v/>
      </c>
      <c r="R183" s="32"/>
      <c r="S183" s="31" t="str">
        <f>IF(R183&lt;&gt;"",R183,Q183)</f>
        <v/>
      </c>
      <c r="T183" s="63">
        <f>IF(OR(N183="",O183=0),0,N183*O183)</f>
        <v>0</v>
      </c>
      <c r="U183" s="63">
        <f>IF(COUNTIF($S$18:$S$498,L183)=0,"",SUMIF($S$18:$S$498,L183,$T$18:$T$498))</f>
        <v>0</v>
      </c>
      <c r="V183" s="63" t="str">
        <f>IF(H183="","",IFERROR(H183+U183,H183))</f>
        <v/>
      </c>
      <c r="W183" s="63" t="str">
        <f>IF(OR(V183="",C183=""),"",V183/C183)</f>
        <v/>
      </c>
      <c r="X183" s="11" t="str">
        <f>IF(A183="","",IF(AND(U183&lt;&gt;"",U183&lt;&gt;0,M183=0),"Replacement lot receiving wash basis",IF(J183="","",IF(J183&gt;=0,"",IF(O183=0,"No replacement buy found",IF(P183&gt;1,"Manual selection needed","Auto matched"))))))</f>
        <v/>
      </c>
      <c r="Z183" t="str">
        <f>IF(K183="Yes",COUNTIF($K$18:K183,"Yes"),"")</f>
        <v/>
      </c>
    </row>
    <row r="184" spans="1:26" ht="34.15" customHeight="1" x14ac:dyDescent="0.2">
      <c r="A184" s="9"/>
      <c r="B184" s="69"/>
      <c r="C184" s="30"/>
      <c r="D184" s="70"/>
      <c r="E184" s="69"/>
      <c r="F184" s="70"/>
      <c r="G184" s="30"/>
      <c r="H184" s="63" t="str">
        <f>IF(OR(C184="",D184=""),"",C184*D184)</f>
        <v/>
      </c>
      <c r="I184" s="63" t="str">
        <f>IF(OR(E184="",F184="",M184&lt;=0),"",M184*F184)</f>
        <v/>
      </c>
      <c r="J184" s="63" t="str">
        <f>IF(I184="","",I184-(M184*D184))</f>
        <v/>
      </c>
      <c r="K184" s="28" t="str">
        <f>IF(A184="","",IF(T184&gt;0,"Yes","No"))</f>
        <v/>
      </c>
      <c r="L184" s="28" t="str">
        <f>IF(A184="","",A184&amp;"-"&amp;TEXT(B184,"yyyymmdd")&amp;"-R"&amp;ROW())</f>
        <v/>
      </c>
      <c r="M184" s="28" t="str">
        <f>IF(OR(C184="",G184=""),"",C184-G184)</f>
        <v/>
      </c>
      <c r="N184" s="63" t="str">
        <f>IF(OR(M184&lt;=0,J184&gt;=0),"",ABS(J184)/M184)</f>
        <v/>
      </c>
      <c r="O184" s="63" t="str">
        <f>IF(OR(A184="",M184&lt;=0,J184&gt;=0),"",MIN(M184,SUMPRODUCT(($A$18:$A$379=A184)*(IFERROR($B$18:$B$379&gt;=E184-30,0))*(IFERROR($B$18:$B$379&lt;=E184+30,0))*($G$18:$G$379&gt;0)*($L$18:$L$379&lt;&gt;L184)*($G$18:$G$379))+SUMPRODUCT(($A$381:$A$498=A184)*(IFERROR($B$381:$B$498&gt;=E184-30,0))*(IFERROR($B$381:$B$498&lt;=E184+30,0))*($G$381:$G$498&gt;0)*($L$381:$L$498&lt;&gt;L184)*($G$381:$G$498))))</f>
        <v/>
      </c>
      <c r="P184" s="28" t="str">
        <f>IF(OR(A184="",M184&lt;=0,J184&gt;=0),"",SUMPRODUCT(($A$18:$A$379=A184)*(IFERROR($B$18:$B$379&gt;=E184-30,0))*(IFERROR($B$18:$B$379&lt;=E184+30,0))*($G$18:$G$379&gt;0)*($L$18:$L$379&lt;&gt;L184))+SUMPRODUCT(($A$381:$A$498=A184)*(IFERROR($B$381:$B$498&gt;=E184-30,0))*(IFERROR($B$381:$B$498&lt;=E184+30,0))*($G$381:$G$498&gt;0)*($L$381:$L$498&lt;&gt;L184)))</f>
        <v/>
      </c>
      <c r="Q184" s="31" t="str">
        <f>IF(P184=1,IFERROR(INDEX($L$18:$L$379,MATCH(1,INDEX(($A$18:$A$379=A184)*(IFERROR($B$18:$B$379&gt;=E184-30,0))*(IFERROR($B$18:$B$379&lt;=E184+30,0))*($G$18:$G$379&gt;0)*($L$18:$L$379&lt;&gt;L184),0),0)),IFERROR(INDEX($L$381:$L$498,MATCH(1,INDEX(($A$381:$A$498=A184)*(IFERROR($B$381:$B$498&gt;=E184-30,0))*(IFERROR($B$381:$B$498&lt;=E184+30,0))*($G$381:$G$498&gt;0)*($L$381:$L$498&lt;&gt;L184),0),0)),"")),"")</f>
        <v/>
      </c>
      <c r="R184" s="32"/>
      <c r="S184" s="31" t="str">
        <f>IF(R184&lt;&gt;"",R184,Q184)</f>
        <v/>
      </c>
      <c r="T184" s="63">
        <f>IF(OR(N184="",O184=0),0,N184*O184)</f>
        <v>0</v>
      </c>
      <c r="U184" s="63">
        <f>IF(COUNTIF($S$18:$S$498,L184)=0,"",SUMIF($S$18:$S$498,L184,$T$18:$T$498))</f>
        <v>0</v>
      </c>
      <c r="V184" s="63" t="str">
        <f>IF(H184="","",IFERROR(H184+U184,H184))</f>
        <v/>
      </c>
      <c r="W184" s="63" t="str">
        <f>IF(OR(V184="",C184=""),"",V184/C184)</f>
        <v/>
      </c>
      <c r="X184" s="11" t="str">
        <f>IF(A184="","",IF(AND(U184&lt;&gt;"",U184&lt;&gt;0,M184=0),"Replacement lot receiving wash basis",IF(J184="","",IF(J184&gt;=0,"",IF(O184=0,"No replacement buy found",IF(P184&gt;1,"Manual selection needed","Auto matched"))))))</f>
        <v/>
      </c>
      <c r="Z184" t="str">
        <f>IF(K184="Yes",COUNTIF($K$18:K184,"Yes"),"")</f>
        <v/>
      </c>
    </row>
    <row r="185" spans="1:26" ht="34.15" customHeight="1" x14ac:dyDescent="0.2">
      <c r="A185" s="9"/>
      <c r="B185" s="69"/>
      <c r="C185" s="30"/>
      <c r="D185" s="70"/>
      <c r="E185" s="69"/>
      <c r="F185" s="70"/>
      <c r="G185" s="30"/>
      <c r="H185" s="63" t="str">
        <f>IF(OR(C185="",D185=""),"",C185*D185)</f>
        <v/>
      </c>
      <c r="I185" s="63" t="str">
        <f>IF(OR(E185="",F185="",M185&lt;=0),"",M185*F185)</f>
        <v/>
      </c>
      <c r="J185" s="63" t="str">
        <f>IF(I185="","",I185-(M185*D185))</f>
        <v/>
      </c>
      <c r="K185" s="28" t="str">
        <f>IF(A185="","",IF(T185&gt;0,"Yes","No"))</f>
        <v/>
      </c>
      <c r="L185" s="28" t="str">
        <f>IF(A185="","",A185&amp;"-"&amp;TEXT(B185,"yyyymmdd")&amp;"-R"&amp;ROW())</f>
        <v/>
      </c>
      <c r="M185" s="28" t="str">
        <f>IF(OR(C185="",G185=""),"",C185-G185)</f>
        <v/>
      </c>
      <c r="N185" s="63" t="str">
        <f>IF(OR(M185&lt;=0,J185&gt;=0),"",ABS(J185)/M185)</f>
        <v/>
      </c>
      <c r="O185" s="63" t="str">
        <f>IF(OR(A185="",M185&lt;=0,J185&gt;=0),"",MIN(M185,SUMPRODUCT(($A$18:$A$379=A185)*(IFERROR($B$18:$B$379&gt;=E185-30,0))*(IFERROR($B$18:$B$379&lt;=E185+30,0))*($G$18:$G$379&gt;0)*($L$18:$L$379&lt;&gt;L185)*($G$18:$G$379))+SUMPRODUCT(($A$381:$A$498=A185)*(IFERROR($B$381:$B$498&gt;=E185-30,0))*(IFERROR($B$381:$B$498&lt;=E185+30,0))*($G$381:$G$498&gt;0)*($L$381:$L$498&lt;&gt;L185)*($G$381:$G$498))))</f>
        <v/>
      </c>
      <c r="P185" s="28" t="str">
        <f>IF(OR(A185="",M185&lt;=0,J185&gt;=0),"",SUMPRODUCT(($A$18:$A$379=A185)*(IFERROR($B$18:$B$379&gt;=E185-30,0))*(IFERROR($B$18:$B$379&lt;=E185+30,0))*($G$18:$G$379&gt;0)*($L$18:$L$379&lt;&gt;L185))+SUMPRODUCT(($A$381:$A$498=A185)*(IFERROR($B$381:$B$498&gt;=E185-30,0))*(IFERROR($B$381:$B$498&lt;=E185+30,0))*($G$381:$G$498&gt;0)*($L$381:$L$498&lt;&gt;L185)))</f>
        <v/>
      </c>
      <c r="Q185" s="31" t="str">
        <f>IF(P185=1,IFERROR(INDEX($L$18:$L$379,MATCH(1,INDEX(($A$18:$A$379=A185)*(IFERROR($B$18:$B$379&gt;=E185-30,0))*(IFERROR($B$18:$B$379&lt;=E185+30,0))*($G$18:$G$379&gt;0)*($L$18:$L$379&lt;&gt;L185),0),0)),IFERROR(INDEX($L$381:$L$498,MATCH(1,INDEX(($A$381:$A$498=A185)*(IFERROR($B$381:$B$498&gt;=E185-30,0))*(IFERROR($B$381:$B$498&lt;=E185+30,0))*($G$381:$G$498&gt;0)*($L$381:$L$498&lt;&gt;L185),0),0)),"")),"")</f>
        <v/>
      </c>
      <c r="R185" s="32"/>
      <c r="S185" s="31" t="str">
        <f>IF(R185&lt;&gt;"",R185,Q185)</f>
        <v/>
      </c>
      <c r="T185" s="63">
        <f>IF(OR(N185="",O185=0),0,N185*O185)</f>
        <v>0</v>
      </c>
      <c r="U185" s="63">
        <f>IF(COUNTIF($S$18:$S$498,L185)=0,"",SUMIF($S$18:$S$498,L185,$T$18:$T$498))</f>
        <v>0</v>
      </c>
      <c r="V185" s="63" t="str">
        <f>IF(H185="","",IFERROR(H185+U185,H185))</f>
        <v/>
      </c>
      <c r="W185" s="63" t="str">
        <f>IF(OR(V185="",C185=""),"",V185/C185)</f>
        <v/>
      </c>
      <c r="X185" s="11" t="str">
        <f>IF(A185="","",IF(AND(U185&lt;&gt;"",U185&lt;&gt;0,M185=0),"Replacement lot receiving wash basis",IF(J185="","",IF(J185&gt;=0,"",IF(O185=0,"No replacement buy found",IF(P185&gt;1,"Manual selection needed","Auto matched"))))))</f>
        <v/>
      </c>
      <c r="Z185" t="str">
        <f>IF(K185="Yes",COUNTIF($K$18:K185,"Yes"),"")</f>
        <v/>
      </c>
    </row>
    <row r="186" spans="1:26" ht="34.15" customHeight="1" x14ac:dyDescent="0.2">
      <c r="A186" s="9"/>
      <c r="B186" s="69"/>
      <c r="C186" s="30"/>
      <c r="D186" s="70"/>
      <c r="E186" s="69"/>
      <c r="F186" s="70"/>
      <c r="G186" s="30"/>
      <c r="H186" s="63" t="str">
        <f>IF(OR(C186="",D186=""),"",C186*D186)</f>
        <v/>
      </c>
      <c r="I186" s="63" t="str">
        <f>IF(OR(E186="",F186="",M186&lt;=0),"",M186*F186)</f>
        <v/>
      </c>
      <c r="J186" s="63" t="str">
        <f>IF(I186="","",I186-(M186*D186))</f>
        <v/>
      </c>
      <c r="K186" s="28" t="str">
        <f>IF(A186="","",IF(T186&gt;0,"Yes","No"))</f>
        <v/>
      </c>
      <c r="L186" s="28" t="str">
        <f>IF(A186="","",A186&amp;"-"&amp;TEXT(B186,"yyyymmdd")&amp;"-R"&amp;ROW())</f>
        <v/>
      </c>
      <c r="M186" s="28" t="str">
        <f>IF(OR(C186="",G186=""),"",C186-G186)</f>
        <v/>
      </c>
      <c r="N186" s="63" t="str">
        <f>IF(OR(M186&lt;=0,J186&gt;=0),"",ABS(J186)/M186)</f>
        <v/>
      </c>
      <c r="O186" s="63" t="str">
        <f>IF(OR(A186="",M186&lt;=0,J186&gt;=0),"",MIN(M186,SUMPRODUCT(($A$18:$A$379=A186)*(IFERROR($B$18:$B$379&gt;=E186-30,0))*(IFERROR($B$18:$B$379&lt;=E186+30,0))*($G$18:$G$379&gt;0)*($L$18:$L$379&lt;&gt;L186)*($G$18:$G$379))+SUMPRODUCT(($A$381:$A$498=A186)*(IFERROR($B$381:$B$498&gt;=E186-30,0))*(IFERROR($B$381:$B$498&lt;=E186+30,0))*($G$381:$G$498&gt;0)*($L$381:$L$498&lt;&gt;L186)*($G$381:$G$498))))</f>
        <v/>
      </c>
      <c r="P186" s="28" t="str">
        <f>IF(OR(A186="",M186&lt;=0,J186&gt;=0),"",SUMPRODUCT(($A$18:$A$379=A186)*(IFERROR($B$18:$B$379&gt;=E186-30,0))*(IFERROR($B$18:$B$379&lt;=E186+30,0))*($G$18:$G$379&gt;0)*($L$18:$L$379&lt;&gt;L186))+SUMPRODUCT(($A$381:$A$498=A186)*(IFERROR($B$381:$B$498&gt;=E186-30,0))*(IFERROR($B$381:$B$498&lt;=E186+30,0))*($G$381:$G$498&gt;0)*($L$381:$L$498&lt;&gt;L186)))</f>
        <v/>
      </c>
      <c r="Q186" s="31" t="str">
        <f>IF(P186=1,IFERROR(INDEX($L$18:$L$379,MATCH(1,INDEX(($A$18:$A$379=A186)*(IFERROR($B$18:$B$379&gt;=E186-30,0))*(IFERROR($B$18:$B$379&lt;=E186+30,0))*($G$18:$G$379&gt;0)*($L$18:$L$379&lt;&gt;L186),0),0)),IFERROR(INDEX($L$381:$L$498,MATCH(1,INDEX(($A$381:$A$498=A186)*(IFERROR($B$381:$B$498&gt;=E186-30,0))*(IFERROR($B$381:$B$498&lt;=E186+30,0))*($G$381:$G$498&gt;0)*($L$381:$L$498&lt;&gt;L186),0),0)),"")),"")</f>
        <v/>
      </c>
      <c r="R186" s="32"/>
      <c r="S186" s="31" t="str">
        <f>IF(R186&lt;&gt;"",R186,Q186)</f>
        <v/>
      </c>
      <c r="T186" s="63">
        <f>IF(OR(N186="",O186=0),0,N186*O186)</f>
        <v>0</v>
      </c>
      <c r="U186" s="63">
        <f>IF(COUNTIF($S$18:$S$498,L186)=0,"",SUMIF($S$18:$S$498,L186,$T$18:$T$498))</f>
        <v>0</v>
      </c>
      <c r="V186" s="63" t="str">
        <f>IF(H186="","",IFERROR(H186+U186,H186))</f>
        <v/>
      </c>
      <c r="W186" s="63" t="str">
        <f>IF(OR(V186="",C186=""),"",V186/C186)</f>
        <v/>
      </c>
      <c r="X186" s="11" t="str">
        <f>IF(A186="","",IF(AND(U186&lt;&gt;"",U186&lt;&gt;0,M186=0),"Replacement lot receiving wash basis",IF(J186="","",IF(J186&gt;=0,"",IF(O186=0,"No replacement buy found",IF(P186&gt;1,"Manual selection needed","Auto matched"))))))</f>
        <v/>
      </c>
      <c r="Z186" t="str">
        <f>IF(K186="Yes",COUNTIF($K$18:K186,"Yes"),"")</f>
        <v/>
      </c>
    </row>
    <row r="187" spans="1:26" ht="34.15" customHeight="1" x14ac:dyDescent="0.2">
      <c r="A187" s="9"/>
      <c r="B187" s="69"/>
      <c r="C187" s="30"/>
      <c r="D187" s="70"/>
      <c r="E187" s="69"/>
      <c r="F187" s="70"/>
      <c r="G187" s="30"/>
      <c r="H187" s="63" t="str">
        <f>IF(OR(C187="",D187=""),"",C187*D187)</f>
        <v/>
      </c>
      <c r="I187" s="63" t="str">
        <f>IF(OR(E187="",F187="",M187&lt;=0),"",M187*F187)</f>
        <v/>
      </c>
      <c r="J187" s="63" t="str">
        <f>IF(I187="","",I187-(M187*D187))</f>
        <v/>
      </c>
      <c r="K187" s="28" t="str">
        <f>IF(A187="","",IF(T187&gt;0,"Yes","No"))</f>
        <v/>
      </c>
      <c r="L187" s="28" t="str">
        <f>IF(A187="","",A187&amp;"-"&amp;TEXT(B187,"yyyymmdd")&amp;"-R"&amp;ROW())</f>
        <v/>
      </c>
      <c r="M187" s="28" t="str">
        <f>IF(OR(C187="",G187=""),"",C187-G187)</f>
        <v/>
      </c>
      <c r="N187" s="63" t="str">
        <f>IF(OR(M187&lt;=0,J187&gt;=0),"",ABS(J187)/M187)</f>
        <v/>
      </c>
      <c r="O187" s="63" t="str">
        <f>IF(OR(A187="",M187&lt;=0,J187&gt;=0),"",MIN(M187,SUMPRODUCT(($A$18:$A$379=A187)*(IFERROR($B$18:$B$379&gt;=E187-30,0))*(IFERROR($B$18:$B$379&lt;=E187+30,0))*($G$18:$G$379&gt;0)*($L$18:$L$379&lt;&gt;L187)*($G$18:$G$379))+SUMPRODUCT(($A$381:$A$498=A187)*(IFERROR($B$381:$B$498&gt;=E187-30,0))*(IFERROR($B$381:$B$498&lt;=E187+30,0))*($G$381:$G$498&gt;0)*($L$381:$L$498&lt;&gt;L187)*($G$381:$G$498))))</f>
        <v/>
      </c>
      <c r="P187" s="28" t="str">
        <f>IF(OR(A187="",M187&lt;=0,J187&gt;=0),"",SUMPRODUCT(($A$18:$A$379=A187)*(IFERROR($B$18:$B$379&gt;=E187-30,0))*(IFERROR($B$18:$B$379&lt;=E187+30,0))*($G$18:$G$379&gt;0)*($L$18:$L$379&lt;&gt;L187))+SUMPRODUCT(($A$381:$A$498=A187)*(IFERROR($B$381:$B$498&gt;=E187-30,0))*(IFERROR($B$381:$B$498&lt;=E187+30,0))*($G$381:$G$498&gt;0)*($L$381:$L$498&lt;&gt;L187)))</f>
        <v/>
      </c>
      <c r="Q187" s="31" t="str">
        <f>IF(P187=1,IFERROR(INDEX($L$18:$L$379,MATCH(1,INDEX(($A$18:$A$379=A187)*(IFERROR($B$18:$B$379&gt;=E187-30,0))*(IFERROR($B$18:$B$379&lt;=E187+30,0))*($G$18:$G$379&gt;0)*($L$18:$L$379&lt;&gt;L187),0),0)),IFERROR(INDEX($L$381:$L$498,MATCH(1,INDEX(($A$381:$A$498=A187)*(IFERROR($B$381:$B$498&gt;=E187-30,0))*(IFERROR($B$381:$B$498&lt;=E187+30,0))*($G$381:$G$498&gt;0)*($L$381:$L$498&lt;&gt;L187),0),0)),"")),"")</f>
        <v/>
      </c>
      <c r="R187" s="32"/>
      <c r="S187" s="31" t="str">
        <f>IF(R187&lt;&gt;"",R187,Q187)</f>
        <v/>
      </c>
      <c r="T187" s="63">
        <f>IF(OR(N187="",O187=0),0,N187*O187)</f>
        <v>0</v>
      </c>
      <c r="U187" s="63">
        <f>IF(COUNTIF($S$18:$S$498,L187)=0,"",SUMIF($S$18:$S$498,L187,$T$18:$T$498))</f>
        <v>0</v>
      </c>
      <c r="V187" s="63" t="str">
        <f>IF(H187="","",IFERROR(H187+U187,H187))</f>
        <v/>
      </c>
      <c r="W187" s="63" t="str">
        <f>IF(OR(V187="",C187=""),"",V187/C187)</f>
        <v/>
      </c>
      <c r="X187" s="11" t="str">
        <f>IF(A187="","",IF(AND(U187&lt;&gt;"",U187&lt;&gt;0,M187=0),"Replacement lot receiving wash basis",IF(J187="","",IF(J187&gt;=0,"",IF(O187=0,"No replacement buy found",IF(P187&gt;1,"Manual selection needed","Auto matched"))))))</f>
        <v/>
      </c>
      <c r="Z187" t="str">
        <f>IF(K187="Yes",COUNTIF($K$18:K187,"Yes"),"")</f>
        <v/>
      </c>
    </row>
    <row r="188" spans="1:26" ht="34.15" customHeight="1" x14ac:dyDescent="0.2">
      <c r="A188" s="9"/>
      <c r="B188" s="69"/>
      <c r="C188" s="30"/>
      <c r="D188" s="70"/>
      <c r="E188" s="69"/>
      <c r="F188" s="70"/>
      <c r="G188" s="30"/>
      <c r="H188" s="63" t="str">
        <f>IF(OR(C188="",D188=""),"",C188*D188)</f>
        <v/>
      </c>
      <c r="I188" s="63" t="str">
        <f>IF(OR(E188="",F188="",M188&lt;=0),"",M188*F188)</f>
        <v/>
      </c>
      <c r="J188" s="63" t="str">
        <f>IF(I188="","",I188-(M188*D188))</f>
        <v/>
      </c>
      <c r="K188" s="28" t="str">
        <f>IF(A188="","",IF(T188&gt;0,"Yes","No"))</f>
        <v/>
      </c>
      <c r="L188" s="28" t="str">
        <f>IF(A188="","",A188&amp;"-"&amp;TEXT(B188,"yyyymmdd")&amp;"-R"&amp;ROW())</f>
        <v/>
      </c>
      <c r="M188" s="28" t="str">
        <f>IF(OR(C188="",G188=""),"",C188-G188)</f>
        <v/>
      </c>
      <c r="N188" s="63" t="str">
        <f>IF(OR(M188&lt;=0,J188&gt;=0),"",ABS(J188)/M188)</f>
        <v/>
      </c>
      <c r="O188" s="63" t="str">
        <f>IF(OR(A188="",M188&lt;=0,J188&gt;=0),"",MIN(M188,SUMPRODUCT(($A$18:$A$379=A188)*(IFERROR($B$18:$B$379&gt;=E188-30,0))*(IFERROR($B$18:$B$379&lt;=E188+30,0))*($G$18:$G$379&gt;0)*($L$18:$L$379&lt;&gt;L188)*($G$18:$G$379))+SUMPRODUCT(($A$381:$A$498=A188)*(IFERROR($B$381:$B$498&gt;=E188-30,0))*(IFERROR($B$381:$B$498&lt;=E188+30,0))*($G$381:$G$498&gt;0)*($L$381:$L$498&lt;&gt;L188)*($G$381:$G$498))))</f>
        <v/>
      </c>
      <c r="P188" s="28" t="str">
        <f>IF(OR(A188="",M188&lt;=0,J188&gt;=0),"",SUMPRODUCT(($A$18:$A$379=A188)*(IFERROR($B$18:$B$379&gt;=E188-30,0))*(IFERROR($B$18:$B$379&lt;=E188+30,0))*($G$18:$G$379&gt;0)*($L$18:$L$379&lt;&gt;L188))+SUMPRODUCT(($A$381:$A$498=A188)*(IFERROR($B$381:$B$498&gt;=E188-30,0))*(IFERROR($B$381:$B$498&lt;=E188+30,0))*($G$381:$G$498&gt;0)*($L$381:$L$498&lt;&gt;L188)))</f>
        <v/>
      </c>
      <c r="Q188" s="31" t="str">
        <f>IF(P188=1,IFERROR(INDEX($L$18:$L$379,MATCH(1,INDEX(($A$18:$A$379=A188)*(IFERROR($B$18:$B$379&gt;=E188-30,0))*(IFERROR($B$18:$B$379&lt;=E188+30,0))*($G$18:$G$379&gt;0)*($L$18:$L$379&lt;&gt;L188),0),0)),IFERROR(INDEX($L$381:$L$498,MATCH(1,INDEX(($A$381:$A$498=A188)*(IFERROR($B$381:$B$498&gt;=E188-30,0))*(IFERROR($B$381:$B$498&lt;=E188+30,0))*($G$381:$G$498&gt;0)*($L$381:$L$498&lt;&gt;L188),0),0)),"")),"")</f>
        <v/>
      </c>
      <c r="R188" s="32"/>
      <c r="S188" s="31" t="str">
        <f>IF(R188&lt;&gt;"",R188,Q188)</f>
        <v/>
      </c>
      <c r="T188" s="63">
        <f>IF(OR(N188="",O188=0),0,N188*O188)</f>
        <v>0</v>
      </c>
      <c r="U188" s="63">
        <f>IF(COUNTIF($S$18:$S$498,L188)=0,"",SUMIF($S$18:$S$498,L188,$T$18:$T$498))</f>
        <v>0</v>
      </c>
      <c r="V188" s="63" t="str">
        <f>IF(H188="","",IFERROR(H188+U188,H188))</f>
        <v/>
      </c>
      <c r="W188" s="63" t="str">
        <f>IF(OR(V188="",C188=""),"",V188/C188)</f>
        <v/>
      </c>
      <c r="X188" s="11" t="str">
        <f>IF(A188="","",IF(AND(U188&lt;&gt;"",U188&lt;&gt;0,M188=0),"Replacement lot receiving wash basis",IF(J188="","",IF(J188&gt;=0,"",IF(O188=0,"No replacement buy found",IF(P188&gt;1,"Manual selection needed","Auto matched"))))))</f>
        <v/>
      </c>
      <c r="Z188" t="str">
        <f>IF(K188="Yes",COUNTIF($K$18:K188,"Yes"),"")</f>
        <v/>
      </c>
    </row>
    <row r="189" spans="1:26" ht="34.15" customHeight="1" x14ac:dyDescent="0.2">
      <c r="A189" s="9"/>
      <c r="B189" s="69"/>
      <c r="C189" s="30"/>
      <c r="D189" s="70"/>
      <c r="E189" s="69"/>
      <c r="F189" s="70"/>
      <c r="G189" s="30"/>
      <c r="H189" s="63" t="str">
        <f>IF(OR(C189="",D189=""),"",C189*D189)</f>
        <v/>
      </c>
      <c r="I189" s="63" t="str">
        <f>IF(OR(E189="",F189="",M189&lt;=0),"",M189*F189)</f>
        <v/>
      </c>
      <c r="J189" s="63" t="str">
        <f>IF(I189="","",I189-(M189*D189))</f>
        <v/>
      </c>
      <c r="K189" s="28" t="str">
        <f>IF(A189="","",IF(T189&gt;0,"Yes","No"))</f>
        <v/>
      </c>
      <c r="L189" s="28" t="str">
        <f>IF(A189="","",A189&amp;"-"&amp;TEXT(B189,"yyyymmdd")&amp;"-R"&amp;ROW())</f>
        <v/>
      </c>
      <c r="M189" s="28" t="str">
        <f>IF(OR(C189="",G189=""),"",C189-G189)</f>
        <v/>
      </c>
      <c r="N189" s="63" t="str">
        <f>IF(OR(M189&lt;=0,J189&gt;=0),"",ABS(J189)/M189)</f>
        <v/>
      </c>
      <c r="O189" s="63" t="str">
        <f>IF(OR(A189="",M189&lt;=0,J189&gt;=0),"",MIN(M189,SUMPRODUCT(($A$18:$A$379=A189)*(IFERROR($B$18:$B$379&gt;=E189-30,0))*(IFERROR($B$18:$B$379&lt;=E189+30,0))*($G$18:$G$379&gt;0)*($L$18:$L$379&lt;&gt;L189)*($G$18:$G$379))+SUMPRODUCT(($A$381:$A$498=A189)*(IFERROR($B$381:$B$498&gt;=E189-30,0))*(IFERROR($B$381:$B$498&lt;=E189+30,0))*($G$381:$G$498&gt;0)*($L$381:$L$498&lt;&gt;L189)*($G$381:$G$498))))</f>
        <v/>
      </c>
      <c r="P189" s="28" t="str">
        <f>IF(OR(A189="",M189&lt;=0,J189&gt;=0),"",SUMPRODUCT(($A$18:$A$379=A189)*(IFERROR($B$18:$B$379&gt;=E189-30,0))*(IFERROR($B$18:$B$379&lt;=E189+30,0))*($G$18:$G$379&gt;0)*($L$18:$L$379&lt;&gt;L189))+SUMPRODUCT(($A$381:$A$498=A189)*(IFERROR($B$381:$B$498&gt;=E189-30,0))*(IFERROR($B$381:$B$498&lt;=E189+30,0))*($G$381:$G$498&gt;0)*($L$381:$L$498&lt;&gt;L189)))</f>
        <v/>
      </c>
      <c r="Q189" s="31" t="str">
        <f>IF(P189=1,IFERROR(INDEX($L$18:$L$379,MATCH(1,INDEX(($A$18:$A$379=A189)*(IFERROR($B$18:$B$379&gt;=E189-30,0))*(IFERROR($B$18:$B$379&lt;=E189+30,0))*($G$18:$G$379&gt;0)*($L$18:$L$379&lt;&gt;L189),0),0)),IFERROR(INDEX($L$381:$L$498,MATCH(1,INDEX(($A$381:$A$498=A189)*(IFERROR($B$381:$B$498&gt;=E189-30,0))*(IFERROR($B$381:$B$498&lt;=E189+30,0))*($G$381:$G$498&gt;0)*($L$381:$L$498&lt;&gt;L189),0),0)),"")),"")</f>
        <v/>
      </c>
      <c r="R189" s="32"/>
      <c r="S189" s="31" t="str">
        <f>IF(R189&lt;&gt;"",R189,Q189)</f>
        <v/>
      </c>
      <c r="T189" s="63">
        <f>IF(OR(N189="",O189=0),0,N189*O189)</f>
        <v>0</v>
      </c>
      <c r="U189" s="63">
        <f>IF(COUNTIF($S$18:$S$498,L189)=0,"",SUMIF($S$18:$S$498,L189,$T$18:$T$498))</f>
        <v>0</v>
      </c>
      <c r="V189" s="63" t="str">
        <f>IF(H189="","",IFERROR(H189+U189,H189))</f>
        <v/>
      </c>
      <c r="W189" s="63" t="str">
        <f>IF(OR(V189="",C189=""),"",V189/C189)</f>
        <v/>
      </c>
      <c r="X189" s="11" t="str">
        <f>IF(A189="","",IF(AND(U189&lt;&gt;"",U189&lt;&gt;0,M189=0),"Replacement lot receiving wash basis",IF(J189="","",IF(J189&gt;=0,"",IF(O189=0,"No replacement buy found",IF(P189&gt;1,"Manual selection needed","Auto matched"))))))</f>
        <v/>
      </c>
      <c r="Z189" t="str">
        <f>IF(K189="Yes",COUNTIF($K$18:K189,"Yes"),"")</f>
        <v/>
      </c>
    </row>
    <row r="190" spans="1:26" ht="34.15" customHeight="1" x14ac:dyDescent="0.2">
      <c r="A190" s="9"/>
      <c r="B190" s="69"/>
      <c r="C190" s="30"/>
      <c r="D190" s="70"/>
      <c r="E190" s="69"/>
      <c r="F190" s="70"/>
      <c r="G190" s="30"/>
      <c r="H190" s="63" t="str">
        <f>IF(OR(C190="",D190=""),"",C190*D190)</f>
        <v/>
      </c>
      <c r="I190" s="63" t="str">
        <f>IF(OR(E190="",F190="",M190&lt;=0),"",M190*F190)</f>
        <v/>
      </c>
      <c r="J190" s="63" t="str">
        <f>IF(I190="","",I190-(M190*D190))</f>
        <v/>
      </c>
      <c r="K190" s="28" t="str">
        <f>IF(A190="","",IF(T190&gt;0,"Yes","No"))</f>
        <v/>
      </c>
      <c r="L190" s="28" t="str">
        <f>IF(A190="","",A190&amp;"-"&amp;TEXT(B190,"yyyymmdd")&amp;"-R"&amp;ROW())</f>
        <v/>
      </c>
      <c r="M190" s="28" t="str">
        <f>IF(OR(C190="",G190=""),"",C190-G190)</f>
        <v/>
      </c>
      <c r="N190" s="63" t="str">
        <f>IF(OR(M190&lt;=0,J190&gt;=0),"",ABS(J190)/M190)</f>
        <v/>
      </c>
      <c r="O190" s="63" t="str">
        <f>IF(OR(A190="",M190&lt;=0,J190&gt;=0),"",MIN(M190,SUMPRODUCT(($A$18:$A$379=A190)*(IFERROR($B$18:$B$379&gt;=E190-30,0))*(IFERROR($B$18:$B$379&lt;=E190+30,0))*($G$18:$G$379&gt;0)*($L$18:$L$379&lt;&gt;L190)*($G$18:$G$379))+SUMPRODUCT(($A$381:$A$498=A190)*(IFERROR($B$381:$B$498&gt;=E190-30,0))*(IFERROR($B$381:$B$498&lt;=E190+30,0))*($G$381:$G$498&gt;0)*($L$381:$L$498&lt;&gt;L190)*($G$381:$G$498))))</f>
        <v/>
      </c>
      <c r="P190" s="28" t="str">
        <f>IF(OR(A190="",M190&lt;=0,J190&gt;=0),"",SUMPRODUCT(($A$18:$A$379=A190)*(IFERROR($B$18:$B$379&gt;=E190-30,0))*(IFERROR($B$18:$B$379&lt;=E190+30,0))*($G$18:$G$379&gt;0)*($L$18:$L$379&lt;&gt;L190))+SUMPRODUCT(($A$381:$A$498=A190)*(IFERROR($B$381:$B$498&gt;=E190-30,0))*(IFERROR($B$381:$B$498&lt;=E190+30,0))*($G$381:$G$498&gt;0)*($L$381:$L$498&lt;&gt;L190)))</f>
        <v/>
      </c>
      <c r="Q190" s="31" t="str">
        <f>IF(P190=1,IFERROR(INDEX($L$18:$L$379,MATCH(1,INDEX(($A$18:$A$379=A190)*(IFERROR($B$18:$B$379&gt;=E190-30,0))*(IFERROR($B$18:$B$379&lt;=E190+30,0))*($G$18:$G$379&gt;0)*($L$18:$L$379&lt;&gt;L190),0),0)),IFERROR(INDEX($L$381:$L$498,MATCH(1,INDEX(($A$381:$A$498=A190)*(IFERROR($B$381:$B$498&gt;=E190-30,0))*(IFERROR($B$381:$B$498&lt;=E190+30,0))*($G$381:$G$498&gt;0)*($L$381:$L$498&lt;&gt;L190),0),0)),"")),"")</f>
        <v/>
      </c>
      <c r="R190" s="32"/>
      <c r="S190" s="31" t="str">
        <f>IF(R190&lt;&gt;"",R190,Q190)</f>
        <v/>
      </c>
      <c r="T190" s="63">
        <f>IF(OR(N190="",O190=0),0,N190*O190)</f>
        <v>0</v>
      </c>
      <c r="U190" s="63">
        <f>IF(COUNTIF($S$18:$S$498,L190)=0,"",SUMIF($S$18:$S$498,L190,$T$18:$T$498))</f>
        <v>0</v>
      </c>
      <c r="V190" s="63" t="str">
        <f>IF(H190="","",IFERROR(H190+U190,H190))</f>
        <v/>
      </c>
      <c r="W190" s="63" t="str">
        <f>IF(OR(V190="",C190=""),"",V190/C190)</f>
        <v/>
      </c>
      <c r="X190" s="11" t="str">
        <f>IF(A190="","",IF(AND(U190&lt;&gt;"",U190&lt;&gt;0,M190=0),"Replacement lot receiving wash basis",IF(J190="","",IF(J190&gt;=0,"",IF(O190=0,"No replacement buy found",IF(P190&gt;1,"Manual selection needed","Auto matched"))))))</f>
        <v/>
      </c>
      <c r="Z190" t="str">
        <f>IF(K190="Yes",COUNTIF($K$18:K190,"Yes"),"")</f>
        <v/>
      </c>
    </row>
    <row r="191" spans="1:26" ht="34.15" customHeight="1" x14ac:dyDescent="0.2">
      <c r="A191" s="9"/>
      <c r="B191" s="69"/>
      <c r="C191" s="30"/>
      <c r="D191" s="70"/>
      <c r="E191" s="69"/>
      <c r="F191" s="70"/>
      <c r="G191" s="30"/>
      <c r="H191" s="63" t="str">
        <f>IF(OR(C191="",D191=""),"",C191*D191)</f>
        <v/>
      </c>
      <c r="I191" s="63" t="str">
        <f>IF(OR(E191="",F191="",M191&lt;=0),"",M191*F191)</f>
        <v/>
      </c>
      <c r="J191" s="63" t="str">
        <f>IF(I191="","",I191-(M191*D191))</f>
        <v/>
      </c>
      <c r="K191" s="28" t="str">
        <f>IF(A191="","",IF(T191&gt;0,"Yes","No"))</f>
        <v/>
      </c>
      <c r="L191" s="28" t="str">
        <f>IF(A191="","",A191&amp;"-"&amp;TEXT(B191,"yyyymmdd")&amp;"-R"&amp;ROW())</f>
        <v/>
      </c>
      <c r="M191" s="28" t="str">
        <f>IF(OR(C191="",G191=""),"",C191-G191)</f>
        <v/>
      </c>
      <c r="N191" s="63" t="str">
        <f>IF(OR(M191&lt;=0,J191&gt;=0),"",ABS(J191)/M191)</f>
        <v/>
      </c>
      <c r="O191" s="63" t="str">
        <f>IF(OR(A191="",M191&lt;=0,J191&gt;=0),"",MIN(M191,SUMPRODUCT(($A$18:$A$379=A191)*(IFERROR($B$18:$B$379&gt;=E191-30,0))*(IFERROR($B$18:$B$379&lt;=E191+30,0))*($G$18:$G$379&gt;0)*($L$18:$L$379&lt;&gt;L191)*($G$18:$G$379))+SUMPRODUCT(($A$381:$A$498=A191)*(IFERROR($B$381:$B$498&gt;=E191-30,0))*(IFERROR($B$381:$B$498&lt;=E191+30,0))*($G$381:$G$498&gt;0)*($L$381:$L$498&lt;&gt;L191)*($G$381:$G$498))))</f>
        <v/>
      </c>
      <c r="P191" s="28" t="str">
        <f>IF(OR(A191="",M191&lt;=0,J191&gt;=0),"",SUMPRODUCT(($A$18:$A$379=A191)*(IFERROR($B$18:$B$379&gt;=E191-30,0))*(IFERROR($B$18:$B$379&lt;=E191+30,0))*($G$18:$G$379&gt;0)*($L$18:$L$379&lt;&gt;L191))+SUMPRODUCT(($A$381:$A$498=A191)*(IFERROR($B$381:$B$498&gt;=E191-30,0))*(IFERROR($B$381:$B$498&lt;=E191+30,0))*($G$381:$G$498&gt;0)*($L$381:$L$498&lt;&gt;L191)))</f>
        <v/>
      </c>
      <c r="Q191" s="31" t="str">
        <f>IF(P191=1,IFERROR(INDEX($L$18:$L$379,MATCH(1,INDEX(($A$18:$A$379=A191)*(IFERROR($B$18:$B$379&gt;=E191-30,0))*(IFERROR($B$18:$B$379&lt;=E191+30,0))*($G$18:$G$379&gt;0)*($L$18:$L$379&lt;&gt;L191),0),0)),IFERROR(INDEX($L$381:$L$498,MATCH(1,INDEX(($A$381:$A$498=A191)*(IFERROR($B$381:$B$498&gt;=E191-30,0))*(IFERROR($B$381:$B$498&lt;=E191+30,0))*($G$381:$G$498&gt;0)*($L$381:$L$498&lt;&gt;L191),0),0)),"")),"")</f>
        <v/>
      </c>
      <c r="R191" s="32"/>
      <c r="S191" s="31" t="str">
        <f>IF(R191&lt;&gt;"",R191,Q191)</f>
        <v/>
      </c>
      <c r="T191" s="63">
        <f>IF(OR(N191="",O191=0),0,N191*O191)</f>
        <v>0</v>
      </c>
      <c r="U191" s="63">
        <f>IF(COUNTIF($S$18:$S$498,L191)=0,"",SUMIF($S$18:$S$498,L191,$T$18:$T$498))</f>
        <v>0</v>
      </c>
      <c r="V191" s="63" t="str">
        <f>IF(H191="","",IFERROR(H191+U191,H191))</f>
        <v/>
      </c>
      <c r="W191" s="63" t="str">
        <f>IF(OR(V191="",C191=""),"",V191/C191)</f>
        <v/>
      </c>
      <c r="X191" s="11" t="str">
        <f>IF(A191="","",IF(AND(U191&lt;&gt;"",U191&lt;&gt;0,M191=0),"Replacement lot receiving wash basis",IF(J191="","",IF(J191&gt;=0,"",IF(O191=0,"No replacement buy found",IF(P191&gt;1,"Manual selection needed","Auto matched"))))))</f>
        <v/>
      </c>
      <c r="Z191" t="str">
        <f>IF(K191="Yes",COUNTIF($K$18:K191,"Yes"),"")</f>
        <v/>
      </c>
    </row>
    <row r="192" spans="1:26" ht="34.15" customHeight="1" x14ac:dyDescent="0.2">
      <c r="A192" s="9"/>
      <c r="B192" s="69"/>
      <c r="C192" s="30"/>
      <c r="D192" s="70"/>
      <c r="E192" s="69"/>
      <c r="F192" s="70"/>
      <c r="G192" s="30"/>
      <c r="H192" s="63" t="str">
        <f>IF(OR(C192="",D192=""),"",C192*D192)</f>
        <v/>
      </c>
      <c r="I192" s="63" t="str">
        <f>IF(OR(E192="",F192="",M192&lt;=0),"",M192*F192)</f>
        <v/>
      </c>
      <c r="J192" s="63" t="str">
        <f>IF(I192="","",I192-(M192*D192))</f>
        <v/>
      </c>
      <c r="K192" s="28" t="str">
        <f>IF(A192="","",IF(T192&gt;0,"Yes","No"))</f>
        <v/>
      </c>
      <c r="L192" s="28" t="str">
        <f>IF(A192="","",A192&amp;"-"&amp;TEXT(B192,"yyyymmdd")&amp;"-R"&amp;ROW())</f>
        <v/>
      </c>
      <c r="M192" s="28" t="str">
        <f>IF(OR(C192="",G192=""),"",C192-G192)</f>
        <v/>
      </c>
      <c r="N192" s="63" t="str">
        <f>IF(OR(M192&lt;=0,J192&gt;=0),"",ABS(J192)/M192)</f>
        <v/>
      </c>
      <c r="O192" s="63" t="str">
        <f>IF(OR(A192="",M192&lt;=0,J192&gt;=0),"",MIN(M192,SUMPRODUCT(($A$18:$A$379=A192)*(IFERROR($B$18:$B$379&gt;=E192-30,0))*(IFERROR($B$18:$B$379&lt;=E192+30,0))*($G$18:$G$379&gt;0)*($L$18:$L$379&lt;&gt;L192)*($G$18:$G$379))+SUMPRODUCT(($A$381:$A$498=A192)*(IFERROR($B$381:$B$498&gt;=E192-30,0))*(IFERROR($B$381:$B$498&lt;=E192+30,0))*($G$381:$G$498&gt;0)*($L$381:$L$498&lt;&gt;L192)*($G$381:$G$498))))</f>
        <v/>
      </c>
      <c r="P192" s="28" t="str">
        <f>IF(OR(A192="",M192&lt;=0,J192&gt;=0),"",SUMPRODUCT(($A$18:$A$379=A192)*(IFERROR($B$18:$B$379&gt;=E192-30,0))*(IFERROR($B$18:$B$379&lt;=E192+30,0))*($G$18:$G$379&gt;0)*($L$18:$L$379&lt;&gt;L192))+SUMPRODUCT(($A$381:$A$498=A192)*(IFERROR($B$381:$B$498&gt;=E192-30,0))*(IFERROR($B$381:$B$498&lt;=E192+30,0))*($G$381:$G$498&gt;0)*($L$381:$L$498&lt;&gt;L192)))</f>
        <v/>
      </c>
      <c r="Q192" s="31" t="str">
        <f>IF(P192=1,IFERROR(INDEX($L$18:$L$379,MATCH(1,INDEX(($A$18:$A$379=A192)*(IFERROR($B$18:$B$379&gt;=E192-30,0))*(IFERROR($B$18:$B$379&lt;=E192+30,0))*($G$18:$G$379&gt;0)*($L$18:$L$379&lt;&gt;L192),0),0)),IFERROR(INDEX($L$381:$L$498,MATCH(1,INDEX(($A$381:$A$498=A192)*(IFERROR($B$381:$B$498&gt;=E192-30,0))*(IFERROR($B$381:$B$498&lt;=E192+30,0))*($G$381:$G$498&gt;0)*($L$381:$L$498&lt;&gt;L192),0),0)),"")),"")</f>
        <v/>
      </c>
      <c r="R192" s="32"/>
      <c r="S192" s="31" t="str">
        <f>IF(R192&lt;&gt;"",R192,Q192)</f>
        <v/>
      </c>
      <c r="T192" s="63">
        <f>IF(OR(N192="",O192=0),0,N192*O192)</f>
        <v>0</v>
      </c>
      <c r="U192" s="63">
        <f>IF(COUNTIF($S$18:$S$498,L192)=0,"",SUMIF($S$18:$S$498,L192,$T$18:$T$498))</f>
        <v>0</v>
      </c>
      <c r="V192" s="63" t="str">
        <f>IF(H192="","",IFERROR(H192+U192,H192))</f>
        <v/>
      </c>
      <c r="W192" s="63" t="str">
        <f>IF(OR(V192="",C192=""),"",V192/C192)</f>
        <v/>
      </c>
      <c r="X192" s="11" t="str">
        <f>IF(A192="","",IF(AND(U192&lt;&gt;"",U192&lt;&gt;0,M192=0),"Replacement lot receiving wash basis",IF(J192="","",IF(J192&gt;=0,"",IF(O192=0,"No replacement buy found",IF(P192&gt;1,"Manual selection needed","Auto matched"))))))</f>
        <v/>
      </c>
      <c r="Z192" t="str">
        <f>IF(K192="Yes",COUNTIF($K$18:K192,"Yes"),"")</f>
        <v/>
      </c>
    </row>
    <row r="193" spans="1:26" ht="34.15" customHeight="1" x14ac:dyDescent="0.2">
      <c r="A193" s="9"/>
      <c r="B193" s="69"/>
      <c r="C193" s="30"/>
      <c r="D193" s="70"/>
      <c r="E193" s="69"/>
      <c r="F193" s="70"/>
      <c r="G193" s="30"/>
      <c r="H193" s="63" t="str">
        <f>IF(OR(C193="",D193=""),"",C193*D193)</f>
        <v/>
      </c>
      <c r="I193" s="63" t="str">
        <f>IF(OR(E193="",F193="",M193&lt;=0),"",M193*F193)</f>
        <v/>
      </c>
      <c r="J193" s="63" t="str">
        <f>IF(I193="","",I193-(M193*D193))</f>
        <v/>
      </c>
      <c r="K193" s="28" t="str">
        <f>IF(A193="","",IF(T193&gt;0,"Yes","No"))</f>
        <v/>
      </c>
      <c r="L193" s="28" t="str">
        <f>IF(A193="","",A193&amp;"-"&amp;TEXT(B193,"yyyymmdd")&amp;"-R"&amp;ROW())</f>
        <v/>
      </c>
      <c r="M193" s="28" t="str">
        <f>IF(OR(C193="",G193=""),"",C193-G193)</f>
        <v/>
      </c>
      <c r="N193" s="63" t="str">
        <f>IF(OR(M193&lt;=0,J193&gt;=0),"",ABS(J193)/M193)</f>
        <v/>
      </c>
      <c r="O193" s="63" t="str">
        <f>IF(OR(A193="",M193&lt;=0,J193&gt;=0),"",MIN(M193,SUMPRODUCT(($A$18:$A$379=A193)*(IFERROR($B$18:$B$379&gt;=E193-30,0))*(IFERROR($B$18:$B$379&lt;=E193+30,0))*($G$18:$G$379&gt;0)*($L$18:$L$379&lt;&gt;L193)*($G$18:$G$379))+SUMPRODUCT(($A$381:$A$498=A193)*(IFERROR($B$381:$B$498&gt;=E193-30,0))*(IFERROR($B$381:$B$498&lt;=E193+30,0))*($G$381:$G$498&gt;0)*($L$381:$L$498&lt;&gt;L193)*($G$381:$G$498))))</f>
        <v/>
      </c>
      <c r="P193" s="28" t="str">
        <f>IF(OR(A193="",M193&lt;=0,J193&gt;=0),"",SUMPRODUCT(($A$18:$A$379=A193)*(IFERROR($B$18:$B$379&gt;=E193-30,0))*(IFERROR($B$18:$B$379&lt;=E193+30,0))*($G$18:$G$379&gt;0)*($L$18:$L$379&lt;&gt;L193))+SUMPRODUCT(($A$381:$A$498=A193)*(IFERROR($B$381:$B$498&gt;=E193-30,0))*(IFERROR($B$381:$B$498&lt;=E193+30,0))*($G$381:$G$498&gt;0)*($L$381:$L$498&lt;&gt;L193)))</f>
        <v/>
      </c>
      <c r="Q193" s="31" t="str">
        <f>IF(P193=1,IFERROR(INDEX($L$18:$L$379,MATCH(1,INDEX(($A$18:$A$379=A193)*(IFERROR($B$18:$B$379&gt;=E193-30,0))*(IFERROR($B$18:$B$379&lt;=E193+30,0))*($G$18:$G$379&gt;0)*($L$18:$L$379&lt;&gt;L193),0),0)),IFERROR(INDEX($L$381:$L$498,MATCH(1,INDEX(($A$381:$A$498=A193)*(IFERROR($B$381:$B$498&gt;=E193-30,0))*(IFERROR($B$381:$B$498&lt;=E193+30,0))*($G$381:$G$498&gt;0)*($L$381:$L$498&lt;&gt;L193),0),0)),"")),"")</f>
        <v/>
      </c>
      <c r="R193" s="32"/>
      <c r="S193" s="31" t="str">
        <f>IF(R193&lt;&gt;"",R193,Q193)</f>
        <v/>
      </c>
      <c r="T193" s="63">
        <f>IF(OR(N193="",O193=0),0,N193*O193)</f>
        <v>0</v>
      </c>
      <c r="U193" s="63">
        <f>IF(COUNTIF($S$18:$S$498,L193)=0,"",SUMIF($S$18:$S$498,L193,$T$18:$T$498))</f>
        <v>0</v>
      </c>
      <c r="V193" s="63" t="str">
        <f>IF(H193="","",IFERROR(H193+U193,H193))</f>
        <v/>
      </c>
      <c r="W193" s="63" t="str">
        <f>IF(OR(V193="",C193=""),"",V193/C193)</f>
        <v/>
      </c>
      <c r="X193" s="11" t="str">
        <f>IF(A193="","",IF(AND(U193&lt;&gt;"",U193&lt;&gt;0,M193=0),"Replacement lot receiving wash basis",IF(J193="","",IF(J193&gt;=0,"",IF(O193=0,"No replacement buy found",IF(P193&gt;1,"Manual selection needed","Auto matched"))))))</f>
        <v/>
      </c>
      <c r="Z193" t="str">
        <f>IF(K193="Yes",COUNTIF($K$18:K193,"Yes"),"")</f>
        <v/>
      </c>
    </row>
    <row r="194" spans="1:26" ht="34.15" customHeight="1" x14ac:dyDescent="0.2">
      <c r="A194" s="9"/>
      <c r="B194" s="69"/>
      <c r="C194" s="30"/>
      <c r="D194" s="70"/>
      <c r="E194" s="69"/>
      <c r="F194" s="70"/>
      <c r="G194" s="30"/>
      <c r="H194" s="63" t="str">
        <f>IF(OR(C194="",D194=""),"",C194*D194)</f>
        <v/>
      </c>
      <c r="I194" s="63" t="str">
        <f>IF(OR(E194="",F194="",M194&lt;=0),"",M194*F194)</f>
        <v/>
      </c>
      <c r="J194" s="63" t="str">
        <f>IF(I194="","",I194-(M194*D194))</f>
        <v/>
      </c>
      <c r="K194" s="28" t="str">
        <f>IF(A194="","",IF(T194&gt;0,"Yes","No"))</f>
        <v/>
      </c>
      <c r="L194" s="28" t="str">
        <f>IF(A194="","",A194&amp;"-"&amp;TEXT(B194,"yyyymmdd")&amp;"-R"&amp;ROW())</f>
        <v/>
      </c>
      <c r="M194" s="28" t="str">
        <f>IF(OR(C194="",G194=""),"",C194-G194)</f>
        <v/>
      </c>
      <c r="N194" s="63" t="str">
        <f>IF(OR(M194&lt;=0,J194&gt;=0),"",ABS(J194)/M194)</f>
        <v/>
      </c>
      <c r="O194" s="63" t="str">
        <f>IF(OR(A194="",M194&lt;=0,J194&gt;=0),"",MIN(M194,SUMPRODUCT(($A$18:$A$379=A194)*(IFERROR($B$18:$B$379&gt;=E194-30,0))*(IFERROR($B$18:$B$379&lt;=E194+30,0))*($G$18:$G$379&gt;0)*($L$18:$L$379&lt;&gt;L194)*($G$18:$G$379))+SUMPRODUCT(($A$381:$A$498=A194)*(IFERROR($B$381:$B$498&gt;=E194-30,0))*(IFERROR($B$381:$B$498&lt;=E194+30,0))*($G$381:$G$498&gt;0)*($L$381:$L$498&lt;&gt;L194)*($G$381:$G$498))))</f>
        <v/>
      </c>
      <c r="P194" s="28" t="str">
        <f>IF(OR(A194="",M194&lt;=0,J194&gt;=0),"",SUMPRODUCT(($A$18:$A$379=A194)*(IFERROR($B$18:$B$379&gt;=E194-30,0))*(IFERROR($B$18:$B$379&lt;=E194+30,0))*($G$18:$G$379&gt;0)*($L$18:$L$379&lt;&gt;L194))+SUMPRODUCT(($A$381:$A$498=A194)*(IFERROR($B$381:$B$498&gt;=E194-30,0))*(IFERROR($B$381:$B$498&lt;=E194+30,0))*($G$381:$G$498&gt;0)*($L$381:$L$498&lt;&gt;L194)))</f>
        <v/>
      </c>
      <c r="Q194" s="31" t="str">
        <f>IF(P194=1,IFERROR(INDEX($L$18:$L$379,MATCH(1,INDEX(($A$18:$A$379=A194)*(IFERROR($B$18:$B$379&gt;=E194-30,0))*(IFERROR($B$18:$B$379&lt;=E194+30,0))*($G$18:$G$379&gt;0)*($L$18:$L$379&lt;&gt;L194),0),0)),IFERROR(INDEX($L$381:$L$498,MATCH(1,INDEX(($A$381:$A$498=A194)*(IFERROR($B$381:$B$498&gt;=E194-30,0))*(IFERROR($B$381:$B$498&lt;=E194+30,0))*($G$381:$G$498&gt;0)*($L$381:$L$498&lt;&gt;L194),0),0)),"")),"")</f>
        <v/>
      </c>
      <c r="R194" s="32"/>
      <c r="S194" s="31" t="str">
        <f>IF(R194&lt;&gt;"",R194,Q194)</f>
        <v/>
      </c>
      <c r="T194" s="63">
        <f>IF(OR(N194="",O194=0),0,N194*O194)</f>
        <v>0</v>
      </c>
      <c r="U194" s="63">
        <f>IF(COUNTIF($S$18:$S$498,L194)=0,"",SUMIF($S$18:$S$498,L194,$T$18:$T$498))</f>
        <v>0</v>
      </c>
      <c r="V194" s="63" t="str">
        <f>IF(H194="","",IFERROR(H194+U194,H194))</f>
        <v/>
      </c>
      <c r="W194" s="63" t="str">
        <f>IF(OR(V194="",C194=""),"",V194/C194)</f>
        <v/>
      </c>
      <c r="X194" s="11" t="str">
        <f>IF(A194="","",IF(AND(U194&lt;&gt;"",U194&lt;&gt;0,M194=0),"Replacement lot receiving wash basis",IF(J194="","",IF(J194&gt;=0,"",IF(O194=0,"No replacement buy found",IF(P194&gt;1,"Manual selection needed","Auto matched"))))))</f>
        <v/>
      </c>
      <c r="Z194" t="str">
        <f>IF(K194="Yes",COUNTIF($K$18:K194,"Yes"),"")</f>
        <v/>
      </c>
    </row>
    <row r="195" spans="1:26" ht="34.15" customHeight="1" x14ac:dyDescent="0.2">
      <c r="A195" s="9"/>
      <c r="B195" s="69"/>
      <c r="C195" s="30"/>
      <c r="D195" s="70"/>
      <c r="E195" s="69"/>
      <c r="F195" s="70"/>
      <c r="G195" s="30"/>
      <c r="H195" s="63" t="str">
        <f>IF(OR(C195="",D195=""),"",C195*D195)</f>
        <v/>
      </c>
      <c r="I195" s="63" t="str">
        <f>IF(OR(E195="",F195="",M195&lt;=0),"",M195*F195)</f>
        <v/>
      </c>
      <c r="J195" s="63" t="str">
        <f>IF(I195="","",I195-(M195*D195))</f>
        <v/>
      </c>
      <c r="K195" s="28" t="str">
        <f>IF(A195="","",IF(T195&gt;0,"Yes","No"))</f>
        <v/>
      </c>
      <c r="L195" s="28" t="str">
        <f>IF(A195="","",A195&amp;"-"&amp;TEXT(B195,"yyyymmdd")&amp;"-R"&amp;ROW())</f>
        <v/>
      </c>
      <c r="M195" s="28" t="str">
        <f>IF(OR(C195="",G195=""),"",C195-G195)</f>
        <v/>
      </c>
      <c r="N195" s="63" t="str">
        <f>IF(OR(M195&lt;=0,J195&gt;=0),"",ABS(J195)/M195)</f>
        <v/>
      </c>
      <c r="O195" s="63" t="str">
        <f>IF(OR(A195="",M195&lt;=0,J195&gt;=0),"",MIN(M195,SUMPRODUCT(($A$18:$A$379=A195)*(IFERROR($B$18:$B$379&gt;=E195-30,0))*(IFERROR($B$18:$B$379&lt;=E195+30,0))*($G$18:$G$379&gt;0)*($L$18:$L$379&lt;&gt;L195)*($G$18:$G$379))+SUMPRODUCT(($A$381:$A$498=A195)*(IFERROR($B$381:$B$498&gt;=E195-30,0))*(IFERROR($B$381:$B$498&lt;=E195+30,0))*($G$381:$G$498&gt;0)*($L$381:$L$498&lt;&gt;L195)*($G$381:$G$498))))</f>
        <v/>
      </c>
      <c r="P195" s="28" t="str">
        <f>IF(OR(A195="",M195&lt;=0,J195&gt;=0),"",SUMPRODUCT(($A$18:$A$379=A195)*(IFERROR($B$18:$B$379&gt;=E195-30,0))*(IFERROR($B$18:$B$379&lt;=E195+30,0))*($G$18:$G$379&gt;0)*($L$18:$L$379&lt;&gt;L195))+SUMPRODUCT(($A$381:$A$498=A195)*(IFERROR($B$381:$B$498&gt;=E195-30,0))*(IFERROR($B$381:$B$498&lt;=E195+30,0))*($G$381:$G$498&gt;0)*($L$381:$L$498&lt;&gt;L195)))</f>
        <v/>
      </c>
      <c r="Q195" s="31" t="str">
        <f>IF(P195=1,IFERROR(INDEX($L$18:$L$379,MATCH(1,INDEX(($A$18:$A$379=A195)*(IFERROR($B$18:$B$379&gt;=E195-30,0))*(IFERROR($B$18:$B$379&lt;=E195+30,0))*($G$18:$G$379&gt;0)*($L$18:$L$379&lt;&gt;L195),0),0)),IFERROR(INDEX($L$381:$L$498,MATCH(1,INDEX(($A$381:$A$498=A195)*(IFERROR($B$381:$B$498&gt;=E195-30,0))*(IFERROR($B$381:$B$498&lt;=E195+30,0))*($G$381:$G$498&gt;0)*($L$381:$L$498&lt;&gt;L195),0),0)),"")),"")</f>
        <v/>
      </c>
      <c r="R195" s="32"/>
      <c r="S195" s="31" t="str">
        <f>IF(R195&lt;&gt;"",R195,Q195)</f>
        <v/>
      </c>
      <c r="T195" s="63">
        <f>IF(OR(N195="",O195=0),0,N195*O195)</f>
        <v>0</v>
      </c>
      <c r="U195" s="63">
        <f>IF(COUNTIF($S$18:$S$498,L195)=0,"",SUMIF($S$18:$S$498,L195,$T$18:$T$498))</f>
        <v>0</v>
      </c>
      <c r="V195" s="63" t="str">
        <f>IF(H195="","",IFERROR(H195+U195,H195))</f>
        <v/>
      </c>
      <c r="W195" s="63" t="str">
        <f>IF(OR(V195="",C195=""),"",V195/C195)</f>
        <v/>
      </c>
      <c r="X195" s="11" t="str">
        <f>IF(A195="","",IF(AND(U195&lt;&gt;"",U195&lt;&gt;0,M195=0),"Replacement lot receiving wash basis",IF(J195="","",IF(J195&gt;=0,"",IF(O195=0,"No replacement buy found",IF(P195&gt;1,"Manual selection needed","Auto matched"))))))</f>
        <v/>
      </c>
      <c r="Z195" t="str">
        <f>IF(K195="Yes",COUNTIF($K$18:K195,"Yes"),"")</f>
        <v/>
      </c>
    </row>
    <row r="196" spans="1:26" ht="34.15" customHeight="1" x14ac:dyDescent="0.2">
      <c r="A196" s="9"/>
      <c r="B196" s="69"/>
      <c r="C196" s="30"/>
      <c r="D196" s="70"/>
      <c r="E196" s="69"/>
      <c r="F196" s="70"/>
      <c r="G196" s="30"/>
      <c r="H196" s="63" t="str">
        <f>IF(OR(C196="",D196=""),"",C196*D196)</f>
        <v/>
      </c>
      <c r="I196" s="63" t="str">
        <f>IF(OR(E196="",F196="",M196&lt;=0),"",M196*F196)</f>
        <v/>
      </c>
      <c r="J196" s="63" t="str">
        <f>IF(I196="","",I196-(M196*D196))</f>
        <v/>
      </c>
      <c r="K196" s="28" t="str">
        <f>IF(A196="","",IF(T196&gt;0,"Yes","No"))</f>
        <v/>
      </c>
      <c r="L196" s="28" t="str">
        <f>IF(A196="","",A196&amp;"-"&amp;TEXT(B196,"yyyymmdd")&amp;"-R"&amp;ROW())</f>
        <v/>
      </c>
      <c r="M196" s="28" t="str">
        <f>IF(OR(C196="",G196=""),"",C196-G196)</f>
        <v/>
      </c>
      <c r="N196" s="63" t="str">
        <f>IF(OR(M196&lt;=0,J196&gt;=0),"",ABS(J196)/M196)</f>
        <v/>
      </c>
      <c r="O196" s="63" t="str">
        <f>IF(OR(A196="",M196&lt;=0,J196&gt;=0),"",MIN(M196,SUMPRODUCT(($A$18:$A$379=A196)*(IFERROR($B$18:$B$379&gt;=E196-30,0))*(IFERROR($B$18:$B$379&lt;=E196+30,0))*($G$18:$G$379&gt;0)*($L$18:$L$379&lt;&gt;L196)*($G$18:$G$379))+SUMPRODUCT(($A$381:$A$498=A196)*(IFERROR($B$381:$B$498&gt;=E196-30,0))*(IFERROR($B$381:$B$498&lt;=E196+30,0))*($G$381:$G$498&gt;0)*($L$381:$L$498&lt;&gt;L196)*($G$381:$G$498))))</f>
        <v/>
      </c>
      <c r="P196" s="28" t="str">
        <f>IF(OR(A196="",M196&lt;=0,J196&gt;=0),"",SUMPRODUCT(($A$18:$A$379=A196)*(IFERROR($B$18:$B$379&gt;=E196-30,0))*(IFERROR($B$18:$B$379&lt;=E196+30,0))*($G$18:$G$379&gt;0)*($L$18:$L$379&lt;&gt;L196))+SUMPRODUCT(($A$381:$A$498=A196)*(IFERROR($B$381:$B$498&gt;=E196-30,0))*(IFERROR($B$381:$B$498&lt;=E196+30,0))*($G$381:$G$498&gt;0)*($L$381:$L$498&lt;&gt;L196)))</f>
        <v/>
      </c>
      <c r="Q196" s="31" t="str">
        <f>IF(P196=1,IFERROR(INDEX($L$18:$L$379,MATCH(1,INDEX(($A$18:$A$379=A196)*(IFERROR($B$18:$B$379&gt;=E196-30,0))*(IFERROR($B$18:$B$379&lt;=E196+30,0))*($G$18:$G$379&gt;0)*($L$18:$L$379&lt;&gt;L196),0),0)),IFERROR(INDEX($L$381:$L$498,MATCH(1,INDEX(($A$381:$A$498=A196)*(IFERROR($B$381:$B$498&gt;=E196-30,0))*(IFERROR($B$381:$B$498&lt;=E196+30,0))*($G$381:$G$498&gt;0)*($L$381:$L$498&lt;&gt;L196),0),0)),"")),"")</f>
        <v/>
      </c>
      <c r="R196" s="32"/>
      <c r="S196" s="31" t="str">
        <f>IF(R196&lt;&gt;"",R196,Q196)</f>
        <v/>
      </c>
      <c r="T196" s="63">
        <f>IF(OR(N196="",O196=0),0,N196*O196)</f>
        <v>0</v>
      </c>
      <c r="U196" s="63">
        <f>IF(COUNTIF($S$18:$S$498,L196)=0,"",SUMIF($S$18:$S$498,L196,$T$18:$T$498))</f>
        <v>0</v>
      </c>
      <c r="V196" s="63" t="str">
        <f>IF(H196="","",IFERROR(H196+U196,H196))</f>
        <v/>
      </c>
      <c r="W196" s="63" t="str">
        <f>IF(OR(V196="",C196=""),"",V196/C196)</f>
        <v/>
      </c>
      <c r="X196" s="11" t="str">
        <f>IF(A196="","",IF(AND(U196&lt;&gt;"",U196&lt;&gt;0,M196=0),"Replacement lot receiving wash basis",IF(J196="","",IF(J196&gt;=0,"",IF(O196=0,"No replacement buy found",IF(P196&gt;1,"Manual selection needed","Auto matched"))))))</f>
        <v/>
      </c>
      <c r="Z196" t="str">
        <f>IF(K196="Yes",COUNTIF($K$18:K196,"Yes"),"")</f>
        <v/>
      </c>
    </row>
    <row r="197" spans="1:26" ht="34.15" customHeight="1" x14ac:dyDescent="0.2">
      <c r="A197" s="9"/>
      <c r="B197" s="69"/>
      <c r="C197" s="30"/>
      <c r="D197" s="70"/>
      <c r="E197" s="69"/>
      <c r="F197" s="70"/>
      <c r="G197" s="30"/>
      <c r="H197" s="63" t="str">
        <f>IF(OR(C197="",D197=""),"",C197*D197)</f>
        <v/>
      </c>
      <c r="I197" s="63" t="str">
        <f>IF(OR(E197="",F197="",M197&lt;=0),"",M197*F197)</f>
        <v/>
      </c>
      <c r="J197" s="63" t="str">
        <f>IF(I197="","",I197-(M197*D197))</f>
        <v/>
      </c>
      <c r="K197" s="28" t="str">
        <f>IF(A197="","",IF(T197&gt;0,"Yes","No"))</f>
        <v/>
      </c>
      <c r="L197" s="28" t="str">
        <f>IF(A197="","",A197&amp;"-"&amp;TEXT(B197,"yyyymmdd")&amp;"-R"&amp;ROW())</f>
        <v/>
      </c>
      <c r="M197" s="28" t="str">
        <f>IF(OR(C197="",G197=""),"",C197-G197)</f>
        <v/>
      </c>
      <c r="N197" s="63" t="str">
        <f>IF(OR(M197&lt;=0,J197&gt;=0),"",ABS(J197)/M197)</f>
        <v/>
      </c>
      <c r="O197" s="63" t="str">
        <f>IF(OR(A197="",M197&lt;=0,J197&gt;=0),"",MIN(M197,SUMPRODUCT(($A$18:$A$379=A197)*(IFERROR($B$18:$B$379&gt;=E197-30,0))*(IFERROR($B$18:$B$379&lt;=E197+30,0))*($G$18:$G$379&gt;0)*($L$18:$L$379&lt;&gt;L197)*($G$18:$G$379))+SUMPRODUCT(($A$381:$A$498=A197)*(IFERROR($B$381:$B$498&gt;=E197-30,0))*(IFERROR($B$381:$B$498&lt;=E197+30,0))*($G$381:$G$498&gt;0)*($L$381:$L$498&lt;&gt;L197)*($G$381:$G$498))))</f>
        <v/>
      </c>
      <c r="P197" s="28" t="str">
        <f>IF(OR(A197="",M197&lt;=0,J197&gt;=0),"",SUMPRODUCT(($A$18:$A$379=A197)*(IFERROR($B$18:$B$379&gt;=E197-30,0))*(IFERROR($B$18:$B$379&lt;=E197+30,0))*($G$18:$G$379&gt;0)*($L$18:$L$379&lt;&gt;L197))+SUMPRODUCT(($A$381:$A$498=A197)*(IFERROR($B$381:$B$498&gt;=E197-30,0))*(IFERROR($B$381:$B$498&lt;=E197+30,0))*($G$381:$G$498&gt;0)*($L$381:$L$498&lt;&gt;L197)))</f>
        <v/>
      </c>
      <c r="Q197" s="31" t="str">
        <f>IF(P197=1,IFERROR(INDEX($L$18:$L$379,MATCH(1,INDEX(($A$18:$A$379=A197)*(IFERROR($B$18:$B$379&gt;=E197-30,0))*(IFERROR($B$18:$B$379&lt;=E197+30,0))*($G$18:$G$379&gt;0)*($L$18:$L$379&lt;&gt;L197),0),0)),IFERROR(INDEX($L$381:$L$498,MATCH(1,INDEX(($A$381:$A$498=A197)*(IFERROR($B$381:$B$498&gt;=E197-30,0))*(IFERROR($B$381:$B$498&lt;=E197+30,0))*($G$381:$G$498&gt;0)*($L$381:$L$498&lt;&gt;L197),0),0)),"")),"")</f>
        <v/>
      </c>
      <c r="R197" s="32"/>
      <c r="S197" s="31" t="str">
        <f>IF(R197&lt;&gt;"",R197,Q197)</f>
        <v/>
      </c>
      <c r="T197" s="63">
        <f>IF(OR(N197="",O197=0),0,N197*O197)</f>
        <v>0</v>
      </c>
      <c r="U197" s="63">
        <f>IF(COUNTIF($S$18:$S$498,L197)=0,"",SUMIF($S$18:$S$498,L197,$T$18:$T$498))</f>
        <v>0</v>
      </c>
      <c r="V197" s="63" t="str">
        <f>IF(H197="","",IFERROR(H197+U197,H197))</f>
        <v/>
      </c>
      <c r="W197" s="63" t="str">
        <f>IF(OR(V197="",C197=""),"",V197/C197)</f>
        <v/>
      </c>
      <c r="X197" s="11" t="str">
        <f>IF(A197="","",IF(AND(U197&lt;&gt;"",U197&lt;&gt;0,M197=0),"Replacement lot receiving wash basis",IF(J197="","",IF(J197&gt;=0,"",IF(O197=0,"No replacement buy found",IF(P197&gt;1,"Manual selection needed","Auto matched"))))))</f>
        <v/>
      </c>
      <c r="Z197" t="str">
        <f>IF(K197="Yes",COUNTIF($K$18:K197,"Yes"),"")</f>
        <v/>
      </c>
    </row>
    <row r="198" spans="1:26" ht="34.15" customHeight="1" x14ac:dyDescent="0.2">
      <c r="A198" s="9"/>
      <c r="B198" s="69"/>
      <c r="C198" s="30"/>
      <c r="D198" s="70"/>
      <c r="E198" s="69"/>
      <c r="F198" s="70"/>
      <c r="G198" s="30"/>
      <c r="H198" s="63" t="str">
        <f>IF(OR(C198="",D198=""),"",C198*D198)</f>
        <v/>
      </c>
      <c r="I198" s="63" t="str">
        <f>IF(OR(E198="",F198="",M198&lt;=0),"",M198*F198)</f>
        <v/>
      </c>
      <c r="J198" s="63" t="str">
        <f>IF(I198="","",I198-(M198*D198))</f>
        <v/>
      </c>
      <c r="K198" s="28" t="str">
        <f>IF(A198="","",IF(T198&gt;0,"Yes","No"))</f>
        <v/>
      </c>
      <c r="L198" s="28" t="str">
        <f>IF(A198="","",A198&amp;"-"&amp;TEXT(B198,"yyyymmdd")&amp;"-R"&amp;ROW())</f>
        <v/>
      </c>
      <c r="M198" s="28" t="str">
        <f>IF(OR(C198="",G198=""),"",C198-G198)</f>
        <v/>
      </c>
      <c r="N198" s="63" t="str">
        <f>IF(OR(M198&lt;=0,J198&gt;=0),"",ABS(J198)/M198)</f>
        <v/>
      </c>
      <c r="O198" s="63" t="str">
        <f>IF(OR(A198="",M198&lt;=0,J198&gt;=0),"",MIN(M198,SUMPRODUCT(($A$18:$A$379=A198)*(IFERROR($B$18:$B$379&gt;=E198-30,0))*(IFERROR($B$18:$B$379&lt;=E198+30,0))*($G$18:$G$379&gt;0)*($L$18:$L$379&lt;&gt;L198)*($G$18:$G$379))+SUMPRODUCT(($A$381:$A$498=A198)*(IFERROR($B$381:$B$498&gt;=E198-30,0))*(IFERROR($B$381:$B$498&lt;=E198+30,0))*($G$381:$G$498&gt;0)*($L$381:$L$498&lt;&gt;L198)*($G$381:$G$498))))</f>
        <v/>
      </c>
      <c r="P198" s="28" t="str">
        <f>IF(OR(A198="",M198&lt;=0,J198&gt;=0),"",SUMPRODUCT(($A$18:$A$379=A198)*(IFERROR($B$18:$B$379&gt;=E198-30,0))*(IFERROR($B$18:$B$379&lt;=E198+30,0))*($G$18:$G$379&gt;0)*($L$18:$L$379&lt;&gt;L198))+SUMPRODUCT(($A$381:$A$498=A198)*(IFERROR($B$381:$B$498&gt;=E198-30,0))*(IFERROR($B$381:$B$498&lt;=E198+30,0))*($G$381:$G$498&gt;0)*($L$381:$L$498&lt;&gt;L198)))</f>
        <v/>
      </c>
      <c r="Q198" s="31" t="str">
        <f>IF(P198=1,IFERROR(INDEX($L$18:$L$379,MATCH(1,INDEX(($A$18:$A$379=A198)*(IFERROR($B$18:$B$379&gt;=E198-30,0))*(IFERROR($B$18:$B$379&lt;=E198+30,0))*($G$18:$G$379&gt;0)*($L$18:$L$379&lt;&gt;L198),0),0)),IFERROR(INDEX($L$381:$L$498,MATCH(1,INDEX(($A$381:$A$498=A198)*(IFERROR($B$381:$B$498&gt;=E198-30,0))*(IFERROR($B$381:$B$498&lt;=E198+30,0))*($G$381:$G$498&gt;0)*($L$381:$L$498&lt;&gt;L198),0),0)),"")),"")</f>
        <v/>
      </c>
      <c r="R198" s="32"/>
      <c r="S198" s="31" t="str">
        <f>IF(R198&lt;&gt;"",R198,Q198)</f>
        <v/>
      </c>
      <c r="T198" s="63">
        <f>IF(OR(N198="",O198=0),0,N198*O198)</f>
        <v>0</v>
      </c>
      <c r="U198" s="63">
        <f>IF(COUNTIF($S$18:$S$498,L198)=0,"",SUMIF($S$18:$S$498,L198,$T$18:$T$498))</f>
        <v>0</v>
      </c>
      <c r="V198" s="63" t="str">
        <f>IF(H198="","",IFERROR(H198+U198,H198))</f>
        <v/>
      </c>
      <c r="W198" s="63" t="str">
        <f>IF(OR(V198="",C198=""),"",V198/C198)</f>
        <v/>
      </c>
      <c r="X198" s="11" t="str">
        <f>IF(A198="","",IF(AND(U198&lt;&gt;"",U198&lt;&gt;0,M198=0),"Replacement lot receiving wash basis",IF(J198="","",IF(J198&gt;=0,"",IF(O198=0,"No replacement buy found",IF(P198&gt;1,"Manual selection needed","Auto matched"))))))</f>
        <v/>
      </c>
      <c r="Z198" t="str">
        <f>IF(K198="Yes",COUNTIF($K$18:K198,"Yes"),"")</f>
        <v/>
      </c>
    </row>
    <row r="199" spans="1:26" ht="34.15" customHeight="1" x14ac:dyDescent="0.2">
      <c r="A199" s="9"/>
      <c r="B199" s="69"/>
      <c r="C199" s="30"/>
      <c r="D199" s="70"/>
      <c r="E199" s="69"/>
      <c r="F199" s="70"/>
      <c r="G199" s="30"/>
      <c r="H199" s="63" t="str">
        <f>IF(OR(C199="",D199=""),"",C199*D199)</f>
        <v/>
      </c>
      <c r="I199" s="63" t="str">
        <f>IF(OR(E199="",F199="",M199&lt;=0),"",M199*F199)</f>
        <v/>
      </c>
      <c r="J199" s="63" t="str">
        <f>IF(I199="","",I199-(M199*D199))</f>
        <v/>
      </c>
      <c r="K199" s="28" t="str">
        <f>IF(A199="","",IF(T199&gt;0,"Yes","No"))</f>
        <v/>
      </c>
      <c r="L199" s="28" t="str">
        <f>IF(A199="","",A199&amp;"-"&amp;TEXT(B199,"yyyymmdd")&amp;"-R"&amp;ROW())</f>
        <v/>
      </c>
      <c r="M199" s="28" t="str">
        <f>IF(OR(C199="",G199=""),"",C199-G199)</f>
        <v/>
      </c>
      <c r="N199" s="63" t="str">
        <f>IF(OR(M199&lt;=0,J199&gt;=0),"",ABS(J199)/M199)</f>
        <v/>
      </c>
      <c r="O199" s="63" t="str">
        <f>IF(OR(A199="",M199&lt;=0,J199&gt;=0),"",MIN(M199,SUMPRODUCT(($A$18:$A$379=A199)*(IFERROR($B$18:$B$379&gt;=E199-30,0))*(IFERROR($B$18:$B$379&lt;=E199+30,0))*($G$18:$G$379&gt;0)*($L$18:$L$379&lt;&gt;L199)*($G$18:$G$379))+SUMPRODUCT(($A$381:$A$498=A199)*(IFERROR($B$381:$B$498&gt;=E199-30,0))*(IFERROR($B$381:$B$498&lt;=E199+30,0))*($G$381:$G$498&gt;0)*($L$381:$L$498&lt;&gt;L199)*($G$381:$G$498))))</f>
        <v/>
      </c>
      <c r="P199" s="28" t="str">
        <f>IF(OR(A199="",M199&lt;=0,J199&gt;=0),"",SUMPRODUCT(($A$18:$A$379=A199)*(IFERROR($B$18:$B$379&gt;=E199-30,0))*(IFERROR($B$18:$B$379&lt;=E199+30,0))*($G$18:$G$379&gt;0)*($L$18:$L$379&lt;&gt;L199))+SUMPRODUCT(($A$381:$A$498=A199)*(IFERROR($B$381:$B$498&gt;=E199-30,0))*(IFERROR($B$381:$B$498&lt;=E199+30,0))*($G$381:$G$498&gt;0)*($L$381:$L$498&lt;&gt;L199)))</f>
        <v/>
      </c>
      <c r="Q199" s="31" t="str">
        <f>IF(P199=1,IFERROR(INDEX($L$18:$L$379,MATCH(1,INDEX(($A$18:$A$379=A199)*(IFERROR($B$18:$B$379&gt;=E199-30,0))*(IFERROR($B$18:$B$379&lt;=E199+30,0))*($G$18:$G$379&gt;0)*($L$18:$L$379&lt;&gt;L199),0),0)),IFERROR(INDEX($L$381:$L$498,MATCH(1,INDEX(($A$381:$A$498=A199)*(IFERROR($B$381:$B$498&gt;=E199-30,0))*(IFERROR($B$381:$B$498&lt;=E199+30,0))*($G$381:$G$498&gt;0)*($L$381:$L$498&lt;&gt;L199),0),0)),"")),"")</f>
        <v/>
      </c>
      <c r="R199" s="32"/>
      <c r="S199" s="31" t="str">
        <f>IF(R199&lt;&gt;"",R199,Q199)</f>
        <v/>
      </c>
      <c r="T199" s="63">
        <f>IF(OR(N199="",O199=0),0,N199*O199)</f>
        <v>0</v>
      </c>
      <c r="U199" s="63">
        <f>IF(COUNTIF($S$18:$S$498,L199)=0,"",SUMIF($S$18:$S$498,L199,$T$18:$T$498))</f>
        <v>0</v>
      </c>
      <c r="V199" s="63" t="str">
        <f>IF(H199="","",IFERROR(H199+U199,H199))</f>
        <v/>
      </c>
      <c r="W199" s="63" t="str">
        <f>IF(OR(V199="",C199=""),"",V199/C199)</f>
        <v/>
      </c>
      <c r="X199" s="11" t="str">
        <f>IF(A199="","",IF(AND(U199&lt;&gt;"",U199&lt;&gt;0,M199=0),"Replacement lot receiving wash basis",IF(J199="","",IF(J199&gt;=0,"",IF(O199=0,"No replacement buy found",IF(P199&gt;1,"Manual selection needed","Auto matched"))))))</f>
        <v/>
      </c>
      <c r="Z199" t="str">
        <f>IF(K199="Yes",COUNTIF($K$18:K199,"Yes"),"")</f>
        <v/>
      </c>
    </row>
    <row r="200" spans="1:26" ht="34.15" customHeight="1" x14ac:dyDescent="0.2">
      <c r="A200" s="9"/>
      <c r="B200" s="69"/>
      <c r="C200" s="30"/>
      <c r="D200" s="70"/>
      <c r="E200" s="69"/>
      <c r="F200" s="70"/>
      <c r="G200" s="30"/>
      <c r="H200" s="63" t="str">
        <f>IF(OR(C200="",D200=""),"",C200*D200)</f>
        <v/>
      </c>
      <c r="I200" s="63" t="str">
        <f>IF(OR(E200="",F200="",M200&lt;=0),"",M200*F200)</f>
        <v/>
      </c>
      <c r="J200" s="63" t="str">
        <f>IF(I200="","",I200-(M200*D200))</f>
        <v/>
      </c>
      <c r="K200" s="28" t="str">
        <f>IF(A200="","",IF(T200&gt;0,"Yes","No"))</f>
        <v/>
      </c>
      <c r="L200" s="28" t="str">
        <f>IF(A200="","",A200&amp;"-"&amp;TEXT(B200,"yyyymmdd")&amp;"-R"&amp;ROW())</f>
        <v/>
      </c>
      <c r="M200" s="28" t="str">
        <f>IF(OR(C200="",G200=""),"",C200-G200)</f>
        <v/>
      </c>
      <c r="N200" s="63" t="str">
        <f>IF(OR(M200&lt;=0,J200&gt;=0),"",ABS(J200)/M200)</f>
        <v/>
      </c>
      <c r="O200" s="63" t="str">
        <f>IF(OR(A200="",M200&lt;=0,J200&gt;=0),"",MIN(M200,SUMPRODUCT(($A$18:$A$379=A200)*(IFERROR($B$18:$B$379&gt;=E200-30,0))*(IFERROR($B$18:$B$379&lt;=E200+30,0))*($G$18:$G$379&gt;0)*($L$18:$L$379&lt;&gt;L200)*($G$18:$G$379))+SUMPRODUCT(($A$381:$A$498=A200)*(IFERROR($B$381:$B$498&gt;=E200-30,0))*(IFERROR($B$381:$B$498&lt;=E200+30,0))*($G$381:$G$498&gt;0)*($L$381:$L$498&lt;&gt;L200)*($G$381:$G$498))))</f>
        <v/>
      </c>
      <c r="P200" s="28" t="str">
        <f>IF(OR(A200="",M200&lt;=0,J200&gt;=0),"",SUMPRODUCT(($A$18:$A$379=A200)*(IFERROR($B$18:$B$379&gt;=E200-30,0))*(IFERROR($B$18:$B$379&lt;=E200+30,0))*($G$18:$G$379&gt;0)*($L$18:$L$379&lt;&gt;L200))+SUMPRODUCT(($A$381:$A$498=A200)*(IFERROR($B$381:$B$498&gt;=E200-30,0))*(IFERROR($B$381:$B$498&lt;=E200+30,0))*($G$381:$G$498&gt;0)*($L$381:$L$498&lt;&gt;L200)))</f>
        <v/>
      </c>
      <c r="Q200" s="31" t="str">
        <f>IF(P200=1,IFERROR(INDEX($L$18:$L$379,MATCH(1,INDEX(($A$18:$A$379=A200)*(IFERROR($B$18:$B$379&gt;=E200-30,0))*(IFERROR($B$18:$B$379&lt;=E200+30,0))*($G$18:$G$379&gt;0)*($L$18:$L$379&lt;&gt;L200),0),0)),IFERROR(INDEX($L$381:$L$498,MATCH(1,INDEX(($A$381:$A$498=A200)*(IFERROR($B$381:$B$498&gt;=E200-30,0))*(IFERROR($B$381:$B$498&lt;=E200+30,0))*($G$381:$G$498&gt;0)*($L$381:$L$498&lt;&gt;L200),0),0)),"")),"")</f>
        <v/>
      </c>
      <c r="R200" s="32"/>
      <c r="S200" s="31" t="str">
        <f>IF(R200&lt;&gt;"",R200,Q200)</f>
        <v/>
      </c>
      <c r="T200" s="63">
        <f>IF(OR(N200="",O200=0),0,N200*O200)</f>
        <v>0</v>
      </c>
      <c r="U200" s="63">
        <f>IF(COUNTIF($S$18:$S$498,L200)=0,"",SUMIF($S$18:$S$498,L200,$T$18:$T$498))</f>
        <v>0</v>
      </c>
      <c r="V200" s="63" t="str">
        <f>IF(H200="","",IFERROR(H200+U200,H200))</f>
        <v/>
      </c>
      <c r="W200" s="63" t="str">
        <f>IF(OR(V200="",C200=""),"",V200/C200)</f>
        <v/>
      </c>
      <c r="X200" s="11" t="str">
        <f>IF(A200="","",IF(AND(U200&lt;&gt;"",U200&lt;&gt;0,M200=0),"Replacement lot receiving wash basis",IF(J200="","",IF(J200&gt;=0,"",IF(O200=0,"No replacement buy found",IF(P200&gt;1,"Manual selection needed","Auto matched"))))))</f>
        <v/>
      </c>
      <c r="Z200" t="str">
        <f>IF(K200="Yes",COUNTIF($K$18:K200,"Yes"),"")</f>
        <v/>
      </c>
    </row>
    <row r="201" spans="1:26" ht="34.15" customHeight="1" x14ac:dyDescent="0.2">
      <c r="A201" s="9"/>
      <c r="B201" s="69"/>
      <c r="C201" s="30"/>
      <c r="D201" s="70"/>
      <c r="E201" s="69"/>
      <c r="F201" s="70"/>
      <c r="G201" s="30"/>
      <c r="H201" s="63" t="str">
        <f>IF(OR(C201="",D201=""),"",C201*D201)</f>
        <v/>
      </c>
      <c r="I201" s="63" t="str">
        <f>IF(OR(E201="",F201="",M201&lt;=0),"",M201*F201)</f>
        <v/>
      </c>
      <c r="J201" s="63" t="str">
        <f>IF(I201="","",I201-(M201*D201))</f>
        <v/>
      </c>
      <c r="K201" s="28" t="str">
        <f>IF(A201="","",IF(T201&gt;0,"Yes","No"))</f>
        <v/>
      </c>
      <c r="L201" s="28" t="str">
        <f>IF(A201="","",A201&amp;"-"&amp;TEXT(B201,"yyyymmdd")&amp;"-R"&amp;ROW())</f>
        <v/>
      </c>
      <c r="M201" s="28" t="str">
        <f>IF(OR(C201="",G201=""),"",C201-G201)</f>
        <v/>
      </c>
      <c r="N201" s="63" t="str">
        <f>IF(OR(M201&lt;=0,J201&gt;=0),"",ABS(J201)/M201)</f>
        <v/>
      </c>
      <c r="O201" s="63" t="str">
        <f>IF(OR(A201="",M201&lt;=0,J201&gt;=0),"",MIN(M201,SUMPRODUCT(($A$18:$A$379=A201)*(IFERROR($B$18:$B$379&gt;=E201-30,0))*(IFERROR($B$18:$B$379&lt;=E201+30,0))*($G$18:$G$379&gt;0)*($L$18:$L$379&lt;&gt;L201)*($G$18:$G$379))+SUMPRODUCT(($A$381:$A$498=A201)*(IFERROR($B$381:$B$498&gt;=E201-30,0))*(IFERROR($B$381:$B$498&lt;=E201+30,0))*($G$381:$G$498&gt;0)*($L$381:$L$498&lt;&gt;L201)*($G$381:$G$498))))</f>
        <v/>
      </c>
      <c r="P201" s="28" t="str">
        <f>IF(OR(A201="",M201&lt;=0,J201&gt;=0),"",SUMPRODUCT(($A$18:$A$379=A201)*(IFERROR($B$18:$B$379&gt;=E201-30,0))*(IFERROR($B$18:$B$379&lt;=E201+30,0))*($G$18:$G$379&gt;0)*($L$18:$L$379&lt;&gt;L201))+SUMPRODUCT(($A$381:$A$498=A201)*(IFERROR($B$381:$B$498&gt;=E201-30,0))*(IFERROR($B$381:$B$498&lt;=E201+30,0))*($G$381:$G$498&gt;0)*($L$381:$L$498&lt;&gt;L201)))</f>
        <v/>
      </c>
      <c r="Q201" s="31" t="str">
        <f>IF(P201=1,IFERROR(INDEX($L$18:$L$379,MATCH(1,INDEX(($A$18:$A$379=A201)*(IFERROR($B$18:$B$379&gt;=E201-30,0))*(IFERROR($B$18:$B$379&lt;=E201+30,0))*($G$18:$G$379&gt;0)*($L$18:$L$379&lt;&gt;L201),0),0)),IFERROR(INDEX($L$381:$L$498,MATCH(1,INDEX(($A$381:$A$498=A201)*(IFERROR($B$381:$B$498&gt;=E201-30,0))*(IFERROR($B$381:$B$498&lt;=E201+30,0))*($G$381:$G$498&gt;0)*($L$381:$L$498&lt;&gt;L201),0),0)),"")),"")</f>
        <v/>
      </c>
      <c r="R201" s="32"/>
      <c r="S201" s="31" t="str">
        <f>IF(R201&lt;&gt;"",R201,Q201)</f>
        <v/>
      </c>
      <c r="T201" s="63">
        <f>IF(OR(N201="",O201=0),0,N201*O201)</f>
        <v>0</v>
      </c>
      <c r="U201" s="63">
        <f>IF(COUNTIF($S$18:$S$498,L201)=0,"",SUMIF($S$18:$S$498,L201,$T$18:$T$498))</f>
        <v>0</v>
      </c>
      <c r="V201" s="63" t="str">
        <f>IF(H201="","",IFERROR(H201+U201,H201))</f>
        <v/>
      </c>
      <c r="W201" s="63" t="str">
        <f>IF(OR(V201="",C201=""),"",V201/C201)</f>
        <v/>
      </c>
      <c r="X201" s="11" t="str">
        <f>IF(A201="","",IF(AND(U201&lt;&gt;"",U201&lt;&gt;0,M201=0),"Replacement lot receiving wash basis",IF(J201="","",IF(J201&gt;=0,"",IF(O201=0,"No replacement buy found",IF(P201&gt;1,"Manual selection needed","Auto matched"))))))</f>
        <v/>
      </c>
      <c r="Z201" t="str">
        <f>IF(K201="Yes",COUNTIF($K$18:K201,"Yes"),"")</f>
        <v/>
      </c>
    </row>
    <row r="202" spans="1:26" ht="34.15" customHeight="1" x14ac:dyDescent="0.2">
      <c r="A202" s="9"/>
      <c r="B202" s="69"/>
      <c r="C202" s="30"/>
      <c r="D202" s="70"/>
      <c r="E202" s="69"/>
      <c r="F202" s="70"/>
      <c r="G202" s="30"/>
      <c r="H202" s="63" t="str">
        <f>IF(OR(C202="",D202=""),"",C202*D202)</f>
        <v/>
      </c>
      <c r="I202" s="63" t="str">
        <f>IF(OR(E202="",F202="",M202&lt;=0),"",M202*F202)</f>
        <v/>
      </c>
      <c r="J202" s="63" t="str">
        <f>IF(I202="","",I202-(M202*D202))</f>
        <v/>
      </c>
      <c r="K202" s="28" t="str">
        <f>IF(A202="","",IF(T202&gt;0,"Yes","No"))</f>
        <v/>
      </c>
      <c r="L202" s="28" t="str">
        <f>IF(A202="","",A202&amp;"-"&amp;TEXT(B202,"yyyymmdd")&amp;"-R"&amp;ROW())</f>
        <v/>
      </c>
      <c r="M202" s="28" t="str">
        <f>IF(OR(C202="",G202=""),"",C202-G202)</f>
        <v/>
      </c>
      <c r="N202" s="63" t="str">
        <f>IF(OR(M202&lt;=0,J202&gt;=0),"",ABS(J202)/M202)</f>
        <v/>
      </c>
      <c r="O202" s="63" t="str">
        <f>IF(OR(A202="",M202&lt;=0,J202&gt;=0),"",MIN(M202,SUMPRODUCT(($A$18:$A$379=A202)*(IFERROR($B$18:$B$379&gt;=E202-30,0))*(IFERROR($B$18:$B$379&lt;=E202+30,0))*($G$18:$G$379&gt;0)*($L$18:$L$379&lt;&gt;L202)*($G$18:$G$379))+SUMPRODUCT(($A$381:$A$498=A202)*(IFERROR($B$381:$B$498&gt;=E202-30,0))*(IFERROR($B$381:$B$498&lt;=E202+30,0))*($G$381:$G$498&gt;0)*($L$381:$L$498&lt;&gt;L202)*($G$381:$G$498))))</f>
        <v/>
      </c>
      <c r="P202" s="28" t="str">
        <f>IF(OR(A202="",M202&lt;=0,J202&gt;=0),"",SUMPRODUCT(($A$18:$A$379=A202)*(IFERROR($B$18:$B$379&gt;=E202-30,0))*(IFERROR($B$18:$B$379&lt;=E202+30,0))*($G$18:$G$379&gt;0)*($L$18:$L$379&lt;&gt;L202))+SUMPRODUCT(($A$381:$A$498=A202)*(IFERROR($B$381:$B$498&gt;=E202-30,0))*(IFERROR($B$381:$B$498&lt;=E202+30,0))*($G$381:$G$498&gt;0)*($L$381:$L$498&lt;&gt;L202)))</f>
        <v/>
      </c>
      <c r="Q202" s="31" t="str">
        <f>IF(P202=1,IFERROR(INDEX($L$18:$L$379,MATCH(1,INDEX(($A$18:$A$379=A202)*(IFERROR($B$18:$B$379&gt;=E202-30,0))*(IFERROR($B$18:$B$379&lt;=E202+30,0))*($G$18:$G$379&gt;0)*($L$18:$L$379&lt;&gt;L202),0),0)),IFERROR(INDEX($L$381:$L$498,MATCH(1,INDEX(($A$381:$A$498=A202)*(IFERROR($B$381:$B$498&gt;=E202-30,0))*(IFERROR($B$381:$B$498&lt;=E202+30,0))*($G$381:$G$498&gt;0)*($L$381:$L$498&lt;&gt;L202),0),0)),"")),"")</f>
        <v/>
      </c>
      <c r="R202" s="32"/>
      <c r="S202" s="31" t="str">
        <f>IF(R202&lt;&gt;"",R202,Q202)</f>
        <v/>
      </c>
      <c r="T202" s="63">
        <f>IF(OR(N202="",O202=0),0,N202*O202)</f>
        <v>0</v>
      </c>
      <c r="U202" s="63">
        <f>IF(COUNTIF($S$18:$S$498,L202)=0,"",SUMIF($S$18:$S$498,L202,$T$18:$T$498))</f>
        <v>0</v>
      </c>
      <c r="V202" s="63" t="str">
        <f>IF(H202="","",IFERROR(H202+U202,H202))</f>
        <v/>
      </c>
      <c r="W202" s="63" t="str">
        <f>IF(OR(V202="",C202=""),"",V202/C202)</f>
        <v/>
      </c>
      <c r="X202" s="11" t="str">
        <f>IF(A202="","",IF(AND(U202&lt;&gt;"",U202&lt;&gt;0,M202=0),"Replacement lot receiving wash basis",IF(J202="","",IF(J202&gt;=0,"",IF(O202=0,"No replacement buy found",IF(P202&gt;1,"Manual selection needed","Auto matched"))))))</f>
        <v/>
      </c>
      <c r="Z202" t="str">
        <f>IF(K202="Yes",COUNTIF($K$18:K202,"Yes"),"")</f>
        <v/>
      </c>
    </row>
    <row r="203" spans="1:26" ht="34.15" customHeight="1" x14ac:dyDescent="0.2">
      <c r="A203" s="9"/>
      <c r="B203" s="69"/>
      <c r="C203" s="30"/>
      <c r="D203" s="70"/>
      <c r="E203" s="69"/>
      <c r="F203" s="70"/>
      <c r="G203" s="30"/>
      <c r="H203" s="63" t="str">
        <f>IF(OR(C203="",D203=""),"",C203*D203)</f>
        <v/>
      </c>
      <c r="I203" s="63" t="str">
        <f>IF(OR(E203="",F203="",M203&lt;=0),"",M203*F203)</f>
        <v/>
      </c>
      <c r="J203" s="63" t="str">
        <f>IF(I203="","",I203-(M203*D203))</f>
        <v/>
      </c>
      <c r="K203" s="28" t="str">
        <f>IF(A203="","",IF(T203&gt;0,"Yes","No"))</f>
        <v/>
      </c>
      <c r="L203" s="28" t="str">
        <f>IF(A203="","",A203&amp;"-"&amp;TEXT(B203,"yyyymmdd")&amp;"-R"&amp;ROW())</f>
        <v/>
      </c>
      <c r="M203" s="28" t="str">
        <f>IF(OR(C203="",G203=""),"",C203-G203)</f>
        <v/>
      </c>
      <c r="N203" s="63" t="str">
        <f>IF(OR(M203&lt;=0,J203&gt;=0),"",ABS(J203)/M203)</f>
        <v/>
      </c>
      <c r="O203" s="63" t="str">
        <f>IF(OR(A203="",M203&lt;=0,J203&gt;=0),"",MIN(M203,SUMPRODUCT(($A$18:$A$379=A203)*(IFERROR($B$18:$B$379&gt;=E203-30,0))*(IFERROR($B$18:$B$379&lt;=E203+30,0))*($G$18:$G$379&gt;0)*($L$18:$L$379&lt;&gt;L203)*($G$18:$G$379))+SUMPRODUCT(($A$381:$A$498=A203)*(IFERROR($B$381:$B$498&gt;=E203-30,0))*(IFERROR($B$381:$B$498&lt;=E203+30,0))*($G$381:$G$498&gt;0)*($L$381:$L$498&lt;&gt;L203)*($G$381:$G$498))))</f>
        <v/>
      </c>
      <c r="P203" s="28" t="str">
        <f>IF(OR(A203="",M203&lt;=0,J203&gt;=0),"",SUMPRODUCT(($A$18:$A$379=A203)*(IFERROR($B$18:$B$379&gt;=E203-30,0))*(IFERROR($B$18:$B$379&lt;=E203+30,0))*($G$18:$G$379&gt;0)*($L$18:$L$379&lt;&gt;L203))+SUMPRODUCT(($A$381:$A$498=A203)*(IFERROR($B$381:$B$498&gt;=E203-30,0))*(IFERROR($B$381:$B$498&lt;=E203+30,0))*($G$381:$G$498&gt;0)*($L$381:$L$498&lt;&gt;L203)))</f>
        <v/>
      </c>
      <c r="Q203" s="31" t="str">
        <f>IF(P203=1,IFERROR(INDEX($L$18:$L$379,MATCH(1,INDEX(($A$18:$A$379=A203)*(IFERROR($B$18:$B$379&gt;=E203-30,0))*(IFERROR($B$18:$B$379&lt;=E203+30,0))*($G$18:$G$379&gt;0)*($L$18:$L$379&lt;&gt;L203),0),0)),IFERROR(INDEX($L$381:$L$498,MATCH(1,INDEX(($A$381:$A$498=A203)*(IFERROR($B$381:$B$498&gt;=E203-30,0))*(IFERROR($B$381:$B$498&lt;=E203+30,0))*($G$381:$G$498&gt;0)*($L$381:$L$498&lt;&gt;L203),0),0)),"")),"")</f>
        <v/>
      </c>
      <c r="R203" s="32"/>
      <c r="S203" s="31" t="str">
        <f>IF(R203&lt;&gt;"",R203,Q203)</f>
        <v/>
      </c>
      <c r="T203" s="63">
        <f>IF(OR(N203="",O203=0),0,N203*O203)</f>
        <v>0</v>
      </c>
      <c r="U203" s="63">
        <f>IF(COUNTIF($S$18:$S$498,L203)=0,"",SUMIF($S$18:$S$498,L203,$T$18:$T$498))</f>
        <v>0</v>
      </c>
      <c r="V203" s="63" t="str">
        <f>IF(H203="","",IFERROR(H203+U203,H203))</f>
        <v/>
      </c>
      <c r="W203" s="63" t="str">
        <f>IF(OR(V203="",C203=""),"",V203/C203)</f>
        <v/>
      </c>
      <c r="X203" s="11" t="str">
        <f>IF(A203="","",IF(AND(U203&lt;&gt;"",U203&lt;&gt;0,M203=0),"Replacement lot receiving wash basis",IF(J203="","",IF(J203&gt;=0,"",IF(O203=0,"No replacement buy found",IF(P203&gt;1,"Manual selection needed","Auto matched"))))))</f>
        <v/>
      </c>
      <c r="Z203" t="str">
        <f>IF(K203="Yes",COUNTIF($K$18:K203,"Yes"),"")</f>
        <v/>
      </c>
    </row>
    <row r="204" spans="1:26" ht="34.15" customHeight="1" x14ac:dyDescent="0.2">
      <c r="A204" s="9"/>
      <c r="B204" s="69"/>
      <c r="C204" s="30"/>
      <c r="D204" s="70"/>
      <c r="E204" s="69"/>
      <c r="F204" s="70"/>
      <c r="G204" s="30"/>
      <c r="H204" s="63" t="str">
        <f>IF(OR(C204="",D204=""),"",C204*D204)</f>
        <v/>
      </c>
      <c r="I204" s="63" t="str">
        <f>IF(OR(E204="",F204="",M204&lt;=0),"",M204*F204)</f>
        <v/>
      </c>
      <c r="J204" s="63" t="str">
        <f>IF(I204="","",I204-(M204*D204))</f>
        <v/>
      </c>
      <c r="K204" s="28" t="str">
        <f>IF(A204="","",IF(T204&gt;0,"Yes","No"))</f>
        <v/>
      </c>
      <c r="L204" s="28" t="str">
        <f>IF(A204="","",A204&amp;"-"&amp;TEXT(B204,"yyyymmdd")&amp;"-R"&amp;ROW())</f>
        <v/>
      </c>
      <c r="M204" s="28" t="str">
        <f>IF(OR(C204="",G204=""),"",C204-G204)</f>
        <v/>
      </c>
      <c r="N204" s="63" t="str">
        <f>IF(OR(M204&lt;=0,J204&gt;=0),"",ABS(J204)/M204)</f>
        <v/>
      </c>
      <c r="O204" s="63" t="str">
        <f>IF(OR(A204="",M204&lt;=0,J204&gt;=0),"",MIN(M204,SUMPRODUCT(($A$18:$A$379=A204)*(IFERROR($B$18:$B$379&gt;=E204-30,0))*(IFERROR($B$18:$B$379&lt;=E204+30,0))*($G$18:$G$379&gt;0)*($L$18:$L$379&lt;&gt;L204)*($G$18:$G$379))+SUMPRODUCT(($A$381:$A$498=A204)*(IFERROR($B$381:$B$498&gt;=E204-30,0))*(IFERROR($B$381:$B$498&lt;=E204+30,0))*($G$381:$G$498&gt;0)*($L$381:$L$498&lt;&gt;L204)*($G$381:$G$498))))</f>
        <v/>
      </c>
      <c r="P204" s="28" t="str">
        <f>IF(OR(A204="",M204&lt;=0,J204&gt;=0),"",SUMPRODUCT(($A$18:$A$379=A204)*(IFERROR($B$18:$B$379&gt;=E204-30,0))*(IFERROR($B$18:$B$379&lt;=E204+30,0))*($G$18:$G$379&gt;0)*($L$18:$L$379&lt;&gt;L204))+SUMPRODUCT(($A$381:$A$498=A204)*(IFERROR($B$381:$B$498&gt;=E204-30,0))*(IFERROR($B$381:$B$498&lt;=E204+30,0))*($G$381:$G$498&gt;0)*($L$381:$L$498&lt;&gt;L204)))</f>
        <v/>
      </c>
      <c r="Q204" s="31" t="str">
        <f>IF(P204=1,IFERROR(INDEX($L$18:$L$379,MATCH(1,INDEX(($A$18:$A$379=A204)*(IFERROR($B$18:$B$379&gt;=E204-30,0))*(IFERROR($B$18:$B$379&lt;=E204+30,0))*($G$18:$G$379&gt;0)*($L$18:$L$379&lt;&gt;L204),0),0)),IFERROR(INDEX($L$381:$L$498,MATCH(1,INDEX(($A$381:$A$498=A204)*(IFERROR($B$381:$B$498&gt;=E204-30,0))*(IFERROR($B$381:$B$498&lt;=E204+30,0))*($G$381:$G$498&gt;0)*($L$381:$L$498&lt;&gt;L204),0),0)),"")),"")</f>
        <v/>
      </c>
      <c r="R204" s="32"/>
      <c r="S204" s="31" t="str">
        <f>IF(R204&lt;&gt;"",R204,Q204)</f>
        <v/>
      </c>
      <c r="T204" s="63">
        <f>IF(OR(N204="",O204=0),0,N204*O204)</f>
        <v>0</v>
      </c>
      <c r="U204" s="63">
        <f>IF(COUNTIF($S$18:$S$498,L204)=0,"",SUMIF($S$18:$S$498,L204,$T$18:$T$498))</f>
        <v>0</v>
      </c>
      <c r="V204" s="63" t="str">
        <f>IF(H204="","",IFERROR(H204+U204,H204))</f>
        <v/>
      </c>
      <c r="W204" s="63" t="str">
        <f>IF(OR(V204="",C204=""),"",V204/C204)</f>
        <v/>
      </c>
      <c r="X204" s="11" t="str">
        <f>IF(A204="","",IF(AND(U204&lt;&gt;"",U204&lt;&gt;0,M204=0),"Replacement lot receiving wash basis",IF(J204="","",IF(J204&gt;=0,"",IF(O204=0,"No replacement buy found",IF(P204&gt;1,"Manual selection needed","Auto matched"))))))</f>
        <v/>
      </c>
      <c r="Z204" t="str">
        <f>IF(K204="Yes",COUNTIF($K$18:K204,"Yes"),"")</f>
        <v/>
      </c>
    </row>
    <row r="205" spans="1:26" ht="34.15" customHeight="1" x14ac:dyDescent="0.2">
      <c r="A205" s="9"/>
      <c r="B205" s="69"/>
      <c r="C205" s="30"/>
      <c r="D205" s="70"/>
      <c r="E205" s="69"/>
      <c r="F205" s="70"/>
      <c r="G205" s="30"/>
      <c r="H205" s="63" t="str">
        <f>IF(OR(C205="",D205=""),"",C205*D205)</f>
        <v/>
      </c>
      <c r="I205" s="63" t="str">
        <f>IF(OR(E205="",F205="",M205&lt;=0),"",M205*F205)</f>
        <v/>
      </c>
      <c r="J205" s="63" t="str">
        <f>IF(I205="","",I205-(M205*D205))</f>
        <v/>
      </c>
      <c r="K205" s="28" t="str">
        <f>IF(A205="","",IF(T205&gt;0,"Yes","No"))</f>
        <v/>
      </c>
      <c r="L205" s="28" t="str">
        <f>IF(A205="","",A205&amp;"-"&amp;TEXT(B205,"yyyymmdd")&amp;"-R"&amp;ROW())</f>
        <v/>
      </c>
      <c r="M205" s="28" t="str">
        <f>IF(OR(C205="",G205=""),"",C205-G205)</f>
        <v/>
      </c>
      <c r="N205" s="63" t="str">
        <f>IF(OR(M205&lt;=0,J205&gt;=0),"",ABS(J205)/M205)</f>
        <v/>
      </c>
      <c r="O205" s="63" t="str">
        <f>IF(OR(A205="",M205&lt;=0,J205&gt;=0),"",MIN(M205,SUMPRODUCT(($A$18:$A$379=A205)*(IFERROR($B$18:$B$379&gt;=E205-30,0))*(IFERROR($B$18:$B$379&lt;=E205+30,0))*($G$18:$G$379&gt;0)*($L$18:$L$379&lt;&gt;L205)*($G$18:$G$379))+SUMPRODUCT(($A$381:$A$498=A205)*(IFERROR($B$381:$B$498&gt;=E205-30,0))*(IFERROR($B$381:$B$498&lt;=E205+30,0))*($G$381:$G$498&gt;0)*($L$381:$L$498&lt;&gt;L205)*($G$381:$G$498))))</f>
        <v/>
      </c>
      <c r="P205" s="28" t="str">
        <f>IF(OR(A205="",M205&lt;=0,J205&gt;=0),"",SUMPRODUCT(($A$18:$A$379=A205)*(IFERROR($B$18:$B$379&gt;=E205-30,0))*(IFERROR($B$18:$B$379&lt;=E205+30,0))*($G$18:$G$379&gt;0)*($L$18:$L$379&lt;&gt;L205))+SUMPRODUCT(($A$381:$A$498=A205)*(IFERROR($B$381:$B$498&gt;=E205-30,0))*(IFERROR($B$381:$B$498&lt;=E205+30,0))*($G$381:$G$498&gt;0)*($L$381:$L$498&lt;&gt;L205)))</f>
        <v/>
      </c>
      <c r="Q205" s="31" t="str">
        <f>IF(P205=1,IFERROR(INDEX($L$18:$L$379,MATCH(1,INDEX(($A$18:$A$379=A205)*(IFERROR($B$18:$B$379&gt;=E205-30,0))*(IFERROR($B$18:$B$379&lt;=E205+30,0))*($G$18:$G$379&gt;0)*($L$18:$L$379&lt;&gt;L205),0),0)),IFERROR(INDEX($L$381:$L$498,MATCH(1,INDEX(($A$381:$A$498=A205)*(IFERROR($B$381:$B$498&gt;=E205-30,0))*(IFERROR($B$381:$B$498&lt;=E205+30,0))*($G$381:$G$498&gt;0)*($L$381:$L$498&lt;&gt;L205),0),0)),"")),"")</f>
        <v/>
      </c>
      <c r="R205" s="32"/>
      <c r="S205" s="31" t="str">
        <f>IF(R205&lt;&gt;"",R205,Q205)</f>
        <v/>
      </c>
      <c r="T205" s="63">
        <f>IF(OR(N205="",O205=0),0,N205*O205)</f>
        <v>0</v>
      </c>
      <c r="U205" s="63">
        <f>IF(COUNTIF($S$18:$S$498,L205)=0,"",SUMIF($S$18:$S$498,L205,$T$18:$T$498))</f>
        <v>0</v>
      </c>
      <c r="V205" s="63" t="str">
        <f>IF(H205="","",IFERROR(H205+U205,H205))</f>
        <v/>
      </c>
      <c r="W205" s="63" t="str">
        <f>IF(OR(V205="",C205=""),"",V205/C205)</f>
        <v/>
      </c>
      <c r="X205" s="11" t="str">
        <f>IF(A205="","",IF(AND(U205&lt;&gt;"",U205&lt;&gt;0,M205=0),"Replacement lot receiving wash basis",IF(J205="","",IF(J205&gt;=0,"",IF(O205=0,"No replacement buy found",IF(P205&gt;1,"Manual selection needed","Auto matched"))))))</f>
        <v/>
      </c>
      <c r="Z205" t="str">
        <f>IF(K205="Yes",COUNTIF($K$18:K205,"Yes"),"")</f>
        <v/>
      </c>
    </row>
    <row r="206" spans="1:26" ht="34.15" customHeight="1" x14ac:dyDescent="0.2">
      <c r="A206" s="9"/>
      <c r="B206" s="69"/>
      <c r="C206" s="30"/>
      <c r="D206" s="70"/>
      <c r="E206" s="69"/>
      <c r="F206" s="70"/>
      <c r="G206" s="30"/>
      <c r="H206" s="63" t="str">
        <f>IF(OR(C206="",D206=""),"",C206*D206)</f>
        <v/>
      </c>
      <c r="I206" s="63" t="str">
        <f>IF(OR(E206="",F206="",M206&lt;=0),"",M206*F206)</f>
        <v/>
      </c>
      <c r="J206" s="63" t="str">
        <f>IF(I206="","",I206-(M206*D206))</f>
        <v/>
      </c>
      <c r="K206" s="28" t="str">
        <f>IF(A206="","",IF(T206&gt;0,"Yes","No"))</f>
        <v/>
      </c>
      <c r="L206" s="28" t="str">
        <f>IF(A206="","",A206&amp;"-"&amp;TEXT(B206,"yyyymmdd")&amp;"-R"&amp;ROW())</f>
        <v/>
      </c>
      <c r="M206" s="28" t="str">
        <f>IF(OR(C206="",G206=""),"",C206-G206)</f>
        <v/>
      </c>
      <c r="N206" s="63" t="str">
        <f>IF(OR(M206&lt;=0,J206&gt;=0),"",ABS(J206)/M206)</f>
        <v/>
      </c>
      <c r="O206" s="63" t="str">
        <f>IF(OR(A206="",M206&lt;=0,J206&gt;=0),"",MIN(M206,SUMPRODUCT(($A$18:$A$379=A206)*(IFERROR($B$18:$B$379&gt;=E206-30,0))*(IFERROR($B$18:$B$379&lt;=E206+30,0))*($G$18:$G$379&gt;0)*($L$18:$L$379&lt;&gt;L206)*($G$18:$G$379))+SUMPRODUCT(($A$381:$A$498=A206)*(IFERROR($B$381:$B$498&gt;=E206-30,0))*(IFERROR($B$381:$B$498&lt;=E206+30,0))*($G$381:$G$498&gt;0)*($L$381:$L$498&lt;&gt;L206)*($G$381:$G$498))))</f>
        <v/>
      </c>
      <c r="P206" s="28" t="str">
        <f>IF(OR(A206="",M206&lt;=0,J206&gt;=0),"",SUMPRODUCT(($A$18:$A$379=A206)*(IFERROR($B$18:$B$379&gt;=E206-30,0))*(IFERROR($B$18:$B$379&lt;=E206+30,0))*($G$18:$G$379&gt;0)*($L$18:$L$379&lt;&gt;L206))+SUMPRODUCT(($A$381:$A$498=A206)*(IFERROR($B$381:$B$498&gt;=E206-30,0))*(IFERROR($B$381:$B$498&lt;=E206+30,0))*($G$381:$G$498&gt;0)*($L$381:$L$498&lt;&gt;L206)))</f>
        <v/>
      </c>
      <c r="Q206" s="31" t="str">
        <f>IF(P206=1,IFERROR(INDEX($L$18:$L$379,MATCH(1,INDEX(($A$18:$A$379=A206)*(IFERROR($B$18:$B$379&gt;=E206-30,0))*(IFERROR($B$18:$B$379&lt;=E206+30,0))*($G$18:$G$379&gt;0)*($L$18:$L$379&lt;&gt;L206),0),0)),IFERROR(INDEX($L$381:$L$498,MATCH(1,INDEX(($A$381:$A$498=A206)*(IFERROR($B$381:$B$498&gt;=E206-30,0))*(IFERROR($B$381:$B$498&lt;=E206+30,0))*($G$381:$G$498&gt;0)*($L$381:$L$498&lt;&gt;L206),0),0)),"")),"")</f>
        <v/>
      </c>
      <c r="R206" s="32"/>
      <c r="S206" s="31" t="str">
        <f>IF(R206&lt;&gt;"",R206,Q206)</f>
        <v/>
      </c>
      <c r="T206" s="63">
        <f>IF(OR(N206="",O206=0),0,N206*O206)</f>
        <v>0</v>
      </c>
      <c r="U206" s="63">
        <f>IF(COUNTIF($S$18:$S$498,L206)=0,"",SUMIF($S$18:$S$498,L206,$T$18:$T$498))</f>
        <v>0</v>
      </c>
      <c r="V206" s="63" t="str">
        <f>IF(H206="","",IFERROR(H206+U206,H206))</f>
        <v/>
      </c>
      <c r="W206" s="63" t="str">
        <f>IF(OR(V206="",C206=""),"",V206/C206)</f>
        <v/>
      </c>
      <c r="X206" s="11" t="str">
        <f>IF(A206="","",IF(AND(U206&lt;&gt;"",U206&lt;&gt;0,M206=0),"Replacement lot receiving wash basis",IF(J206="","",IF(J206&gt;=0,"",IF(O206=0,"No replacement buy found",IF(P206&gt;1,"Manual selection needed","Auto matched"))))))</f>
        <v/>
      </c>
      <c r="Z206" t="str">
        <f>IF(K206="Yes",COUNTIF($K$18:K206,"Yes"),"")</f>
        <v/>
      </c>
    </row>
    <row r="207" spans="1:26" ht="34.15" customHeight="1" x14ac:dyDescent="0.2">
      <c r="A207" s="9"/>
      <c r="B207" s="69"/>
      <c r="C207" s="30"/>
      <c r="D207" s="70"/>
      <c r="E207" s="69"/>
      <c r="F207" s="70"/>
      <c r="G207" s="30"/>
      <c r="H207" s="63" t="str">
        <f>IF(OR(C207="",D207=""),"",C207*D207)</f>
        <v/>
      </c>
      <c r="I207" s="63" t="str">
        <f>IF(OR(E207="",F207="",M207&lt;=0),"",M207*F207)</f>
        <v/>
      </c>
      <c r="J207" s="63" t="str">
        <f>IF(I207="","",I207-(M207*D207))</f>
        <v/>
      </c>
      <c r="K207" s="28" t="str">
        <f>IF(A207="","",IF(T207&gt;0,"Yes","No"))</f>
        <v/>
      </c>
      <c r="L207" s="28" t="str">
        <f>IF(A207="","",A207&amp;"-"&amp;TEXT(B207,"yyyymmdd")&amp;"-R"&amp;ROW())</f>
        <v/>
      </c>
      <c r="M207" s="28" t="str">
        <f>IF(OR(C207="",G207=""),"",C207-G207)</f>
        <v/>
      </c>
      <c r="N207" s="63" t="str">
        <f>IF(OR(M207&lt;=0,J207&gt;=0),"",ABS(J207)/M207)</f>
        <v/>
      </c>
      <c r="O207" s="63" t="str">
        <f>IF(OR(A207="",M207&lt;=0,J207&gt;=0),"",MIN(M207,SUMPRODUCT(($A$18:$A$379=A207)*(IFERROR($B$18:$B$379&gt;=E207-30,0))*(IFERROR($B$18:$B$379&lt;=E207+30,0))*($G$18:$G$379&gt;0)*($L$18:$L$379&lt;&gt;L207)*($G$18:$G$379))+SUMPRODUCT(($A$381:$A$498=A207)*(IFERROR($B$381:$B$498&gt;=E207-30,0))*(IFERROR($B$381:$B$498&lt;=E207+30,0))*($G$381:$G$498&gt;0)*($L$381:$L$498&lt;&gt;L207)*($G$381:$G$498))))</f>
        <v/>
      </c>
      <c r="P207" s="28" t="str">
        <f>IF(OR(A207="",M207&lt;=0,J207&gt;=0),"",SUMPRODUCT(($A$18:$A$379=A207)*(IFERROR($B$18:$B$379&gt;=E207-30,0))*(IFERROR($B$18:$B$379&lt;=E207+30,0))*($G$18:$G$379&gt;0)*($L$18:$L$379&lt;&gt;L207))+SUMPRODUCT(($A$381:$A$498=A207)*(IFERROR($B$381:$B$498&gt;=E207-30,0))*(IFERROR($B$381:$B$498&lt;=E207+30,0))*($G$381:$G$498&gt;0)*($L$381:$L$498&lt;&gt;L207)))</f>
        <v/>
      </c>
      <c r="Q207" s="31" t="str">
        <f>IF(P207=1,IFERROR(INDEX($L$18:$L$379,MATCH(1,INDEX(($A$18:$A$379=A207)*(IFERROR($B$18:$B$379&gt;=E207-30,0))*(IFERROR($B$18:$B$379&lt;=E207+30,0))*($G$18:$G$379&gt;0)*($L$18:$L$379&lt;&gt;L207),0),0)),IFERROR(INDEX($L$381:$L$498,MATCH(1,INDEX(($A$381:$A$498=A207)*(IFERROR($B$381:$B$498&gt;=E207-30,0))*(IFERROR($B$381:$B$498&lt;=E207+30,0))*($G$381:$G$498&gt;0)*($L$381:$L$498&lt;&gt;L207),0),0)),"")),"")</f>
        <v/>
      </c>
      <c r="R207" s="32"/>
      <c r="S207" s="31" t="str">
        <f>IF(R207&lt;&gt;"",R207,Q207)</f>
        <v/>
      </c>
      <c r="T207" s="63">
        <f>IF(OR(N207="",O207=0),0,N207*O207)</f>
        <v>0</v>
      </c>
      <c r="U207" s="63">
        <f>IF(COUNTIF($S$18:$S$498,L207)=0,"",SUMIF($S$18:$S$498,L207,$T$18:$T$498))</f>
        <v>0</v>
      </c>
      <c r="V207" s="63" t="str">
        <f>IF(H207="","",IFERROR(H207+U207,H207))</f>
        <v/>
      </c>
      <c r="W207" s="63" t="str">
        <f>IF(OR(V207="",C207=""),"",V207/C207)</f>
        <v/>
      </c>
      <c r="X207" s="11" t="str">
        <f>IF(A207="","",IF(AND(U207&lt;&gt;"",U207&lt;&gt;0,M207=0),"Replacement lot receiving wash basis",IF(J207="","",IF(J207&gt;=0,"",IF(O207=0,"No replacement buy found",IF(P207&gt;1,"Manual selection needed","Auto matched"))))))</f>
        <v/>
      </c>
      <c r="Z207" t="str">
        <f>IF(K207="Yes",COUNTIF($K$18:K207,"Yes"),"")</f>
        <v/>
      </c>
    </row>
    <row r="208" spans="1:26" ht="34.15" customHeight="1" x14ac:dyDescent="0.2">
      <c r="A208" s="9"/>
      <c r="B208" s="69"/>
      <c r="C208" s="30"/>
      <c r="D208" s="70"/>
      <c r="E208" s="69"/>
      <c r="F208" s="70"/>
      <c r="G208" s="30"/>
      <c r="H208" s="63" t="str">
        <f>IF(OR(C208="",D208=""),"",C208*D208)</f>
        <v/>
      </c>
      <c r="I208" s="63" t="str">
        <f>IF(OR(E208="",F208="",M208&lt;=0),"",M208*F208)</f>
        <v/>
      </c>
      <c r="J208" s="63" t="str">
        <f>IF(I208="","",I208-(M208*D208))</f>
        <v/>
      </c>
      <c r="K208" s="28" t="str">
        <f>IF(A208="","",IF(T208&gt;0,"Yes","No"))</f>
        <v/>
      </c>
      <c r="L208" s="28" t="str">
        <f>IF(A208="","",A208&amp;"-"&amp;TEXT(B208,"yyyymmdd")&amp;"-R"&amp;ROW())</f>
        <v/>
      </c>
      <c r="M208" s="28" t="str">
        <f>IF(OR(C208="",G208=""),"",C208-G208)</f>
        <v/>
      </c>
      <c r="N208" s="63" t="str">
        <f>IF(OR(M208&lt;=0,J208&gt;=0),"",ABS(J208)/M208)</f>
        <v/>
      </c>
      <c r="O208" s="63" t="str">
        <f>IF(OR(A208="",M208&lt;=0,J208&gt;=0),"",MIN(M208,SUMPRODUCT(($A$18:$A$379=A208)*(IFERROR($B$18:$B$379&gt;=E208-30,0))*(IFERROR($B$18:$B$379&lt;=E208+30,0))*($G$18:$G$379&gt;0)*($L$18:$L$379&lt;&gt;L208)*($G$18:$G$379))+SUMPRODUCT(($A$381:$A$498=A208)*(IFERROR($B$381:$B$498&gt;=E208-30,0))*(IFERROR($B$381:$B$498&lt;=E208+30,0))*($G$381:$G$498&gt;0)*($L$381:$L$498&lt;&gt;L208)*($G$381:$G$498))))</f>
        <v/>
      </c>
      <c r="P208" s="28" t="str">
        <f>IF(OR(A208="",M208&lt;=0,J208&gt;=0),"",SUMPRODUCT(($A$18:$A$379=A208)*(IFERROR($B$18:$B$379&gt;=E208-30,0))*(IFERROR($B$18:$B$379&lt;=E208+30,0))*($G$18:$G$379&gt;0)*($L$18:$L$379&lt;&gt;L208))+SUMPRODUCT(($A$381:$A$498=A208)*(IFERROR($B$381:$B$498&gt;=E208-30,0))*(IFERROR($B$381:$B$498&lt;=E208+30,0))*($G$381:$G$498&gt;0)*($L$381:$L$498&lt;&gt;L208)))</f>
        <v/>
      </c>
      <c r="Q208" s="31" t="str">
        <f>IF(P208=1,IFERROR(INDEX($L$18:$L$379,MATCH(1,INDEX(($A$18:$A$379=A208)*(IFERROR($B$18:$B$379&gt;=E208-30,0))*(IFERROR($B$18:$B$379&lt;=E208+30,0))*($G$18:$G$379&gt;0)*($L$18:$L$379&lt;&gt;L208),0),0)),IFERROR(INDEX($L$381:$L$498,MATCH(1,INDEX(($A$381:$A$498=A208)*(IFERROR($B$381:$B$498&gt;=E208-30,0))*(IFERROR($B$381:$B$498&lt;=E208+30,0))*($G$381:$G$498&gt;0)*($L$381:$L$498&lt;&gt;L208),0),0)),"")),"")</f>
        <v/>
      </c>
      <c r="R208" s="32"/>
      <c r="S208" s="31" t="str">
        <f>IF(R208&lt;&gt;"",R208,Q208)</f>
        <v/>
      </c>
      <c r="T208" s="63">
        <f>IF(OR(N208="",O208=0),0,N208*O208)</f>
        <v>0</v>
      </c>
      <c r="U208" s="63">
        <f>IF(COUNTIF($S$18:$S$498,L208)=0,"",SUMIF($S$18:$S$498,L208,$T$18:$T$498))</f>
        <v>0</v>
      </c>
      <c r="V208" s="63" t="str">
        <f>IF(H208="","",IFERROR(H208+U208,H208))</f>
        <v/>
      </c>
      <c r="W208" s="63" t="str">
        <f>IF(OR(V208="",C208=""),"",V208/C208)</f>
        <v/>
      </c>
      <c r="X208" s="11" t="str">
        <f>IF(A208="","",IF(AND(U208&lt;&gt;"",U208&lt;&gt;0,M208=0),"Replacement lot receiving wash basis",IF(J208="","",IF(J208&gt;=0,"",IF(O208=0,"No replacement buy found",IF(P208&gt;1,"Manual selection needed","Auto matched"))))))</f>
        <v/>
      </c>
      <c r="Z208" t="str">
        <f>IF(K208="Yes",COUNTIF($K$18:K208,"Yes"),"")</f>
        <v/>
      </c>
    </row>
    <row r="209" spans="1:26" ht="34.15" customHeight="1" x14ac:dyDescent="0.2">
      <c r="A209" s="9"/>
      <c r="B209" s="69"/>
      <c r="C209" s="30"/>
      <c r="D209" s="70"/>
      <c r="E209" s="69"/>
      <c r="F209" s="70"/>
      <c r="G209" s="30"/>
      <c r="H209" s="63" t="str">
        <f>IF(OR(C209="",D209=""),"",C209*D209)</f>
        <v/>
      </c>
      <c r="I209" s="63" t="str">
        <f>IF(OR(E209="",F209="",M209&lt;=0),"",M209*F209)</f>
        <v/>
      </c>
      <c r="J209" s="63" t="str">
        <f>IF(I209="","",I209-(M209*D209))</f>
        <v/>
      </c>
      <c r="K209" s="28" t="str">
        <f>IF(A209="","",IF(T209&gt;0,"Yes","No"))</f>
        <v/>
      </c>
      <c r="L209" s="28" t="str">
        <f>IF(A209="","",A209&amp;"-"&amp;TEXT(B209,"yyyymmdd")&amp;"-R"&amp;ROW())</f>
        <v/>
      </c>
      <c r="M209" s="28" t="str">
        <f>IF(OR(C209="",G209=""),"",C209-G209)</f>
        <v/>
      </c>
      <c r="N209" s="63" t="str">
        <f>IF(OR(M209&lt;=0,J209&gt;=0),"",ABS(J209)/M209)</f>
        <v/>
      </c>
      <c r="O209" s="63" t="str">
        <f>IF(OR(A209="",M209&lt;=0,J209&gt;=0),"",MIN(M209,SUMPRODUCT(($A$18:$A$379=A209)*(IFERROR($B$18:$B$379&gt;=E209-30,0))*(IFERROR($B$18:$B$379&lt;=E209+30,0))*($G$18:$G$379&gt;0)*($L$18:$L$379&lt;&gt;L209)*($G$18:$G$379))+SUMPRODUCT(($A$381:$A$498=A209)*(IFERROR($B$381:$B$498&gt;=E209-30,0))*(IFERROR($B$381:$B$498&lt;=E209+30,0))*($G$381:$G$498&gt;0)*($L$381:$L$498&lt;&gt;L209)*($G$381:$G$498))))</f>
        <v/>
      </c>
      <c r="P209" s="28" t="str">
        <f>IF(OR(A209="",M209&lt;=0,J209&gt;=0),"",SUMPRODUCT(($A$18:$A$379=A209)*(IFERROR($B$18:$B$379&gt;=E209-30,0))*(IFERROR($B$18:$B$379&lt;=E209+30,0))*($G$18:$G$379&gt;0)*($L$18:$L$379&lt;&gt;L209))+SUMPRODUCT(($A$381:$A$498=A209)*(IFERROR($B$381:$B$498&gt;=E209-30,0))*(IFERROR($B$381:$B$498&lt;=E209+30,0))*($G$381:$G$498&gt;0)*($L$381:$L$498&lt;&gt;L209)))</f>
        <v/>
      </c>
      <c r="Q209" s="31" t="str">
        <f>IF(P209=1,IFERROR(INDEX($L$18:$L$379,MATCH(1,INDEX(($A$18:$A$379=A209)*(IFERROR($B$18:$B$379&gt;=E209-30,0))*(IFERROR($B$18:$B$379&lt;=E209+30,0))*($G$18:$G$379&gt;0)*($L$18:$L$379&lt;&gt;L209),0),0)),IFERROR(INDEX($L$381:$L$498,MATCH(1,INDEX(($A$381:$A$498=A209)*(IFERROR($B$381:$B$498&gt;=E209-30,0))*(IFERROR($B$381:$B$498&lt;=E209+30,0))*($G$381:$G$498&gt;0)*($L$381:$L$498&lt;&gt;L209),0),0)),"")),"")</f>
        <v/>
      </c>
      <c r="R209" s="32"/>
      <c r="S209" s="31" t="str">
        <f>IF(R209&lt;&gt;"",R209,Q209)</f>
        <v/>
      </c>
      <c r="T209" s="63">
        <f>IF(OR(N209="",O209=0),0,N209*O209)</f>
        <v>0</v>
      </c>
      <c r="U209" s="63">
        <f>IF(COUNTIF($S$18:$S$498,L209)=0,"",SUMIF($S$18:$S$498,L209,$T$18:$T$498))</f>
        <v>0</v>
      </c>
      <c r="V209" s="63" t="str">
        <f>IF(H209="","",IFERROR(H209+U209,H209))</f>
        <v/>
      </c>
      <c r="W209" s="63" t="str">
        <f>IF(OR(V209="",C209=""),"",V209/C209)</f>
        <v/>
      </c>
      <c r="X209" s="11" t="str">
        <f>IF(A209="","",IF(AND(U209&lt;&gt;"",U209&lt;&gt;0,M209=0),"Replacement lot receiving wash basis",IF(J209="","",IF(J209&gt;=0,"",IF(O209=0,"No replacement buy found",IF(P209&gt;1,"Manual selection needed","Auto matched"))))))</f>
        <v/>
      </c>
      <c r="Z209" t="str">
        <f>IF(K209="Yes",COUNTIF($K$18:K209,"Yes"),"")</f>
        <v/>
      </c>
    </row>
    <row r="210" spans="1:26" ht="34.15" customHeight="1" x14ac:dyDescent="0.2">
      <c r="A210" s="9"/>
      <c r="B210" s="69"/>
      <c r="C210" s="30"/>
      <c r="D210" s="70"/>
      <c r="E210" s="69"/>
      <c r="F210" s="70"/>
      <c r="G210" s="30"/>
      <c r="H210" s="63" t="str">
        <f>IF(OR(C210="",D210=""),"",C210*D210)</f>
        <v/>
      </c>
      <c r="I210" s="63" t="str">
        <f>IF(OR(E210="",F210="",M210&lt;=0),"",M210*F210)</f>
        <v/>
      </c>
      <c r="J210" s="63" t="str">
        <f>IF(I210="","",I210-(M210*D210))</f>
        <v/>
      </c>
      <c r="K210" s="28" t="str">
        <f>IF(A210="","",IF(T210&gt;0,"Yes","No"))</f>
        <v/>
      </c>
      <c r="L210" s="28" t="str">
        <f>IF(A210="","",A210&amp;"-"&amp;TEXT(B210,"yyyymmdd")&amp;"-R"&amp;ROW())</f>
        <v/>
      </c>
      <c r="M210" s="28" t="str">
        <f>IF(OR(C210="",G210=""),"",C210-G210)</f>
        <v/>
      </c>
      <c r="N210" s="63" t="str">
        <f>IF(OR(M210&lt;=0,J210&gt;=0),"",ABS(J210)/M210)</f>
        <v/>
      </c>
      <c r="O210" s="63" t="str">
        <f>IF(OR(A210="",M210&lt;=0,J210&gt;=0),"",MIN(M210,SUMPRODUCT(($A$18:$A$379=A210)*(IFERROR($B$18:$B$379&gt;=E210-30,0))*(IFERROR($B$18:$B$379&lt;=E210+30,0))*($G$18:$G$379&gt;0)*($L$18:$L$379&lt;&gt;L210)*($G$18:$G$379))+SUMPRODUCT(($A$381:$A$498=A210)*(IFERROR($B$381:$B$498&gt;=E210-30,0))*(IFERROR($B$381:$B$498&lt;=E210+30,0))*($G$381:$G$498&gt;0)*($L$381:$L$498&lt;&gt;L210)*($G$381:$G$498))))</f>
        <v/>
      </c>
      <c r="P210" s="28" t="str">
        <f>IF(OR(A210="",M210&lt;=0,J210&gt;=0),"",SUMPRODUCT(($A$18:$A$379=A210)*(IFERROR($B$18:$B$379&gt;=E210-30,0))*(IFERROR($B$18:$B$379&lt;=E210+30,0))*($G$18:$G$379&gt;0)*($L$18:$L$379&lt;&gt;L210))+SUMPRODUCT(($A$381:$A$498=A210)*(IFERROR($B$381:$B$498&gt;=E210-30,0))*(IFERROR($B$381:$B$498&lt;=E210+30,0))*($G$381:$G$498&gt;0)*($L$381:$L$498&lt;&gt;L210)))</f>
        <v/>
      </c>
      <c r="Q210" s="31" t="str">
        <f>IF(P210=1,IFERROR(INDEX($L$18:$L$379,MATCH(1,INDEX(($A$18:$A$379=A210)*(IFERROR($B$18:$B$379&gt;=E210-30,0))*(IFERROR($B$18:$B$379&lt;=E210+30,0))*($G$18:$G$379&gt;0)*($L$18:$L$379&lt;&gt;L210),0),0)),IFERROR(INDEX($L$381:$L$498,MATCH(1,INDEX(($A$381:$A$498=A210)*(IFERROR($B$381:$B$498&gt;=E210-30,0))*(IFERROR($B$381:$B$498&lt;=E210+30,0))*($G$381:$G$498&gt;0)*($L$381:$L$498&lt;&gt;L210),0),0)),"")),"")</f>
        <v/>
      </c>
      <c r="R210" s="32"/>
      <c r="S210" s="31" t="str">
        <f>IF(R210&lt;&gt;"",R210,Q210)</f>
        <v/>
      </c>
      <c r="T210" s="63">
        <f>IF(OR(N210="",O210=0),0,N210*O210)</f>
        <v>0</v>
      </c>
      <c r="U210" s="63">
        <f>IF(COUNTIF($S$18:$S$498,L210)=0,"",SUMIF($S$18:$S$498,L210,$T$18:$T$498))</f>
        <v>0</v>
      </c>
      <c r="V210" s="63" t="str">
        <f>IF(H210="","",IFERROR(H210+U210,H210))</f>
        <v/>
      </c>
      <c r="W210" s="63" t="str">
        <f>IF(OR(V210="",C210=""),"",V210/C210)</f>
        <v/>
      </c>
      <c r="X210" s="11" t="str">
        <f>IF(A210="","",IF(AND(U210&lt;&gt;"",U210&lt;&gt;0,M210=0),"Replacement lot receiving wash basis",IF(J210="","",IF(J210&gt;=0,"",IF(O210=0,"No replacement buy found",IF(P210&gt;1,"Manual selection needed","Auto matched"))))))</f>
        <v/>
      </c>
      <c r="Z210" t="str">
        <f>IF(K210="Yes",COUNTIF($K$18:K210,"Yes"),"")</f>
        <v/>
      </c>
    </row>
    <row r="211" spans="1:26" ht="34.15" customHeight="1" x14ac:dyDescent="0.2">
      <c r="A211" s="9"/>
      <c r="B211" s="69"/>
      <c r="C211" s="30"/>
      <c r="D211" s="70"/>
      <c r="E211" s="69"/>
      <c r="F211" s="70"/>
      <c r="G211" s="30"/>
      <c r="H211" s="63" t="str">
        <f>IF(OR(C211="",D211=""),"",C211*D211)</f>
        <v/>
      </c>
      <c r="I211" s="63" t="str">
        <f>IF(OR(E211="",F211="",M211&lt;=0),"",M211*F211)</f>
        <v/>
      </c>
      <c r="J211" s="63" t="str">
        <f>IF(I211="","",I211-(M211*D211))</f>
        <v/>
      </c>
      <c r="K211" s="28" t="str">
        <f>IF(A211="","",IF(T211&gt;0,"Yes","No"))</f>
        <v/>
      </c>
      <c r="L211" s="28" t="str">
        <f>IF(A211="","",A211&amp;"-"&amp;TEXT(B211,"yyyymmdd")&amp;"-R"&amp;ROW())</f>
        <v/>
      </c>
      <c r="M211" s="28" t="str">
        <f>IF(OR(C211="",G211=""),"",C211-G211)</f>
        <v/>
      </c>
      <c r="N211" s="63" t="str">
        <f>IF(OR(M211&lt;=0,J211&gt;=0),"",ABS(J211)/M211)</f>
        <v/>
      </c>
      <c r="O211" s="63" t="str">
        <f>IF(OR(A211="",M211&lt;=0,J211&gt;=0),"",MIN(M211,SUMPRODUCT(($A$18:$A$379=A211)*(IFERROR($B$18:$B$379&gt;=E211-30,0))*(IFERROR($B$18:$B$379&lt;=E211+30,0))*($G$18:$G$379&gt;0)*($L$18:$L$379&lt;&gt;L211)*($G$18:$G$379))+SUMPRODUCT(($A$381:$A$498=A211)*(IFERROR($B$381:$B$498&gt;=E211-30,0))*(IFERROR($B$381:$B$498&lt;=E211+30,0))*($G$381:$G$498&gt;0)*($L$381:$L$498&lt;&gt;L211)*($G$381:$G$498))))</f>
        <v/>
      </c>
      <c r="P211" s="28" t="str">
        <f>IF(OR(A211="",M211&lt;=0,J211&gt;=0),"",SUMPRODUCT(($A$18:$A$379=A211)*(IFERROR($B$18:$B$379&gt;=E211-30,0))*(IFERROR($B$18:$B$379&lt;=E211+30,0))*($G$18:$G$379&gt;0)*($L$18:$L$379&lt;&gt;L211))+SUMPRODUCT(($A$381:$A$498=A211)*(IFERROR($B$381:$B$498&gt;=E211-30,0))*(IFERROR($B$381:$B$498&lt;=E211+30,0))*($G$381:$G$498&gt;0)*($L$381:$L$498&lt;&gt;L211)))</f>
        <v/>
      </c>
      <c r="Q211" s="31" t="str">
        <f>IF(P211=1,IFERROR(INDEX($L$18:$L$379,MATCH(1,INDEX(($A$18:$A$379=A211)*(IFERROR($B$18:$B$379&gt;=E211-30,0))*(IFERROR($B$18:$B$379&lt;=E211+30,0))*($G$18:$G$379&gt;0)*($L$18:$L$379&lt;&gt;L211),0),0)),IFERROR(INDEX($L$381:$L$498,MATCH(1,INDEX(($A$381:$A$498=A211)*(IFERROR($B$381:$B$498&gt;=E211-30,0))*(IFERROR($B$381:$B$498&lt;=E211+30,0))*($G$381:$G$498&gt;0)*($L$381:$L$498&lt;&gt;L211),0),0)),"")),"")</f>
        <v/>
      </c>
      <c r="R211" s="32"/>
      <c r="S211" s="31" t="str">
        <f>IF(R211&lt;&gt;"",R211,Q211)</f>
        <v/>
      </c>
      <c r="T211" s="63">
        <f>IF(OR(N211="",O211=0),0,N211*O211)</f>
        <v>0</v>
      </c>
      <c r="U211" s="63">
        <f>IF(COUNTIF($S$18:$S$498,L211)=0,"",SUMIF($S$18:$S$498,L211,$T$18:$T$498))</f>
        <v>0</v>
      </c>
      <c r="V211" s="63" t="str">
        <f>IF(H211="","",IFERROR(H211+U211,H211))</f>
        <v/>
      </c>
      <c r="W211" s="63" t="str">
        <f>IF(OR(V211="",C211=""),"",V211/C211)</f>
        <v/>
      </c>
      <c r="X211" s="11" t="str">
        <f>IF(A211="","",IF(AND(U211&lt;&gt;"",U211&lt;&gt;0,M211=0),"Replacement lot receiving wash basis",IF(J211="","",IF(J211&gt;=0,"",IF(O211=0,"No replacement buy found",IF(P211&gt;1,"Manual selection needed","Auto matched"))))))</f>
        <v/>
      </c>
      <c r="Z211" t="str">
        <f>IF(K211="Yes",COUNTIF($K$18:K211,"Yes"),"")</f>
        <v/>
      </c>
    </row>
    <row r="212" spans="1:26" ht="34.15" customHeight="1" x14ac:dyDescent="0.2">
      <c r="A212" s="9"/>
      <c r="B212" s="69"/>
      <c r="C212" s="30"/>
      <c r="D212" s="70"/>
      <c r="E212" s="69"/>
      <c r="F212" s="70"/>
      <c r="G212" s="30"/>
      <c r="H212" s="63" t="str">
        <f>IF(OR(C212="",D212=""),"",C212*D212)</f>
        <v/>
      </c>
      <c r="I212" s="63" t="str">
        <f>IF(OR(E212="",F212="",M212&lt;=0),"",M212*F212)</f>
        <v/>
      </c>
      <c r="J212" s="63" t="str">
        <f>IF(I212="","",I212-(M212*D212))</f>
        <v/>
      </c>
      <c r="K212" s="28" t="str">
        <f>IF(A212="","",IF(T212&gt;0,"Yes","No"))</f>
        <v/>
      </c>
      <c r="L212" s="28" t="str">
        <f>IF(A212="","",A212&amp;"-"&amp;TEXT(B212,"yyyymmdd")&amp;"-R"&amp;ROW())</f>
        <v/>
      </c>
      <c r="M212" s="28" t="str">
        <f>IF(OR(C212="",G212=""),"",C212-G212)</f>
        <v/>
      </c>
      <c r="N212" s="63" t="str">
        <f>IF(OR(M212&lt;=0,J212&gt;=0),"",ABS(J212)/M212)</f>
        <v/>
      </c>
      <c r="O212" s="63" t="str">
        <f>IF(OR(A212="",M212&lt;=0,J212&gt;=0),"",MIN(M212,SUMPRODUCT(($A$18:$A$379=A212)*(IFERROR($B$18:$B$379&gt;=E212-30,0))*(IFERROR($B$18:$B$379&lt;=E212+30,0))*($G$18:$G$379&gt;0)*($L$18:$L$379&lt;&gt;L212)*($G$18:$G$379))+SUMPRODUCT(($A$381:$A$498=A212)*(IFERROR($B$381:$B$498&gt;=E212-30,0))*(IFERROR($B$381:$B$498&lt;=E212+30,0))*($G$381:$G$498&gt;0)*($L$381:$L$498&lt;&gt;L212)*($G$381:$G$498))))</f>
        <v/>
      </c>
      <c r="P212" s="28" t="str">
        <f>IF(OR(A212="",M212&lt;=0,J212&gt;=0),"",SUMPRODUCT(($A$18:$A$379=A212)*(IFERROR($B$18:$B$379&gt;=E212-30,0))*(IFERROR($B$18:$B$379&lt;=E212+30,0))*($G$18:$G$379&gt;0)*($L$18:$L$379&lt;&gt;L212))+SUMPRODUCT(($A$381:$A$498=A212)*(IFERROR($B$381:$B$498&gt;=E212-30,0))*(IFERROR($B$381:$B$498&lt;=E212+30,0))*($G$381:$G$498&gt;0)*($L$381:$L$498&lt;&gt;L212)))</f>
        <v/>
      </c>
      <c r="Q212" s="31" t="str">
        <f>IF(P212=1,IFERROR(INDEX($L$18:$L$379,MATCH(1,INDEX(($A$18:$A$379=A212)*(IFERROR($B$18:$B$379&gt;=E212-30,0))*(IFERROR($B$18:$B$379&lt;=E212+30,0))*($G$18:$G$379&gt;0)*($L$18:$L$379&lt;&gt;L212),0),0)),IFERROR(INDEX($L$381:$L$498,MATCH(1,INDEX(($A$381:$A$498=A212)*(IFERROR($B$381:$B$498&gt;=E212-30,0))*(IFERROR($B$381:$B$498&lt;=E212+30,0))*($G$381:$G$498&gt;0)*($L$381:$L$498&lt;&gt;L212),0),0)),"")),"")</f>
        <v/>
      </c>
      <c r="R212" s="32"/>
      <c r="S212" s="31" t="str">
        <f>IF(R212&lt;&gt;"",R212,Q212)</f>
        <v/>
      </c>
      <c r="T212" s="63">
        <f>IF(OR(N212="",O212=0),0,N212*O212)</f>
        <v>0</v>
      </c>
      <c r="U212" s="63">
        <f>IF(COUNTIF($S$18:$S$498,L212)=0,"",SUMIF($S$18:$S$498,L212,$T$18:$T$498))</f>
        <v>0</v>
      </c>
      <c r="V212" s="63" t="str">
        <f>IF(H212="","",IFERROR(H212+U212,H212))</f>
        <v/>
      </c>
      <c r="W212" s="63" t="str">
        <f>IF(OR(V212="",C212=""),"",V212/C212)</f>
        <v/>
      </c>
      <c r="X212" s="11" t="str">
        <f>IF(A212="","",IF(AND(U212&lt;&gt;"",U212&lt;&gt;0,M212=0),"Replacement lot receiving wash basis",IF(J212="","",IF(J212&gt;=0,"",IF(O212=0,"No replacement buy found",IF(P212&gt;1,"Manual selection needed","Auto matched"))))))</f>
        <v/>
      </c>
      <c r="Z212" t="str">
        <f>IF(K212="Yes",COUNTIF($K$18:K212,"Yes"),"")</f>
        <v/>
      </c>
    </row>
    <row r="213" spans="1:26" ht="34.15" customHeight="1" x14ac:dyDescent="0.2">
      <c r="A213" s="9"/>
      <c r="B213" s="69"/>
      <c r="C213" s="30"/>
      <c r="D213" s="70"/>
      <c r="E213" s="69"/>
      <c r="F213" s="70"/>
      <c r="G213" s="30"/>
      <c r="H213" s="63" t="str">
        <f>IF(OR(C213="",D213=""),"",C213*D213)</f>
        <v/>
      </c>
      <c r="I213" s="63" t="str">
        <f>IF(OR(E213="",F213="",M213&lt;=0),"",M213*F213)</f>
        <v/>
      </c>
      <c r="J213" s="63" t="str">
        <f>IF(I213="","",I213-(M213*D213))</f>
        <v/>
      </c>
      <c r="K213" s="28" t="str">
        <f>IF(A213="","",IF(T213&gt;0,"Yes","No"))</f>
        <v/>
      </c>
      <c r="L213" s="28" t="str">
        <f>IF(A213="","",A213&amp;"-"&amp;TEXT(B213,"yyyymmdd")&amp;"-R"&amp;ROW())</f>
        <v/>
      </c>
      <c r="M213" s="28" t="str">
        <f>IF(OR(C213="",G213=""),"",C213-G213)</f>
        <v/>
      </c>
      <c r="N213" s="63" t="str">
        <f>IF(OR(M213&lt;=0,J213&gt;=0),"",ABS(J213)/M213)</f>
        <v/>
      </c>
      <c r="O213" s="63" t="str">
        <f>IF(OR(A213="",M213&lt;=0,J213&gt;=0),"",MIN(M213,SUMPRODUCT(($A$18:$A$379=A213)*(IFERROR($B$18:$B$379&gt;=E213-30,0))*(IFERROR($B$18:$B$379&lt;=E213+30,0))*($G$18:$G$379&gt;0)*($L$18:$L$379&lt;&gt;L213)*($G$18:$G$379))+SUMPRODUCT(($A$381:$A$498=A213)*(IFERROR($B$381:$B$498&gt;=E213-30,0))*(IFERROR($B$381:$B$498&lt;=E213+30,0))*($G$381:$G$498&gt;0)*($L$381:$L$498&lt;&gt;L213)*($G$381:$G$498))))</f>
        <v/>
      </c>
      <c r="P213" s="28" t="str">
        <f>IF(OR(A213="",M213&lt;=0,J213&gt;=0),"",SUMPRODUCT(($A$18:$A$379=A213)*(IFERROR($B$18:$B$379&gt;=E213-30,0))*(IFERROR($B$18:$B$379&lt;=E213+30,0))*($G$18:$G$379&gt;0)*($L$18:$L$379&lt;&gt;L213))+SUMPRODUCT(($A$381:$A$498=A213)*(IFERROR($B$381:$B$498&gt;=E213-30,0))*(IFERROR($B$381:$B$498&lt;=E213+30,0))*($G$381:$G$498&gt;0)*($L$381:$L$498&lt;&gt;L213)))</f>
        <v/>
      </c>
      <c r="Q213" s="31" t="str">
        <f>IF(P213=1,IFERROR(INDEX($L$18:$L$379,MATCH(1,INDEX(($A$18:$A$379=A213)*(IFERROR($B$18:$B$379&gt;=E213-30,0))*(IFERROR($B$18:$B$379&lt;=E213+30,0))*($G$18:$G$379&gt;0)*($L$18:$L$379&lt;&gt;L213),0),0)),IFERROR(INDEX($L$381:$L$498,MATCH(1,INDEX(($A$381:$A$498=A213)*(IFERROR($B$381:$B$498&gt;=E213-30,0))*(IFERROR($B$381:$B$498&lt;=E213+30,0))*($G$381:$G$498&gt;0)*($L$381:$L$498&lt;&gt;L213),0),0)),"")),"")</f>
        <v/>
      </c>
      <c r="R213" s="32"/>
      <c r="S213" s="31" t="str">
        <f>IF(R213&lt;&gt;"",R213,Q213)</f>
        <v/>
      </c>
      <c r="T213" s="63">
        <f>IF(OR(N213="",O213=0),0,N213*O213)</f>
        <v>0</v>
      </c>
      <c r="U213" s="63">
        <f>IF(COUNTIF($S$18:$S$498,L213)=0,"",SUMIF($S$18:$S$498,L213,$T$18:$T$498))</f>
        <v>0</v>
      </c>
      <c r="V213" s="63" t="str">
        <f>IF(H213="","",IFERROR(H213+U213,H213))</f>
        <v/>
      </c>
      <c r="W213" s="63" t="str">
        <f>IF(OR(V213="",C213=""),"",V213/C213)</f>
        <v/>
      </c>
      <c r="X213" s="11" t="str">
        <f>IF(A213="","",IF(AND(U213&lt;&gt;"",U213&lt;&gt;0,M213=0),"Replacement lot receiving wash basis",IF(J213="","",IF(J213&gt;=0,"",IF(O213=0,"No replacement buy found",IF(P213&gt;1,"Manual selection needed","Auto matched"))))))</f>
        <v/>
      </c>
      <c r="Z213" t="str">
        <f>IF(K213="Yes",COUNTIF($K$18:K213,"Yes"),"")</f>
        <v/>
      </c>
    </row>
    <row r="214" spans="1:26" ht="34.15" customHeight="1" x14ac:dyDescent="0.2">
      <c r="A214" s="9"/>
      <c r="B214" s="69"/>
      <c r="C214" s="30"/>
      <c r="D214" s="70"/>
      <c r="E214" s="69"/>
      <c r="F214" s="70"/>
      <c r="G214" s="30"/>
      <c r="H214" s="63" t="str">
        <f>IF(OR(C214="",D214=""),"",C214*D214)</f>
        <v/>
      </c>
      <c r="I214" s="63" t="str">
        <f>IF(OR(E214="",F214="",M214&lt;=0),"",M214*F214)</f>
        <v/>
      </c>
      <c r="J214" s="63" t="str">
        <f>IF(I214="","",I214-(M214*D214))</f>
        <v/>
      </c>
      <c r="K214" s="28" t="str">
        <f>IF(A214="","",IF(T214&gt;0,"Yes","No"))</f>
        <v/>
      </c>
      <c r="L214" s="28" t="str">
        <f>IF(A214="","",A214&amp;"-"&amp;TEXT(B214,"yyyymmdd")&amp;"-R"&amp;ROW())</f>
        <v/>
      </c>
      <c r="M214" s="28" t="str">
        <f>IF(OR(C214="",G214=""),"",C214-G214)</f>
        <v/>
      </c>
      <c r="N214" s="63" t="str">
        <f>IF(OR(M214&lt;=0,J214&gt;=0),"",ABS(J214)/M214)</f>
        <v/>
      </c>
      <c r="O214" s="63" t="str">
        <f>IF(OR(A214="",M214&lt;=0,J214&gt;=0),"",MIN(M214,SUMPRODUCT(($A$18:$A$379=A214)*(IFERROR($B$18:$B$379&gt;=E214-30,0))*(IFERROR($B$18:$B$379&lt;=E214+30,0))*($G$18:$G$379&gt;0)*($L$18:$L$379&lt;&gt;L214)*($G$18:$G$379))+SUMPRODUCT(($A$381:$A$498=A214)*(IFERROR($B$381:$B$498&gt;=E214-30,0))*(IFERROR($B$381:$B$498&lt;=E214+30,0))*($G$381:$G$498&gt;0)*($L$381:$L$498&lt;&gt;L214)*($G$381:$G$498))))</f>
        <v/>
      </c>
      <c r="P214" s="28" t="str">
        <f>IF(OR(A214="",M214&lt;=0,J214&gt;=0),"",SUMPRODUCT(($A$18:$A$379=A214)*(IFERROR($B$18:$B$379&gt;=E214-30,0))*(IFERROR($B$18:$B$379&lt;=E214+30,0))*($G$18:$G$379&gt;0)*($L$18:$L$379&lt;&gt;L214))+SUMPRODUCT(($A$381:$A$498=A214)*(IFERROR($B$381:$B$498&gt;=E214-30,0))*(IFERROR($B$381:$B$498&lt;=E214+30,0))*($G$381:$G$498&gt;0)*($L$381:$L$498&lt;&gt;L214)))</f>
        <v/>
      </c>
      <c r="Q214" s="31" t="str">
        <f>IF(P214=1,IFERROR(INDEX($L$18:$L$379,MATCH(1,INDEX(($A$18:$A$379=A214)*(IFERROR($B$18:$B$379&gt;=E214-30,0))*(IFERROR($B$18:$B$379&lt;=E214+30,0))*($G$18:$G$379&gt;0)*($L$18:$L$379&lt;&gt;L214),0),0)),IFERROR(INDEX($L$381:$L$498,MATCH(1,INDEX(($A$381:$A$498=A214)*(IFERROR($B$381:$B$498&gt;=E214-30,0))*(IFERROR($B$381:$B$498&lt;=E214+30,0))*($G$381:$G$498&gt;0)*($L$381:$L$498&lt;&gt;L214),0),0)),"")),"")</f>
        <v/>
      </c>
      <c r="R214" s="32"/>
      <c r="S214" s="31" t="str">
        <f>IF(R214&lt;&gt;"",R214,Q214)</f>
        <v/>
      </c>
      <c r="T214" s="63">
        <f>IF(OR(N214="",O214=0),0,N214*O214)</f>
        <v>0</v>
      </c>
      <c r="U214" s="63">
        <f>IF(COUNTIF($S$18:$S$498,L214)=0,"",SUMIF($S$18:$S$498,L214,$T$18:$T$498))</f>
        <v>0</v>
      </c>
      <c r="V214" s="63" t="str">
        <f>IF(H214="","",IFERROR(H214+U214,H214))</f>
        <v/>
      </c>
      <c r="W214" s="63" t="str">
        <f>IF(OR(V214="",C214=""),"",V214/C214)</f>
        <v/>
      </c>
      <c r="X214" s="11" t="str">
        <f>IF(A214="","",IF(AND(U214&lt;&gt;"",U214&lt;&gt;0,M214=0),"Replacement lot receiving wash basis",IF(J214="","",IF(J214&gt;=0,"",IF(O214=0,"No replacement buy found",IF(P214&gt;1,"Manual selection needed","Auto matched"))))))</f>
        <v/>
      </c>
      <c r="Z214" t="str">
        <f>IF(K214="Yes",COUNTIF($K$18:K214,"Yes"),"")</f>
        <v/>
      </c>
    </row>
    <row r="215" spans="1:26" ht="34.15" customHeight="1" x14ac:dyDescent="0.2">
      <c r="A215" s="9"/>
      <c r="B215" s="69"/>
      <c r="C215" s="30"/>
      <c r="D215" s="70"/>
      <c r="E215" s="69"/>
      <c r="F215" s="70"/>
      <c r="G215" s="30"/>
      <c r="H215" s="63" t="str">
        <f>IF(OR(C215="",D215=""),"",C215*D215)</f>
        <v/>
      </c>
      <c r="I215" s="63" t="str">
        <f>IF(OR(E215="",F215="",M215&lt;=0),"",M215*F215)</f>
        <v/>
      </c>
      <c r="J215" s="63" t="str">
        <f>IF(I215="","",I215-(M215*D215))</f>
        <v/>
      </c>
      <c r="K215" s="28" t="str">
        <f>IF(A215="","",IF(T215&gt;0,"Yes","No"))</f>
        <v/>
      </c>
      <c r="L215" s="28" t="str">
        <f>IF(A215="","",A215&amp;"-"&amp;TEXT(B215,"yyyymmdd")&amp;"-R"&amp;ROW())</f>
        <v/>
      </c>
      <c r="M215" s="28" t="str">
        <f>IF(OR(C215="",G215=""),"",C215-G215)</f>
        <v/>
      </c>
      <c r="N215" s="63" t="str">
        <f>IF(OR(M215&lt;=0,J215&gt;=0),"",ABS(J215)/M215)</f>
        <v/>
      </c>
      <c r="O215" s="63" t="str">
        <f>IF(OR(A215="",M215&lt;=0,J215&gt;=0),"",MIN(M215,SUMPRODUCT(($A$18:$A$379=A215)*(IFERROR($B$18:$B$379&gt;=E215-30,0))*(IFERROR($B$18:$B$379&lt;=E215+30,0))*($G$18:$G$379&gt;0)*($L$18:$L$379&lt;&gt;L215)*($G$18:$G$379))+SUMPRODUCT(($A$381:$A$498=A215)*(IFERROR($B$381:$B$498&gt;=E215-30,0))*(IFERROR($B$381:$B$498&lt;=E215+30,0))*($G$381:$G$498&gt;0)*($L$381:$L$498&lt;&gt;L215)*($G$381:$G$498))))</f>
        <v/>
      </c>
      <c r="P215" s="28" t="str">
        <f>IF(OR(A215="",M215&lt;=0,J215&gt;=0),"",SUMPRODUCT(($A$18:$A$379=A215)*(IFERROR($B$18:$B$379&gt;=E215-30,0))*(IFERROR($B$18:$B$379&lt;=E215+30,0))*($G$18:$G$379&gt;0)*($L$18:$L$379&lt;&gt;L215))+SUMPRODUCT(($A$381:$A$498=A215)*(IFERROR($B$381:$B$498&gt;=E215-30,0))*(IFERROR($B$381:$B$498&lt;=E215+30,0))*($G$381:$G$498&gt;0)*($L$381:$L$498&lt;&gt;L215)))</f>
        <v/>
      </c>
      <c r="Q215" s="31" t="str">
        <f>IF(P215=1,IFERROR(INDEX($L$18:$L$379,MATCH(1,INDEX(($A$18:$A$379=A215)*(IFERROR($B$18:$B$379&gt;=E215-30,0))*(IFERROR($B$18:$B$379&lt;=E215+30,0))*($G$18:$G$379&gt;0)*($L$18:$L$379&lt;&gt;L215),0),0)),IFERROR(INDEX($L$381:$L$498,MATCH(1,INDEX(($A$381:$A$498=A215)*(IFERROR($B$381:$B$498&gt;=E215-30,0))*(IFERROR($B$381:$B$498&lt;=E215+30,0))*($G$381:$G$498&gt;0)*($L$381:$L$498&lt;&gt;L215),0),0)),"")),"")</f>
        <v/>
      </c>
      <c r="R215" s="32"/>
      <c r="S215" s="31" t="str">
        <f>IF(R215&lt;&gt;"",R215,Q215)</f>
        <v/>
      </c>
      <c r="T215" s="63">
        <f>IF(OR(N215="",O215=0),0,N215*O215)</f>
        <v>0</v>
      </c>
      <c r="U215" s="63">
        <f>IF(COUNTIF($S$18:$S$498,L215)=0,"",SUMIF($S$18:$S$498,L215,$T$18:$T$498))</f>
        <v>0</v>
      </c>
      <c r="V215" s="63" t="str">
        <f>IF(H215="","",IFERROR(H215+U215,H215))</f>
        <v/>
      </c>
      <c r="W215" s="63" t="str">
        <f>IF(OR(V215="",C215=""),"",V215/C215)</f>
        <v/>
      </c>
      <c r="X215" s="11" t="str">
        <f>IF(A215="","",IF(AND(U215&lt;&gt;"",U215&lt;&gt;0,M215=0),"Replacement lot receiving wash basis",IF(J215="","",IF(J215&gt;=0,"",IF(O215=0,"No replacement buy found",IF(P215&gt;1,"Manual selection needed","Auto matched"))))))</f>
        <v/>
      </c>
      <c r="Z215" t="str">
        <f>IF(K215="Yes",COUNTIF($K$18:K215,"Yes"),"")</f>
        <v/>
      </c>
    </row>
    <row r="216" spans="1:26" ht="34.15" customHeight="1" x14ac:dyDescent="0.2">
      <c r="A216" s="9"/>
      <c r="B216" s="69"/>
      <c r="C216" s="30"/>
      <c r="D216" s="70"/>
      <c r="E216" s="69"/>
      <c r="F216" s="70"/>
      <c r="G216" s="30"/>
      <c r="H216" s="63" t="str">
        <f>IF(OR(C216="",D216=""),"",C216*D216)</f>
        <v/>
      </c>
      <c r="I216" s="63" t="str">
        <f>IF(OR(E216="",F216="",M216&lt;=0),"",M216*F216)</f>
        <v/>
      </c>
      <c r="J216" s="63" t="str">
        <f>IF(I216="","",I216-(M216*D216))</f>
        <v/>
      </c>
      <c r="K216" s="28" t="str">
        <f>IF(A216="","",IF(T216&gt;0,"Yes","No"))</f>
        <v/>
      </c>
      <c r="L216" s="28" t="str">
        <f>IF(A216="","",A216&amp;"-"&amp;TEXT(B216,"yyyymmdd")&amp;"-R"&amp;ROW())</f>
        <v/>
      </c>
      <c r="M216" s="28" t="str">
        <f>IF(OR(C216="",G216=""),"",C216-G216)</f>
        <v/>
      </c>
      <c r="N216" s="63" t="str">
        <f>IF(OR(M216&lt;=0,J216&gt;=0),"",ABS(J216)/M216)</f>
        <v/>
      </c>
      <c r="O216" s="63" t="str">
        <f>IF(OR(A216="",M216&lt;=0,J216&gt;=0),"",MIN(M216,SUMPRODUCT(($A$18:$A$379=A216)*(IFERROR($B$18:$B$379&gt;=E216-30,0))*(IFERROR($B$18:$B$379&lt;=E216+30,0))*($G$18:$G$379&gt;0)*($L$18:$L$379&lt;&gt;L216)*($G$18:$G$379))+SUMPRODUCT(($A$381:$A$498=A216)*(IFERROR($B$381:$B$498&gt;=E216-30,0))*(IFERROR($B$381:$B$498&lt;=E216+30,0))*($G$381:$G$498&gt;0)*($L$381:$L$498&lt;&gt;L216)*($G$381:$G$498))))</f>
        <v/>
      </c>
      <c r="P216" s="28" t="str">
        <f>IF(OR(A216="",M216&lt;=0,J216&gt;=0),"",SUMPRODUCT(($A$18:$A$379=A216)*(IFERROR($B$18:$B$379&gt;=E216-30,0))*(IFERROR($B$18:$B$379&lt;=E216+30,0))*($G$18:$G$379&gt;0)*($L$18:$L$379&lt;&gt;L216))+SUMPRODUCT(($A$381:$A$498=A216)*(IFERROR($B$381:$B$498&gt;=E216-30,0))*(IFERROR($B$381:$B$498&lt;=E216+30,0))*($G$381:$G$498&gt;0)*($L$381:$L$498&lt;&gt;L216)))</f>
        <v/>
      </c>
      <c r="Q216" s="31" t="str">
        <f>IF(P216=1,IFERROR(INDEX($L$18:$L$379,MATCH(1,INDEX(($A$18:$A$379=A216)*(IFERROR($B$18:$B$379&gt;=E216-30,0))*(IFERROR($B$18:$B$379&lt;=E216+30,0))*($G$18:$G$379&gt;0)*($L$18:$L$379&lt;&gt;L216),0),0)),IFERROR(INDEX($L$381:$L$498,MATCH(1,INDEX(($A$381:$A$498=A216)*(IFERROR($B$381:$B$498&gt;=E216-30,0))*(IFERROR($B$381:$B$498&lt;=E216+30,0))*($G$381:$G$498&gt;0)*($L$381:$L$498&lt;&gt;L216),0),0)),"")),"")</f>
        <v/>
      </c>
      <c r="R216" s="32"/>
      <c r="S216" s="31" t="str">
        <f>IF(R216&lt;&gt;"",R216,Q216)</f>
        <v/>
      </c>
      <c r="T216" s="63">
        <f>IF(OR(N216="",O216=0),0,N216*O216)</f>
        <v>0</v>
      </c>
      <c r="U216" s="63">
        <f>IF(COUNTIF($S$18:$S$498,L216)=0,"",SUMIF($S$18:$S$498,L216,$T$18:$T$498))</f>
        <v>0</v>
      </c>
      <c r="V216" s="63" t="str">
        <f>IF(H216="","",IFERROR(H216+U216,H216))</f>
        <v/>
      </c>
      <c r="W216" s="63" t="str">
        <f>IF(OR(V216="",C216=""),"",V216/C216)</f>
        <v/>
      </c>
      <c r="X216" s="11" t="str">
        <f>IF(A216="","",IF(AND(U216&lt;&gt;"",U216&lt;&gt;0,M216=0),"Replacement lot receiving wash basis",IF(J216="","",IF(J216&gt;=0,"",IF(O216=0,"No replacement buy found",IF(P216&gt;1,"Manual selection needed","Auto matched"))))))</f>
        <v/>
      </c>
      <c r="Z216" t="str">
        <f>IF(K216="Yes",COUNTIF($K$18:K216,"Yes"),"")</f>
        <v/>
      </c>
    </row>
    <row r="217" spans="1:26" ht="34.15" customHeight="1" x14ac:dyDescent="0.2">
      <c r="A217" s="9"/>
      <c r="B217" s="69"/>
      <c r="C217" s="30"/>
      <c r="D217" s="70"/>
      <c r="E217" s="69"/>
      <c r="F217" s="70"/>
      <c r="G217" s="30"/>
      <c r="H217" s="63" t="str">
        <f>IF(OR(C217="",D217=""),"",C217*D217)</f>
        <v/>
      </c>
      <c r="I217" s="63" t="str">
        <f>IF(OR(E217="",F217="",M217&lt;=0),"",M217*F217)</f>
        <v/>
      </c>
      <c r="J217" s="63" t="str">
        <f>IF(I217="","",I217-(M217*D217))</f>
        <v/>
      </c>
      <c r="K217" s="28" t="str">
        <f>IF(A217="","",IF(T217&gt;0,"Yes","No"))</f>
        <v/>
      </c>
      <c r="L217" s="28" t="str">
        <f>IF(A217="","",A217&amp;"-"&amp;TEXT(B217,"yyyymmdd")&amp;"-R"&amp;ROW())</f>
        <v/>
      </c>
      <c r="M217" s="28" t="str">
        <f>IF(OR(C217="",G217=""),"",C217-G217)</f>
        <v/>
      </c>
      <c r="N217" s="63" t="str">
        <f>IF(OR(M217&lt;=0,J217&gt;=0),"",ABS(J217)/M217)</f>
        <v/>
      </c>
      <c r="O217" s="63" t="str">
        <f>IF(OR(A217="",M217&lt;=0,J217&gt;=0),"",MIN(M217,SUMPRODUCT(($A$18:$A$379=A217)*(IFERROR($B$18:$B$379&gt;=E217-30,0))*(IFERROR($B$18:$B$379&lt;=E217+30,0))*($G$18:$G$379&gt;0)*($L$18:$L$379&lt;&gt;L217)*($G$18:$G$379))+SUMPRODUCT(($A$381:$A$498=A217)*(IFERROR($B$381:$B$498&gt;=E217-30,0))*(IFERROR($B$381:$B$498&lt;=E217+30,0))*($G$381:$G$498&gt;0)*($L$381:$L$498&lt;&gt;L217)*($G$381:$G$498))))</f>
        <v/>
      </c>
      <c r="P217" s="28" t="str">
        <f>IF(OR(A217="",M217&lt;=0,J217&gt;=0),"",SUMPRODUCT(($A$18:$A$379=A217)*(IFERROR($B$18:$B$379&gt;=E217-30,0))*(IFERROR($B$18:$B$379&lt;=E217+30,0))*($G$18:$G$379&gt;0)*($L$18:$L$379&lt;&gt;L217))+SUMPRODUCT(($A$381:$A$498=A217)*(IFERROR($B$381:$B$498&gt;=E217-30,0))*(IFERROR($B$381:$B$498&lt;=E217+30,0))*($G$381:$G$498&gt;0)*($L$381:$L$498&lt;&gt;L217)))</f>
        <v/>
      </c>
      <c r="Q217" s="31" t="str">
        <f>IF(P217=1,IFERROR(INDEX($L$18:$L$379,MATCH(1,INDEX(($A$18:$A$379=A217)*(IFERROR($B$18:$B$379&gt;=E217-30,0))*(IFERROR($B$18:$B$379&lt;=E217+30,0))*($G$18:$G$379&gt;0)*($L$18:$L$379&lt;&gt;L217),0),0)),IFERROR(INDEX($L$381:$L$498,MATCH(1,INDEX(($A$381:$A$498=A217)*(IFERROR($B$381:$B$498&gt;=E217-30,0))*(IFERROR($B$381:$B$498&lt;=E217+30,0))*($G$381:$G$498&gt;0)*($L$381:$L$498&lt;&gt;L217),0),0)),"")),"")</f>
        <v/>
      </c>
      <c r="R217" s="32"/>
      <c r="S217" s="31" t="str">
        <f>IF(R217&lt;&gt;"",R217,Q217)</f>
        <v/>
      </c>
      <c r="T217" s="63">
        <f>IF(OR(N217="",O217=0),0,N217*O217)</f>
        <v>0</v>
      </c>
      <c r="U217" s="63">
        <f>IF(COUNTIF($S$18:$S$498,L217)=0,"",SUMIF($S$18:$S$498,L217,$T$18:$T$498))</f>
        <v>0</v>
      </c>
      <c r="V217" s="63" t="str">
        <f>IF(H217="","",IFERROR(H217+U217,H217))</f>
        <v/>
      </c>
      <c r="W217" s="63" t="str">
        <f>IF(OR(V217="",C217=""),"",V217/C217)</f>
        <v/>
      </c>
      <c r="X217" s="11" t="str">
        <f>IF(A217="","",IF(AND(U217&lt;&gt;"",U217&lt;&gt;0,M217=0),"Replacement lot receiving wash basis",IF(J217="","",IF(J217&gt;=0,"",IF(O217=0,"No replacement buy found",IF(P217&gt;1,"Manual selection needed","Auto matched"))))))</f>
        <v/>
      </c>
      <c r="Z217" t="str">
        <f>IF(K217="Yes",COUNTIF($K$18:K217,"Yes"),"")</f>
        <v/>
      </c>
    </row>
    <row r="218" spans="1:26" ht="34.15" customHeight="1" x14ac:dyDescent="0.2">
      <c r="A218" s="9"/>
      <c r="B218" s="69"/>
      <c r="C218" s="30"/>
      <c r="D218" s="70"/>
      <c r="E218" s="69"/>
      <c r="F218" s="70"/>
      <c r="G218" s="30"/>
      <c r="H218" s="63" t="str">
        <f>IF(OR(C218="",D218=""),"",C218*D218)</f>
        <v/>
      </c>
      <c r="I218" s="63" t="str">
        <f>IF(OR(E218="",F218="",M218&lt;=0),"",M218*F218)</f>
        <v/>
      </c>
      <c r="J218" s="63" t="str">
        <f>IF(I218="","",I218-(M218*D218))</f>
        <v/>
      </c>
      <c r="K218" s="28" t="str">
        <f>IF(A218="","",IF(T218&gt;0,"Yes","No"))</f>
        <v/>
      </c>
      <c r="L218" s="28" t="str">
        <f>IF(A218="","",A218&amp;"-"&amp;TEXT(B218,"yyyymmdd")&amp;"-R"&amp;ROW())</f>
        <v/>
      </c>
      <c r="M218" s="28" t="str">
        <f>IF(OR(C218="",G218=""),"",C218-G218)</f>
        <v/>
      </c>
      <c r="N218" s="63" t="str">
        <f>IF(OR(M218&lt;=0,J218&gt;=0),"",ABS(J218)/M218)</f>
        <v/>
      </c>
      <c r="O218" s="63" t="str">
        <f>IF(OR(A218="",M218&lt;=0,J218&gt;=0),"",MIN(M218,SUMPRODUCT(($A$18:$A$379=A218)*(IFERROR($B$18:$B$379&gt;=E218-30,0))*(IFERROR($B$18:$B$379&lt;=E218+30,0))*($G$18:$G$379&gt;0)*($L$18:$L$379&lt;&gt;L218)*($G$18:$G$379))+SUMPRODUCT(($A$381:$A$498=A218)*(IFERROR($B$381:$B$498&gt;=E218-30,0))*(IFERROR($B$381:$B$498&lt;=E218+30,0))*($G$381:$G$498&gt;0)*($L$381:$L$498&lt;&gt;L218)*($G$381:$G$498))))</f>
        <v/>
      </c>
      <c r="P218" s="28" t="str">
        <f>IF(OR(A218="",M218&lt;=0,J218&gt;=0),"",SUMPRODUCT(($A$18:$A$379=A218)*(IFERROR($B$18:$B$379&gt;=E218-30,0))*(IFERROR($B$18:$B$379&lt;=E218+30,0))*($G$18:$G$379&gt;0)*($L$18:$L$379&lt;&gt;L218))+SUMPRODUCT(($A$381:$A$498=A218)*(IFERROR($B$381:$B$498&gt;=E218-30,0))*(IFERROR($B$381:$B$498&lt;=E218+30,0))*($G$381:$G$498&gt;0)*($L$381:$L$498&lt;&gt;L218)))</f>
        <v/>
      </c>
      <c r="Q218" s="31" t="str">
        <f>IF(P218=1,IFERROR(INDEX($L$18:$L$379,MATCH(1,INDEX(($A$18:$A$379=A218)*(IFERROR($B$18:$B$379&gt;=E218-30,0))*(IFERROR($B$18:$B$379&lt;=E218+30,0))*($G$18:$G$379&gt;0)*($L$18:$L$379&lt;&gt;L218),0),0)),IFERROR(INDEX($L$381:$L$498,MATCH(1,INDEX(($A$381:$A$498=A218)*(IFERROR($B$381:$B$498&gt;=E218-30,0))*(IFERROR($B$381:$B$498&lt;=E218+30,0))*($G$381:$G$498&gt;0)*($L$381:$L$498&lt;&gt;L218),0),0)),"")),"")</f>
        <v/>
      </c>
      <c r="R218" s="32"/>
      <c r="S218" s="31" t="str">
        <f>IF(R218&lt;&gt;"",R218,Q218)</f>
        <v/>
      </c>
      <c r="T218" s="63">
        <f>IF(OR(N218="",O218=0),0,N218*O218)</f>
        <v>0</v>
      </c>
      <c r="U218" s="63">
        <f>IF(COUNTIF($S$18:$S$498,L218)=0,"",SUMIF($S$18:$S$498,L218,$T$18:$T$498))</f>
        <v>0</v>
      </c>
      <c r="V218" s="63" t="str">
        <f>IF(H218="","",IFERROR(H218+U218,H218))</f>
        <v/>
      </c>
      <c r="W218" s="63" t="str">
        <f>IF(OR(V218="",C218=""),"",V218/C218)</f>
        <v/>
      </c>
      <c r="X218" s="11" t="str">
        <f>IF(A218="","",IF(AND(U218&lt;&gt;"",U218&lt;&gt;0,M218=0),"Replacement lot receiving wash basis",IF(J218="","",IF(J218&gt;=0,"",IF(O218=0,"No replacement buy found",IF(P218&gt;1,"Manual selection needed","Auto matched"))))))</f>
        <v/>
      </c>
      <c r="Z218" t="str">
        <f>IF(K218="Yes",COUNTIF($K$18:K218,"Yes"),"")</f>
        <v/>
      </c>
    </row>
    <row r="219" spans="1:26" ht="34.15" customHeight="1" x14ac:dyDescent="0.2">
      <c r="A219" s="9"/>
      <c r="B219" s="69"/>
      <c r="C219" s="30"/>
      <c r="D219" s="70"/>
      <c r="E219" s="69"/>
      <c r="F219" s="70"/>
      <c r="G219" s="30"/>
      <c r="H219" s="63" t="str">
        <f>IF(OR(C219="",D219=""),"",C219*D219)</f>
        <v/>
      </c>
      <c r="I219" s="63" t="str">
        <f>IF(OR(E219="",F219="",M219&lt;=0),"",M219*F219)</f>
        <v/>
      </c>
      <c r="J219" s="63" t="str">
        <f>IF(I219="","",I219-(M219*D219))</f>
        <v/>
      </c>
      <c r="K219" s="28" t="str">
        <f>IF(A219="","",IF(T219&gt;0,"Yes","No"))</f>
        <v/>
      </c>
      <c r="L219" s="28" t="str">
        <f>IF(A219="","",A219&amp;"-"&amp;TEXT(B219,"yyyymmdd")&amp;"-R"&amp;ROW())</f>
        <v/>
      </c>
      <c r="M219" s="28" t="str">
        <f>IF(OR(C219="",G219=""),"",C219-G219)</f>
        <v/>
      </c>
      <c r="N219" s="63" t="str">
        <f>IF(OR(M219&lt;=0,J219&gt;=0),"",ABS(J219)/M219)</f>
        <v/>
      </c>
      <c r="O219" s="63" t="str">
        <f>IF(OR(A219="",M219&lt;=0,J219&gt;=0),"",MIN(M219,SUMPRODUCT(($A$18:$A$379=A219)*(IFERROR($B$18:$B$379&gt;=E219-30,0))*(IFERROR($B$18:$B$379&lt;=E219+30,0))*($G$18:$G$379&gt;0)*($L$18:$L$379&lt;&gt;L219)*($G$18:$G$379))+SUMPRODUCT(($A$381:$A$498=A219)*(IFERROR($B$381:$B$498&gt;=E219-30,0))*(IFERROR($B$381:$B$498&lt;=E219+30,0))*($G$381:$G$498&gt;0)*($L$381:$L$498&lt;&gt;L219)*($G$381:$G$498))))</f>
        <v/>
      </c>
      <c r="P219" s="28" t="str">
        <f>IF(OR(A219="",M219&lt;=0,J219&gt;=0),"",SUMPRODUCT(($A$18:$A$379=A219)*(IFERROR($B$18:$B$379&gt;=E219-30,0))*(IFERROR($B$18:$B$379&lt;=E219+30,0))*($G$18:$G$379&gt;0)*($L$18:$L$379&lt;&gt;L219))+SUMPRODUCT(($A$381:$A$498=A219)*(IFERROR($B$381:$B$498&gt;=E219-30,0))*(IFERROR($B$381:$B$498&lt;=E219+30,0))*($G$381:$G$498&gt;0)*($L$381:$L$498&lt;&gt;L219)))</f>
        <v/>
      </c>
      <c r="Q219" s="31" t="str">
        <f>IF(P219=1,IFERROR(INDEX($L$18:$L$379,MATCH(1,INDEX(($A$18:$A$379=A219)*(IFERROR($B$18:$B$379&gt;=E219-30,0))*(IFERROR($B$18:$B$379&lt;=E219+30,0))*($G$18:$G$379&gt;0)*($L$18:$L$379&lt;&gt;L219),0),0)),IFERROR(INDEX($L$381:$L$498,MATCH(1,INDEX(($A$381:$A$498=A219)*(IFERROR($B$381:$B$498&gt;=E219-30,0))*(IFERROR($B$381:$B$498&lt;=E219+30,0))*($G$381:$G$498&gt;0)*($L$381:$L$498&lt;&gt;L219),0),0)),"")),"")</f>
        <v/>
      </c>
      <c r="R219" s="32"/>
      <c r="S219" s="31" t="str">
        <f>IF(R219&lt;&gt;"",R219,Q219)</f>
        <v/>
      </c>
      <c r="T219" s="63">
        <f>IF(OR(N219="",O219=0),0,N219*O219)</f>
        <v>0</v>
      </c>
      <c r="U219" s="63">
        <f>IF(COUNTIF($S$18:$S$498,L219)=0,"",SUMIF($S$18:$S$498,L219,$T$18:$T$498))</f>
        <v>0</v>
      </c>
      <c r="V219" s="63" t="str">
        <f>IF(H219="","",IFERROR(H219+U219,H219))</f>
        <v/>
      </c>
      <c r="W219" s="63" t="str">
        <f>IF(OR(V219="",C219=""),"",V219/C219)</f>
        <v/>
      </c>
      <c r="X219" s="11" t="str">
        <f>IF(A219="","",IF(AND(U219&lt;&gt;"",U219&lt;&gt;0,M219=0),"Replacement lot receiving wash basis",IF(J219="","",IF(J219&gt;=0,"",IF(O219=0,"No replacement buy found",IF(P219&gt;1,"Manual selection needed","Auto matched"))))))</f>
        <v/>
      </c>
      <c r="Z219" t="str">
        <f>IF(K219="Yes",COUNTIF($K$18:K219,"Yes"),"")</f>
        <v/>
      </c>
    </row>
    <row r="220" spans="1:26" ht="34.15" customHeight="1" x14ac:dyDescent="0.2">
      <c r="A220" s="9"/>
      <c r="B220" s="69"/>
      <c r="C220" s="30"/>
      <c r="D220" s="70"/>
      <c r="E220" s="69"/>
      <c r="F220" s="70"/>
      <c r="G220" s="30"/>
      <c r="H220" s="63" t="str">
        <f>IF(OR(C220="",D220=""),"",C220*D220)</f>
        <v/>
      </c>
      <c r="I220" s="63" t="str">
        <f>IF(OR(E220="",F220="",M220&lt;=0),"",M220*F220)</f>
        <v/>
      </c>
      <c r="J220" s="63" t="str">
        <f>IF(I220="","",I220-(M220*D220))</f>
        <v/>
      </c>
      <c r="K220" s="28" t="str">
        <f>IF(A220="","",IF(T220&gt;0,"Yes","No"))</f>
        <v/>
      </c>
      <c r="L220" s="28" t="str">
        <f>IF(A220="","",A220&amp;"-"&amp;TEXT(B220,"yyyymmdd")&amp;"-R"&amp;ROW())</f>
        <v/>
      </c>
      <c r="M220" s="28" t="str">
        <f>IF(OR(C220="",G220=""),"",C220-G220)</f>
        <v/>
      </c>
      <c r="N220" s="63" t="str">
        <f>IF(OR(M220&lt;=0,J220&gt;=0),"",ABS(J220)/M220)</f>
        <v/>
      </c>
      <c r="O220" s="63" t="str">
        <f>IF(OR(A220="",M220&lt;=0,J220&gt;=0),"",MIN(M220,SUMPRODUCT(($A$18:$A$379=A220)*(IFERROR($B$18:$B$379&gt;=E220-30,0))*(IFERROR($B$18:$B$379&lt;=E220+30,0))*($G$18:$G$379&gt;0)*($L$18:$L$379&lt;&gt;L220)*($G$18:$G$379))+SUMPRODUCT(($A$381:$A$498=A220)*(IFERROR($B$381:$B$498&gt;=E220-30,0))*(IFERROR($B$381:$B$498&lt;=E220+30,0))*($G$381:$G$498&gt;0)*($L$381:$L$498&lt;&gt;L220)*($G$381:$G$498))))</f>
        <v/>
      </c>
      <c r="P220" s="28" t="str">
        <f>IF(OR(A220="",M220&lt;=0,J220&gt;=0),"",SUMPRODUCT(($A$18:$A$379=A220)*(IFERROR($B$18:$B$379&gt;=E220-30,0))*(IFERROR($B$18:$B$379&lt;=E220+30,0))*($G$18:$G$379&gt;0)*($L$18:$L$379&lt;&gt;L220))+SUMPRODUCT(($A$381:$A$498=A220)*(IFERROR($B$381:$B$498&gt;=E220-30,0))*(IFERROR($B$381:$B$498&lt;=E220+30,0))*($G$381:$G$498&gt;0)*($L$381:$L$498&lt;&gt;L220)))</f>
        <v/>
      </c>
      <c r="Q220" s="31" t="str">
        <f>IF(P220=1,IFERROR(INDEX($L$18:$L$379,MATCH(1,INDEX(($A$18:$A$379=A220)*(IFERROR($B$18:$B$379&gt;=E220-30,0))*(IFERROR($B$18:$B$379&lt;=E220+30,0))*($G$18:$G$379&gt;0)*($L$18:$L$379&lt;&gt;L220),0),0)),IFERROR(INDEX($L$381:$L$498,MATCH(1,INDEX(($A$381:$A$498=A220)*(IFERROR($B$381:$B$498&gt;=E220-30,0))*(IFERROR($B$381:$B$498&lt;=E220+30,0))*($G$381:$G$498&gt;0)*($L$381:$L$498&lt;&gt;L220),0),0)),"")),"")</f>
        <v/>
      </c>
      <c r="R220" s="32"/>
      <c r="S220" s="31" t="str">
        <f>IF(R220&lt;&gt;"",R220,Q220)</f>
        <v/>
      </c>
      <c r="T220" s="63">
        <f>IF(OR(N220="",O220=0),0,N220*O220)</f>
        <v>0</v>
      </c>
      <c r="U220" s="63">
        <f>IF(COUNTIF($S$18:$S$498,L220)=0,"",SUMIF($S$18:$S$498,L220,$T$18:$T$498))</f>
        <v>0</v>
      </c>
      <c r="V220" s="63" t="str">
        <f>IF(H220="","",IFERROR(H220+U220,H220))</f>
        <v/>
      </c>
      <c r="W220" s="63" t="str">
        <f>IF(OR(V220="",C220=""),"",V220/C220)</f>
        <v/>
      </c>
      <c r="X220" s="11" t="str">
        <f>IF(A220="","",IF(AND(U220&lt;&gt;"",U220&lt;&gt;0,M220=0),"Replacement lot receiving wash basis",IF(J220="","",IF(J220&gt;=0,"",IF(O220=0,"No replacement buy found",IF(P220&gt;1,"Manual selection needed","Auto matched"))))))</f>
        <v/>
      </c>
      <c r="Z220" t="str">
        <f>IF(K220="Yes",COUNTIF($K$18:K220,"Yes"),"")</f>
        <v/>
      </c>
    </row>
    <row r="221" spans="1:26" ht="34.15" customHeight="1" x14ac:dyDescent="0.2">
      <c r="A221" s="9"/>
      <c r="B221" s="69"/>
      <c r="C221" s="30"/>
      <c r="D221" s="70"/>
      <c r="E221" s="69"/>
      <c r="F221" s="70"/>
      <c r="G221" s="30"/>
      <c r="H221" s="63" t="str">
        <f>IF(OR(C221="",D221=""),"",C221*D221)</f>
        <v/>
      </c>
      <c r="I221" s="63" t="str">
        <f>IF(OR(E221="",F221="",M221&lt;=0),"",M221*F221)</f>
        <v/>
      </c>
      <c r="J221" s="63" t="str">
        <f>IF(I221="","",I221-(M221*D221))</f>
        <v/>
      </c>
      <c r="K221" s="28" t="str">
        <f>IF(A221="","",IF(T221&gt;0,"Yes","No"))</f>
        <v/>
      </c>
      <c r="L221" s="28" t="str">
        <f>IF(A221="","",A221&amp;"-"&amp;TEXT(B221,"yyyymmdd")&amp;"-R"&amp;ROW())</f>
        <v/>
      </c>
      <c r="M221" s="28" t="str">
        <f>IF(OR(C221="",G221=""),"",C221-G221)</f>
        <v/>
      </c>
      <c r="N221" s="63" t="str">
        <f>IF(OR(M221&lt;=0,J221&gt;=0),"",ABS(J221)/M221)</f>
        <v/>
      </c>
      <c r="O221" s="63" t="str">
        <f>IF(OR(A221="",M221&lt;=0,J221&gt;=0),"",MIN(M221,SUMPRODUCT(($A$18:$A$379=A221)*(IFERROR($B$18:$B$379&gt;=E221-30,0))*(IFERROR($B$18:$B$379&lt;=E221+30,0))*($G$18:$G$379&gt;0)*($L$18:$L$379&lt;&gt;L221)*($G$18:$G$379))+SUMPRODUCT(($A$381:$A$498=A221)*(IFERROR($B$381:$B$498&gt;=E221-30,0))*(IFERROR($B$381:$B$498&lt;=E221+30,0))*($G$381:$G$498&gt;0)*($L$381:$L$498&lt;&gt;L221)*($G$381:$G$498))))</f>
        <v/>
      </c>
      <c r="P221" s="28" t="str">
        <f>IF(OR(A221="",M221&lt;=0,J221&gt;=0),"",SUMPRODUCT(($A$18:$A$379=A221)*(IFERROR($B$18:$B$379&gt;=E221-30,0))*(IFERROR($B$18:$B$379&lt;=E221+30,0))*($G$18:$G$379&gt;0)*($L$18:$L$379&lt;&gt;L221))+SUMPRODUCT(($A$381:$A$498=A221)*(IFERROR($B$381:$B$498&gt;=E221-30,0))*(IFERROR($B$381:$B$498&lt;=E221+30,0))*($G$381:$G$498&gt;0)*($L$381:$L$498&lt;&gt;L221)))</f>
        <v/>
      </c>
      <c r="Q221" s="31" t="str">
        <f>IF(P221=1,IFERROR(INDEX($L$18:$L$379,MATCH(1,INDEX(($A$18:$A$379=A221)*(IFERROR($B$18:$B$379&gt;=E221-30,0))*(IFERROR($B$18:$B$379&lt;=E221+30,0))*($G$18:$G$379&gt;0)*($L$18:$L$379&lt;&gt;L221),0),0)),IFERROR(INDEX($L$381:$L$498,MATCH(1,INDEX(($A$381:$A$498=A221)*(IFERROR($B$381:$B$498&gt;=E221-30,0))*(IFERROR($B$381:$B$498&lt;=E221+30,0))*($G$381:$G$498&gt;0)*($L$381:$L$498&lt;&gt;L221),0),0)),"")),"")</f>
        <v/>
      </c>
      <c r="R221" s="32"/>
      <c r="S221" s="31" t="str">
        <f>IF(R221&lt;&gt;"",R221,Q221)</f>
        <v/>
      </c>
      <c r="T221" s="63">
        <f>IF(OR(N221="",O221=0),0,N221*O221)</f>
        <v>0</v>
      </c>
      <c r="U221" s="63">
        <f>IF(COUNTIF($S$18:$S$498,L221)=0,"",SUMIF($S$18:$S$498,L221,$T$18:$T$498))</f>
        <v>0</v>
      </c>
      <c r="V221" s="63" t="str">
        <f>IF(H221="","",IFERROR(H221+U221,H221))</f>
        <v/>
      </c>
      <c r="W221" s="63" t="str">
        <f>IF(OR(V221="",C221=""),"",V221/C221)</f>
        <v/>
      </c>
      <c r="X221" s="11" t="str">
        <f>IF(A221="","",IF(AND(U221&lt;&gt;"",U221&lt;&gt;0,M221=0),"Replacement lot receiving wash basis",IF(J221="","",IF(J221&gt;=0,"",IF(O221=0,"No replacement buy found",IF(P221&gt;1,"Manual selection needed","Auto matched"))))))</f>
        <v/>
      </c>
      <c r="Z221" t="str">
        <f>IF(K221="Yes",COUNTIF($K$18:K221,"Yes"),"")</f>
        <v/>
      </c>
    </row>
    <row r="222" spans="1:26" ht="34.15" customHeight="1" x14ac:dyDescent="0.2">
      <c r="A222" s="9"/>
      <c r="B222" s="69"/>
      <c r="C222" s="30"/>
      <c r="D222" s="70"/>
      <c r="E222" s="69"/>
      <c r="F222" s="70"/>
      <c r="G222" s="30"/>
      <c r="H222" s="63" t="str">
        <f>IF(OR(C222="",D222=""),"",C222*D222)</f>
        <v/>
      </c>
      <c r="I222" s="63" t="str">
        <f>IF(OR(E222="",F222="",M222&lt;=0),"",M222*F222)</f>
        <v/>
      </c>
      <c r="J222" s="63" t="str">
        <f>IF(I222="","",I222-(M222*D222))</f>
        <v/>
      </c>
      <c r="K222" s="28" t="str">
        <f>IF(A222="","",IF(T222&gt;0,"Yes","No"))</f>
        <v/>
      </c>
      <c r="L222" s="28" t="str">
        <f>IF(A222="","",A222&amp;"-"&amp;TEXT(B222,"yyyymmdd")&amp;"-R"&amp;ROW())</f>
        <v/>
      </c>
      <c r="M222" s="28" t="str">
        <f>IF(OR(C222="",G222=""),"",C222-G222)</f>
        <v/>
      </c>
      <c r="N222" s="63" t="str">
        <f>IF(OR(M222&lt;=0,J222&gt;=0),"",ABS(J222)/M222)</f>
        <v/>
      </c>
      <c r="O222" s="63" t="str">
        <f>IF(OR(A222="",M222&lt;=0,J222&gt;=0),"",MIN(M222,SUMPRODUCT(($A$18:$A$379=A222)*(IFERROR($B$18:$B$379&gt;=E222-30,0))*(IFERROR($B$18:$B$379&lt;=E222+30,0))*($G$18:$G$379&gt;0)*($L$18:$L$379&lt;&gt;L222)*($G$18:$G$379))+SUMPRODUCT(($A$381:$A$498=A222)*(IFERROR($B$381:$B$498&gt;=E222-30,0))*(IFERROR($B$381:$B$498&lt;=E222+30,0))*($G$381:$G$498&gt;0)*($L$381:$L$498&lt;&gt;L222)*($G$381:$G$498))))</f>
        <v/>
      </c>
      <c r="P222" s="28" t="str">
        <f>IF(OR(A222="",M222&lt;=0,J222&gt;=0),"",SUMPRODUCT(($A$18:$A$379=A222)*(IFERROR($B$18:$B$379&gt;=E222-30,0))*(IFERROR($B$18:$B$379&lt;=E222+30,0))*($G$18:$G$379&gt;0)*($L$18:$L$379&lt;&gt;L222))+SUMPRODUCT(($A$381:$A$498=A222)*(IFERROR($B$381:$B$498&gt;=E222-30,0))*(IFERROR($B$381:$B$498&lt;=E222+30,0))*($G$381:$G$498&gt;0)*($L$381:$L$498&lt;&gt;L222)))</f>
        <v/>
      </c>
      <c r="Q222" s="31" t="str">
        <f>IF(P222=1,IFERROR(INDEX($L$18:$L$379,MATCH(1,INDEX(($A$18:$A$379=A222)*(IFERROR($B$18:$B$379&gt;=E222-30,0))*(IFERROR($B$18:$B$379&lt;=E222+30,0))*($G$18:$G$379&gt;0)*($L$18:$L$379&lt;&gt;L222),0),0)),IFERROR(INDEX($L$381:$L$498,MATCH(1,INDEX(($A$381:$A$498=A222)*(IFERROR($B$381:$B$498&gt;=E222-30,0))*(IFERROR($B$381:$B$498&lt;=E222+30,0))*($G$381:$G$498&gt;0)*($L$381:$L$498&lt;&gt;L222),0),0)),"")),"")</f>
        <v/>
      </c>
      <c r="R222" s="32"/>
      <c r="S222" s="31" t="str">
        <f>IF(R222&lt;&gt;"",R222,Q222)</f>
        <v/>
      </c>
      <c r="T222" s="63">
        <f>IF(OR(N222="",O222=0),0,N222*O222)</f>
        <v>0</v>
      </c>
      <c r="U222" s="63">
        <f>IF(COUNTIF($S$18:$S$498,L222)=0,"",SUMIF($S$18:$S$498,L222,$T$18:$T$498))</f>
        <v>0</v>
      </c>
      <c r="V222" s="63" t="str">
        <f>IF(H222="","",IFERROR(H222+U222,H222))</f>
        <v/>
      </c>
      <c r="W222" s="63" t="str">
        <f>IF(OR(V222="",C222=""),"",V222/C222)</f>
        <v/>
      </c>
      <c r="X222" s="11" t="str">
        <f>IF(A222="","",IF(AND(U222&lt;&gt;"",U222&lt;&gt;0,M222=0),"Replacement lot receiving wash basis",IF(J222="","",IF(J222&gt;=0,"",IF(O222=0,"No replacement buy found",IF(P222&gt;1,"Manual selection needed","Auto matched"))))))</f>
        <v/>
      </c>
      <c r="Z222" t="str">
        <f>IF(K222="Yes",COUNTIF($K$18:K222,"Yes"),"")</f>
        <v/>
      </c>
    </row>
    <row r="223" spans="1:26" ht="34.15" customHeight="1" x14ac:dyDescent="0.2">
      <c r="A223" s="9"/>
      <c r="B223" s="69"/>
      <c r="C223" s="30"/>
      <c r="D223" s="70"/>
      <c r="E223" s="69"/>
      <c r="F223" s="70"/>
      <c r="G223" s="30"/>
      <c r="H223" s="63" t="str">
        <f>IF(OR(C223="",D223=""),"",C223*D223)</f>
        <v/>
      </c>
      <c r="I223" s="63" t="str">
        <f>IF(OR(E223="",F223="",M223&lt;=0),"",M223*F223)</f>
        <v/>
      </c>
      <c r="J223" s="63" t="str">
        <f>IF(I223="","",I223-(M223*D223))</f>
        <v/>
      </c>
      <c r="K223" s="28" t="str">
        <f>IF(A223="","",IF(T223&gt;0,"Yes","No"))</f>
        <v/>
      </c>
      <c r="L223" s="28" t="str">
        <f>IF(A223="","",A223&amp;"-"&amp;TEXT(B223,"yyyymmdd")&amp;"-R"&amp;ROW())</f>
        <v/>
      </c>
      <c r="M223" s="28" t="str">
        <f>IF(OR(C223="",G223=""),"",C223-G223)</f>
        <v/>
      </c>
      <c r="N223" s="63" t="str">
        <f>IF(OR(M223&lt;=0,J223&gt;=0),"",ABS(J223)/M223)</f>
        <v/>
      </c>
      <c r="O223" s="63" t="str">
        <f>IF(OR(A223="",M223&lt;=0,J223&gt;=0),"",MIN(M223,SUMPRODUCT(($A$18:$A$379=A223)*(IFERROR($B$18:$B$379&gt;=E223-30,0))*(IFERROR($B$18:$B$379&lt;=E223+30,0))*($G$18:$G$379&gt;0)*($L$18:$L$379&lt;&gt;L223)*($G$18:$G$379))+SUMPRODUCT(($A$381:$A$498=A223)*(IFERROR($B$381:$B$498&gt;=E223-30,0))*(IFERROR($B$381:$B$498&lt;=E223+30,0))*($G$381:$G$498&gt;0)*($L$381:$L$498&lt;&gt;L223)*($G$381:$G$498))))</f>
        <v/>
      </c>
      <c r="P223" s="28" t="str">
        <f>IF(OR(A223="",M223&lt;=0,J223&gt;=0),"",SUMPRODUCT(($A$18:$A$379=A223)*(IFERROR($B$18:$B$379&gt;=E223-30,0))*(IFERROR($B$18:$B$379&lt;=E223+30,0))*($G$18:$G$379&gt;0)*($L$18:$L$379&lt;&gt;L223))+SUMPRODUCT(($A$381:$A$498=A223)*(IFERROR($B$381:$B$498&gt;=E223-30,0))*(IFERROR($B$381:$B$498&lt;=E223+30,0))*($G$381:$G$498&gt;0)*($L$381:$L$498&lt;&gt;L223)))</f>
        <v/>
      </c>
      <c r="Q223" s="31" t="str">
        <f>IF(P223=1,IFERROR(INDEX($L$18:$L$379,MATCH(1,INDEX(($A$18:$A$379=A223)*(IFERROR($B$18:$B$379&gt;=E223-30,0))*(IFERROR($B$18:$B$379&lt;=E223+30,0))*($G$18:$G$379&gt;0)*($L$18:$L$379&lt;&gt;L223),0),0)),IFERROR(INDEX($L$381:$L$498,MATCH(1,INDEX(($A$381:$A$498=A223)*(IFERROR($B$381:$B$498&gt;=E223-30,0))*(IFERROR($B$381:$B$498&lt;=E223+30,0))*($G$381:$G$498&gt;0)*($L$381:$L$498&lt;&gt;L223),0),0)),"")),"")</f>
        <v/>
      </c>
      <c r="R223" s="32"/>
      <c r="S223" s="31" t="str">
        <f>IF(R223&lt;&gt;"",R223,Q223)</f>
        <v/>
      </c>
      <c r="T223" s="63">
        <f>IF(OR(N223="",O223=0),0,N223*O223)</f>
        <v>0</v>
      </c>
      <c r="U223" s="63">
        <f>IF(COUNTIF($S$18:$S$498,L223)=0,"",SUMIF($S$18:$S$498,L223,$T$18:$T$498))</f>
        <v>0</v>
      </c>
      <c r="V223" s="63" t="str">
        <f>IF(H223="","",IFERROR(H223+U223,H223))</f>
        <v/>
      </c>
      <c r="W223" s="63" t="str">
        <f>IF(OR(V223="",C223=""),"",V223/C223)</f>
        <v/>
      </c>
      <c r="X223" s="11" t="str">
        <f>IF(A223="","",IF(AND(U223&lt;&gt;"",U223&lt;&gt;0,M223=0),"Replacement lot receiving wash basis",IF(J223="","",IF(J223&gt;=0,"",IF(O223=0,"No replacement buy found",IF(P223&gt;1,"Manual selection needed","Auto matched"))))))</f>
        <v/>
      </c>
      <c r="Z223" t="str">
        <f>IF(K223="Yes",COUNTIF($K$18:K223,"Yes"),"")</f>
        <v/>
      </c>
    </row>
    <row r="224" spans="1:26" ht="34.15" customHeight="1" x14ac:dyDescent="0.2">
      <c r="A224" s="9"/>
      <c r="B224" s="69"/>
      <c r="C224" s="30"/>
      <c r="D224" s="70"/>
      <c r="E224" s="69"/>
      <c r="F224" s="70"/>
      <c r="G224" s="30"/>
      <c r="H224" s="63" t="str">
        <f>IF(OR(C224="",D224=""),"",C224*D224)</f>
        <v/>
      </c>
      <c r="I224" s="63" t="str">
        <f>IF(OR(E224="",F224="",M224&lt;=0),"",M224*F224)</f>
        <v/>
      </c>
      <c r="J224" s="63" t="str">
        <f>IF(I224="","",I224-(M224*D224))</f>
        <v/>
      </c>
      <c r="K224" s="28" t="str">
        <f>IF(A224="","",IF(T224&gt;0,"Yes","No"))</f>
        <v/>
      </c>
      <c r="L224" s="28" t="str">
        <f>IF(A224="","",A224&amp;"-"&amp;TEXT(B224,"yyyymmdd")&amp;"-R"&amp;ROW())</f>
        <v/>
      </c>
      <c r="M224" s="28" t="str">
        <f>IF(OR(C224="",G224=""),"",C224-G224)</f>
        <v/>
      </c>
      <c r="N224" s="63" t="str">
        <f>IF(OR(M224&lt;=0,J224&gt;=0),"",ABS(J224)/M224)</f>
        <v/>
      </c>
      <c r="O224" s="63" t="str">
        <f>IF(OR(A224="",M224&lt;=0,J224&gt;=0),"",MIN(M224,SUMPRODUCT(($A$18:$A$379=A224)*(IFERROR($B$18:$B$379&gt;=E224-30,0))*(IFERROR($B$18:$B$379&lt;=E224+30,0))*($G$18:$G$379&gt;0)*($L$18:$L$379&lt;&gt;L224)*($G$18:$G$379))+SUMPRODUCT(($A$381:$A$498=A224)*(IFERROR($B$381:$B$498&gt;=E224-30,0))*(IFERROR($B$381:$B$498&lt;=E224+30,0))*($G$381:$G$498&gt;0)*($L$381:$L$498&lt;&gt;L224)*($G$381:$G$498))))</f>
        <v/>
      </c>
      <c r="P224" s="28" t="str">
        <f>IF(OR(A224="",M224&lt;=0,J224&gt;=0),"",SUMPRODUCT(($A$18:$A$379=A224)*(IFERROR($B$18:$B$379&gt;=E224-30,0))*(IFERROR($B$18:$B$379&lt;=E224+30,0))*($G$18:$G$379&gt;0)*($L$18:$L$379&lt;&gt;L224))+SUMPRODUCT(($A$381:$A$498=A224)*(IFERROR($B$381:$B$498&gt;=E224-30,0))*(IFERROR($B$381:$B$498&lt;=E224+30,0))*($G$381:$G$498&gt;0)*($L$381:$L$498&lt;&gt;L224)))</f>
        <v/>
      </c>
      <c r="Q224" s="31" t="str">
        <f>IF(P224=1,IFERROR(INDEX($L$18:$L$379,MATCH(1,INDEX(($A$18:$A$379=A224)*(IFERROR($B$18:$B$379&gt;=E224-30,0))*(IFERROR($B$18:$B$379&lt;=E224+30,0))*($G$18:$G$379&gt;0)*($L$18:$L$379&lt;&gt;L224),0),0)),IFERROR(INDEX($L$381:$L$498,MATCH(1,INDEX(($A$381:$A$498=A224)*(IFERROR($B$381:$B$498&gt;=E224-30,0))*(IFERROR($B$381:$B$498&lt;=E224+30,0))*($G$381:$G$498&gt;0)*($L$381:$L$498&lt;&gt;L224),0),0)),"")),"")</f>
        <v/>
      </c>
      <c r="R224" s="32"/>
      <c r="S224" s="31" t="str">
        <f>IF(R224&lt;&gt;"",R224,Q224)</f>
        <v/>
      </c>
      <c r="T224" s="63">
        <f>IF(OR(N224="",O224=0),0,N224*O224)</f>
        <v>0</v>
      </c>
      <c r="U224" s="63">
        <f>IF(COUNTIF($S$18:$S$498,L224)=0,"",SUMIF($S$18:$S$498,L224,$T$18:$T$498))</f>
        <v>0</v>
      </c>
      <c r="V224" s="63" t="str">
        <f>IF(H224="","",IFERROR(H224+U224,H224))</f>
        <v/>
      </c>
      <c r="W224" s="63" t="str">
        <f>IF(OR(V224="",C224=""),"",V224/C224)</f>
        <v/>
      </c>
      <c r="X224" s="11" t="str">
        <f>IF(A224="","",IF(AND(U224&lt;&gt;"",U224&lt;&gt;0,M224=0),"Replacement lot receiving wash basis",IF(J224="","",IF(J224&gt;=0,"",IF(O224=0,"No replacement buy found",IF(P224&gt;1,"Manual selection needed","Auto matched"))))))</f>
        <v/>
      </c>
      <c r="Z224" t="str">
        <f>IF(K224="Yes",COUNTIF($K$18:K224,"Yes"),"")</f>
        <v/>
      </c>
    </row>
    <row r="225" spans="1:26" ht="34.15" customHeight="1" x14ac:dyDescent="0.2">
      <c r="A225" s="9"/>
      <c r="B225" s="69"/>
      <c r="C225" s="30"/>
      <c r="D225" s="70"/>
      <c r="E225" s="69"/>
      <c r="F225" s="70"/>
      <c r="G225" s="30"/>
      <c r="H225" s="63" t="str">
        <f>IF(OR(C225="",D225=""),"",C225*D225)</f>
        <v/>
      </c>
      <c r="I225" s="63" t="str">
        <f>IF(OR(E225="",F225="",M225&lt;=0),"",M225*F225)</f>
        <v/>
      </c>
      <c r="J225" s="63" t="str">
        <f>IF(I225="","",I225-(M225*D225))</f>
        <v/>
      </c>
      <c r="K225" s="28" t="str">
        <f>IF(A225="","",IF(T225&gt;0,"Yes","No"))</f>
        <v/>
      </c>
      <c r="L225" s="28" t="str">
        <f>IF(A225="","",A225&amp;"-"&amp;TEXT(B225,"yyyymmdd")&amp;"-R"&amp;ROW())</f>
        <v/>
      </c>
      <c r="M225" s="28" t="str">
        <f>IF(OR(C225="",G225=""),"",C225-G225)</f>
        <v/>
      </c>
      <c r="N225" s="63" t="str">
        <f>IF(OR(M225&lt;=0,J225&gt;=0),"",ABS(J225)/M225)</f>
        <v/>
      </c>
      <c r="O225" s="63" t="str">
        <f>IF(OR(A225="",M225&lt;=0,J225&gt;=0),"",MIN(M225,SUMPRODUCT(($A$18:$A$379=A225)*(IFERROR($B$18:$B$379&gt;=E225-30,0))*(IFERROR($B$18:$B$379&lt;=E225+30,0))*($G$18:$G$379&gt;0)*($L$18:$L$379&lt;&gt;L225)*($G$18:$G$379))+SUMPRODUCT(($A$381:$A$498=A225)*(IFERROR($B$381:$B$498&gt;=E225-30,0))*(IFERROR($B$381:$B$498&lt;=E225+30,0))*($G$381:$G$498&gt;0)*($L$381:$L$498&lt;&gt;L225)*($G$381:$G$498))))</f>
        <v/>
      </c>
      <c r="P225" s="28" t="str">
        <f>IF(OR(A225="",M225&lt;=0,J225&gt;=0),"",SUMPRODUCT(($A$18:$A$379=A225)*(IFERROR($B$18:$B$379&gt;=E225-30,0))*(IFERROR($B$18:$B$379&lt;=E225+30,0))*($G$18:$G$379&gt;0)*($L$18:$L$379&lt;&gt;L225))+SUMPRODUCT(($A$381:$A$498=A225)*(IFERROR($B$381:$B$498&gt;=E225-30,0))*(IFERROR($B$381:$B$498&lt;=E225+30,0))*($G$381:$G$498&gt;0)*($L$381:$L$498&lt;&gt;L225)))</f>
        <v/>
      </c>
      <c r="Q225" s="31" t="str">
        <f>IF(P225=1,IFERROR(INDEX($L$18:$L$379,MATCH(1,INDEX(($A$18:$A$379=A225)*(IFERROR($B$18:$B$379&gt;=E225-30,0))*(IFERROR($B$18:$B$379&lt;=E225+30,0))*($G$18:$G$379&gt;0)*($L$18:$L$379&lt;&gt;L225),0),0)),IFERROR(INDEX($L$381:$L$498,MATCH(1,INDEX(($A$381:$A$498=A225)*(IFERROR($B$381:$B$498&gt;=E225-30,0))*(IFERROR($B$381:$B$498&lt;=E225+30,0))*($G$381:$G$498&gt;0)*($L$381:$L$498&lt;&gt;L225),0),0)),"")),"")</f>
        <v/>
      </c>
      <c r="R225" s="32"/>
      <c r="S225" s="31" t="str">
        <f>IF(R225&lt;&gt;"",R225,Q225)</f>
        <v/>
      </c>
      <c r="T225" s="63">
        <f>IF(OR(N225="",O225=0),0,N225*O225)</f>
        <v>0</v>
      </c>
      <c r="U225" s="63">
        <f>IF(COUNTIF($S$18:$S$498,L225)=0,"",SUMIF($S$18:$S$498,L225,$T$18:$T$498))</f>
        <v>0</v>
      </c>
      <c r="V225" s="63" t="str">
        <f>IF(H225="","",IFERROR(H225+U225,H225))</f>
        <v/>
      </c>
      <c r="W225" s="63" t="str">
        <f>IF(OR(V225="",C225=""),"",V225/C225)</f>
        <v/>
      </c>
      <c r="X225" s="11" t="str">
        <f>IF(A225="","",IF(AND(U225&lt;&gt;"",U225&lt;&gt;0,M225=0),"Replacement lot receiving wash basis",IF(J225="","",IF(J225&gt;=0,"",IF(O225=0,"No replacement buy found",IF(P225&gt;1,"Manual selection needed","Auto matched"))))))</f>
        <v/>
      </c>
      <c r="Z225" t="str">
        <f>IF(K225="Yes",COUNTIF($K$18:K225,"Yes"),"")</f>
        <v/>
      </c>
    </row>
    <row r="226" spans="1:26" ht="34.15" customHeight="1" x14ac:dyDescent="0.2">
      <c r="A226" s="9"/>
      <c r="B226" s="69"/>
      <c r="C226" s="30"/>
      <c r="D226" s="70"/>
      <c r="E226" s="69"/>
      <c r="F226" s="70"/>
      <c r="G226" s="30"/>
      <c r="H226" s="63" t="str">
        <f>IF(OR(C226="",D226=""),"",C226*D226)</f>
        <v/>
      </c>
      <c r="I226" s="63" t="str">
        <f>IF(OR(E226="",F226="",M226&lt;=0),"",M226*F226)</f>
        <v/>
      </c>
      <c r="J226" s="63" t="str">
        <f>IF(I226="","",I226-(M226*D226))</f>
        <v/>
      </c>
      <c r="K226" s="28" t="str">
        <f>IF(A226="","",IF(T226&gt;0,"Yes","No"))</f>
        <v/>
      </c>
      <c r="L226" s="28" t="str">
        <f>IF(A226="","",A226&amp;"-"&amp;TEXT(B226,"yyyymmdd")&amp;"-R"&amp;ROW())</f>
        <v/>
      </c>
      <c r="M226" s="28" t="str">
        <f>IF(OR(C226="",G226=""),"",C226-G226)</f>
        <v/>
      </c>
      <c r="N226" s="63" t="str">
        <f>IF(OR(M226&lt;=0,J226&gt;=0),"",ABS(J226)/M226)</f>
        <v/>
      </c>
      <c r="O226" s="63" t="str">
        <f>IF(OR(A226="",M226&lt;=0,J226&gt;=0),"",MIN(M226,SUMPRODUCT(($A$18:$A$379=A226)*(IFERROR($B$18:$B$379&gt;=E226-30,0))*(IFERROR($B$18:$B$379&lt;=E226+30,0))*($G$18:$G$379&gt;0)*($L$18:$L$379&lt;&gt;L226)*($G$18:$G$379))+SUMPRODUCT(($A$381:$A$498=A226)*(IFERROR($B$381:$B$498&gt;=E226-30,0))*(IFERROR($B$381:$B$498&lt;=E226+30,0))*($G$381:$G$498&gt;0)*($L$381:$L$498&lt;&gt;L226)*($G$381:$G$498))))</f>
        <v/>
      </c>
      <c r="P226" s="28" t="str">
        <f>IF(OR(A226="",M226&lt;=0,J226&gt;=0),"",SUMPRODUCT(($A$18:$A$379=A226)*(IFERROR($B$18:$B$379&gt;=E226-30,0))*(IFERROR($B$18:$B$379&lt;=E226+30,0))*($G$18:$G$379&gt;0)*($L$18:$L$379&lt;&gt;L226))+SUMPRODUCT(($A$381:$A$498=A226)*(IFERROR($B$381:$B$498&gt;=E226-30,0))*(IFERROR($B$381:$B$498&lt;=E226+30,0))*($G$381:$G$498&gt;0)*($L$381:$L$498&lt;&gt;L226)))</f>
        <v/>
      </c>
      <c r="Q226" s="31" t="str">
        <f>IF(P226=1,IFERROR(INDEX($L$18:$L$379,MATCH(1,INDEX(($A$18:$A$379=A226)*(IFERROR($B$18:$B$379&gt;=E226-30,0))*(IFERROR($B$18:$B$379&lt;=E226+30,0))*($G$18:$G$379&gt;0)*($L$18:$L$379&lt;&gt;L226),0),0)),IFERROR(INDEX($L$381:$L$498,MATCH(1,INDEX(($A$381:$A$498=A226)*(IFERROR($B$381:$B$498&gt;=E226-30,0))*(IFERROR($B$381:$B$498&lt;=E226+30,0))*($G$381:$G$498&gt;0)*($L$381:$L$498&lt;&gt;L226),0),0)),"")),"")</f>
        <v/>
      </c>
      <c r="R226" s="32"/>
      <c r="S226" s="31" t="str">
        <f>IF(R226&lt;&gt;"",R226,Q226)</f>
        <v/>
      </c>
      <c r="T226" s="63">
        <f>IF(OR(N226="",O226=0),0,N226*O226)</f>
        <v>0</v>
      </c>
      <c r="U226" s="63">
        <f>IF(COUNTIF($S$18:$S$498,L226)=0,"",SUMIF($S$18:$S$498,L226,$T$18:$T$498))</f>
        <v>0</v>
      </c>
      <c r="V226" s="63" t="str">
        <f>IF(H226="","",IFERROR(H226+U226,H226))</f>
        <v/>
      </c>
      <c r="W226" s="63" t="str">
        <f>IF(OR(V226="",C226=""),"",V226/C226)</f>
        <v/>
      </c>
      <c r="X226" s="11" t="str">
        <f>IF(A226="","",IF(AND(U226&lt;&gt;"",U226&lt;&gt;0,M226=0),"Replacement lot receiving wash basis",IF(J226="","",IF(J226&gt;=0,"",IF(O226=0,"No replacement buy found",IF(P226&gt;1,"Manual selection needed","Auto matched"))))))</f>
        <v/>
      </c>
      <c r="Z226" t="str">
        <f>IF(K226="Yes",COUNTIF($K$18:K226,"Yes"),"")</f>
        <v/>
      </c>
    </row>
    <row r="227" spans="1:26" ht="34.15" customHeight="1" x14ac:dyDescent="0.2">
      <c r="A227" s="9"/>
      <c r="B227" s="69"/>
      <c r="C227" s="30"/>
      <c r="D227" s="70"/>
      <c r="E227" s="69"/>
      <c r="F227" s="70"/>
      <c r="G227" s="30"/>
      <c r="H227" s="63" t="str">
        <f>IF(OR(C227="",D227=""),"",C227*D227)</f>
        <v/>
      </c>
      <c r="I227" s="63" t="str">
        <f>IF(OR(E227="",F227="",M227&lt;=0),"",M227*F227)</f>
        <v/>
      </c>
      <c r="J227" s="63" t="str">
        <f>IF(I227="","",I227-(M227*D227))</f>
        <v/>
      </c>
      <c r="K227" s="28" t="str">
        <f>IF(A227="","",IF(T227&gt;0,"Yes","No"))</f>
        <v/>
      </c>
      <c r="L227" s="28" t="str">
        <f>IF(A227="","",A227&amp;"-"&amp;TEXT(B227,"yyyymmdd")&amp;"-R"&amp;ROW())</f>
        <v/>
      </c>
      <c r="M227" s="28" t="str">
        <f>IF(OR(C227="",G227=""),"",C227-G227)</f>
        <v/>
      </c>
      <c r="N227" s="63" t="str">
        <f>IF(OR(M227&lt;=0,J227&gt;=0),"",ABS(J227)/M227)</f>
        <v/>
      </c>
      <c r="O227" s="63" t="str">
        <f>IF(OR(A227="",M227&lt;=0,J227&gt;=0),"",MIN(M227,SUMPRODUCT(($A$18:$A$379=A227)*(IFERROR($B$18:$B$379&gt;=E227-30,0))*(IFERROR($B$18:$B$379&lt;=E227+30,0))*($G$18:$G$379&gt;0)*($L$18:$L$379&lt;&gt;L227)*($G$18:$G$379))+SUMPRODUCT(($A$381:$A$498=A227)*(IFERROR($B$381:$B$498&gt;=E227-30,0))*(IFERROR($B$381:$B$498&lt;=E227+30,0))*($G$381:$G$498&gt;0)*($L$381:$L$498&lt;&gt;L227)*($G$381:$G$498))))</f>
        <v/>
      </c>
      <c r="P227" s="28" t="str">
        <f>IF(OR(A227="",M227&lt;=0,J227&gt;=0),"",SUMPRODUCT(($A$18:$A$379=A227)*(IFERROR($B$18:$B$379&gt;=E227-30,0))*(IFERROR($B$18:$B$379&lt;=E227+30,0))*($G$18:$G$379&gt;0)*($L$18:$L$379&lt;&gt;L227))+SUMPRODUCT(($A$381:$A$498=A227)*(IFERROR($B$381:$B$498&gt;=E227-30,0))*(IFERROR($B$381:$B$498&lt;=E227+30,0))*($G$381:$G$498&gt;0)*($L$381:$L$498&lt;&gt;L227)))</f>
        <v/>
      </c>
      <c r="Q227" s="31" t="str">
        <f>IF(P227=1,IFERROR(INDEX($L$18:$L$379,MATCH(1,INDEX(($A$18:$A$379=A227)*(IFERROR($B$18:$B$379&gt;=E227-30,0))*(IFERROR($B$18:$B$379&lt;=E227+30,0))*($G$18:$G$379&gt;0)*($L$18:$L$379&lt;&gt;L227),0),0)),IFERROR(INDEX($L$381:$L$498,MATCH(1,INDEX(($A$381:$A$498=A227)*(IFERROR($B$381:$B$498&gt;=E227-30,0))*(IFERROR($B$381:$B$498&lt;=E227+30,0))*($G$381:$G$498&gt;0)*($L$381:$L$498&lt;&gt;L227),0),0)),"")),"")</f>
        <v/>
      </c>
      <c r="R227" s="32"/>
      <c r="S227" s="31" t="str">
        <f>IF(R227&lt;&gt;"",R227,Q227)</f>
        <v/>
      </c>
      <c r="T227" s="63">
        <f>IF(OR(N227="",O227=0),0,N227*O227)</f>
        <v>0</v>
      </c>
      <c r="U227" s="63">
        <f>IF(COUNTIF($S$18:$S$498,L227)=0,"",SUMIF($S$18:$S$498,L227,$T$18:$T$498))</f>
        <v>0</v>
      </c>
      <c r="V227" s="63" t="str">
        <f>IF(H227="","",IFERROR(H227+U227,H227))</f>
        <v/>
      </c>
      <c r="W227" s="63" t="str">
        <f>IF(OR(V227="",C227=""),"",V227/C227)</f>
        <v/>
      </c>
      <c r="X227" s="11" t="str">
        <f>IF(A227="","",IF(AND(U227&lt;&gt;"",U227&lt;&gt;0,M227=0),"Replacement lot receiving wash basis",IF(J227="","",IF(J227&gt;=0,"",IF(O227=0,"No replacement buy found",IF(P227&gt;1,"Manual selection needed","Auto matched"))))))</f>
        <v/>
      </c>
      <c r="Z227" t="str">
        <f>IF(K227="Yes",COUNTIF($K$18:K227,"Yes"),"")</f>
        <v/>
      </c>
    </row>
    <row r="228" spans="1:26" ht="34.15" customHeight="1" x14ac:dyDescent="0.2">
      <c r="A228" s="9"/>
      <c r="B228" s="69"/>
      <c r="C228" s="30"/>
      <c r="D228" s="70"/>
      <c r="E228" s="69"/>
      <c r="F228" s="70"/>
      <c r="G228" s="30"/>
      <c r="H228" s="63" t="str">
        <f>IF(OR(C228="",D228=""),"",C228*D228)</f>
        <v/>
      </c>
      <c r="I228" s="63" t="str">
        <f>IF(OR(E228="",F228="",M228&lt;=0),"",M228*F228)</f>
        <v/>
      </c>
      <c r="J228" s="63" t="str">
        <f>IF(I228="","",I228-(M228*D228))</f>
        <v/>
      </c>
      <c r="K228" s="28" t="str">
        <f>IF(A228="","",IF(T228&gt;0,"Yes","No"))</f>
        <v/>
      </c>
      <c r="L228" s="28" t="str">
        <f>IF(A228="","",A228&amp;"-"&amp;TEXT(B228,"yyyymmdd")&amp;"-R"&amp;ROW())</f>
        <v/>
      </c>
      <c r="M228" s="28" t="str">
        <f>IF(OR(C228="",G228=""),"",C228-G228)</f>
        <v/>
      </c>
      <c r="N228" s="63" t="str">
        <f>IF(OR(M228&lt;=0,J228&gt;=0),"",ABS(J228)/M228)</f>
        <v/>
      </c>
      <c r="O228" s="63" t="str">
        <f>IF(OR(A228="",M228&lt;=0,J228&gt;=0),"",MIN(M228,SUMPRODUCT(($A$18:$A$379=A228)*(IFERROR($B$18:$B$379&gt;=E228-30,0))*(IFERROR($B$18:$B$379&lt;=E228+30,0))*($G$18:$G$379&gt;0)*($L$18:$L$379&lt;&gt;L228)*($G$18:$G$379))+SUMPRODUCT(($A$381:$A$498=A228)*(IFERROR($B$381:$B$498&gt;=E228-30,0))*(IFERROR($B$381:$B$498&lt;=E228+30,0))*($G$381:$G$498&gt;0)*($L$381:$L$498&lt;&gt;L228)*($G$381:$G$498))))</f>
        <v/>
      </c>
      <c r="P228" s="28" t="str">
        <f>IF(OR(A228="",M228&lt;=0,J228&gt;=0),"",SUMPRODUCT(($A$18:$A$379=A228)*(IFERROR($B$18:$B$379&gt;=E228-30,0))*(IFERROR($B$18:$B$379&lt;=E228+30,0))*($G$18:$G$379&gt;0)*($L$18:$L$379&lt;&gt;L228))+SUMPRODUCT(($A$381:$A$498=A228)*(IFERROR($B$381:$B$498&gt;=E228-30,0))*(IFERROR($B$381:$B$498&lt;=E228+30,0))*($G$381:$G$498&gt;0)*($L$381:$L$498&lt;&gt;L228)))</f>
        <v/>
      </c>
      <c r="Q228" s="31" t="str">
        <f>IF(P228=1,IFERROR(INDEX($L$18:$L$379,MATCH(1,INDEX(($A$18:$A$379=A228)*(IFERROR($B$18:$B$379&gt;=E228-30,0))*(IFERROR($B$18:$B$379&lt;=E228+30,0))*($G$18:$G$379&gt;0)*($L$18:$L$379&lt;&gt;L228),0),0)),IFERROR(INDEX($L$381:$L$498,MATCH(1,INDEX(($A$381:$A$498=A228)*(IFERROR($B$381:$B$498&gt;=E228-30,0))*(IFERROR($B$381:$B$498&lt;=E228+30,0))*($G$381:$G$498&gt;0)*($L$381:$L$498&lt;&gt;L228),0),0)),"")),"")</f>
        <v/>
      </c>
      <c r="R228" s="32"/>
      <c r="S228" s="31" t="str">
        <f>IF(R228&lt;&gt;"",R228,Q228)</f>
        <v/>
      </c>
      <c r="T228" s="63">
        <f>IF(OR(N228="",O228=0),0,N228*O228)</f>
        <v>0</v>
      </c>
      <c r="U228" s="63">
        <f>IF(COUNTIF($S$18:$S$498,L228)=0,"",SUMIF($S$18:$S$498,L228,$T$18:$T$498))</f>
        <v>0</v>
      </c>
      <c r="V228" s="63" t="str">
        <f>IF(H228="","",IFERROR(H228+U228,H228))</f>
        <v/>
      </c>
      <c r="W228" s="63" t="str">
        <f>IF(OR(V228="",C228=""),"",V228/C228)</f>
        <v/>
      </c>
      <c r="X228" s="11" t="str">
        <f>IF(A228="","",IF(AND(U228&lt;&gt;"",U228&lt;&gt;0,M228=0),"Replacement lot receiving wash basis",IF(J228="","",IF(J228&gt;=0,"",IF(O228=0,"No replacement buy found",IF(P228&gt;1,"Manual selection needed","Auto matched"))))))</f>
        <v/>
      </c>
      <c r="Z228" t="str">
        <f>IF(K228="Yes",COUNTIF($K$18:K228,"Yes"),"")</f>
        <v/>
      </c>
    </row>
    <row r="229" spans="1:26" ht="34.15" customHeight="1" x14ac:dyDescent="0.2">
      <c r="A229" s="9"/>
      <c r="B229" s="69"/>
      <c r="C229" s="30"/>
      <c r="D229" s="70"/>
      <c r="E229" s="69"/>
      <c r="F229" s="70"/>
      <c r="G229" s="30"/>
      <c r="H229" s="63" t="str">
        <f>IF(OR(C229="",D229=""),"",C229*D229)</f>
        <v/>
      </c>
      <c r="I229" s="63" t="str">
        <f>IF(OR(E229="",F229="",M229&lt;=0),"",M229*F229)</f>
        <v/>
      </c>
      <c r="J229" s="63" t="str">
        <f>IF(I229="","",I229-(M229*D229))</f>
        <v/>
      </c>
      <c r="K229" s="28" t="str">
        <f>IF(A229="","",IF(T229&gt;0,"Yes","No"))</f>
        <v/>
      </c>
      <c r="L229" s="28" t="str">
        <f>IF(A229="","",A229&amp;"-"&amp;TEXT(B229,"yyyymmdd")&amp;"-R"&amp;ROW())</f>
        <v/>
      </c>
      <c r="M229" s="28" t="str">
        <f>IF(OR(C229="",G229=""),"",C229-G229)</f>
        <v/>
      </c>
      <c r="N229" s="63" t="str">
        <f>IF(OR(M229&lt;=0,J229&gt;=0),"",ABS(J229)/M229)</f>
        <v/>
      </c>
      <c r="O229" s="63" t="str">
        <f>IF(OR(A229="",M229&lt;=0,J229&gt;=0),"",MIN(M229,SUMPRODUCT(($A$18:$A$379=A229)*(IFERROR($B$18:$B$379&gt;=E229-30,0))*(IFERROR($B$18:$B$379&lt;=E229+30,0))*($G$18:$G$379&gt;0)*($L$18:$L$379&lt;&gt;L229)*($G$18:$G$379))+SUMPRODUCT(($A$381:$A$498=A229)*(IFERROR($B$381:$B$498&gt;=E229-30,0))*(IFERROR($B$381:$B$498&lt;=E229+30,0))*($G$381:$G$498&gt;0)*($L$381:$L$498&lt;&gt;L229)*($G$381:$G$498))))</f>
        <v/>
      </c>
      <c r="P229" s="28" t="str">
        <f>IF(OR(A229="",M229&lt;=0,J229&gt;=0),"",SUMPRODUCT(($A$18:$A$379=A229)*(IFERROR($B$18:$B$379&gt;=E229-30,0))*(IFERROR($B$18:$B$379&lt;=E229+30,0))*($G$18:$G$379&gt;0)*($L$18:$L$379&lt;&gt;L229))+SUMPRODUCT(($A$381:$A$498=A229)*(IFERROR($B$381:$B$498&gt;=E229-30,0))*(IFERROR($B$381:$B$498&lt;=E229+30,0))*($G$381:$G$498&gt;0)*($L$381:$L$498&lt;&gt;L229)))</f>
        <v/>
      </c>
      <c r="Q229" s="31" t="str">
        <f>IF(P229=1,IFERROR(INDEX($L$18:$L$379,MATCH(1,INDEX(($A$18:$A$379=A229)*(IFERROR($B$18:$B$379&gt;=E229-30,0))*(IFERROR($B$18:$B$379&lt;=E229+30,0))*($G$18:$G$379&gt;0)*($L$18:$L$379&lt;&gt;L229),0),0)),IFERROR(INDEX($L$381:$L$498,MATCH(1,INDEX(($A$381:$A$498=A229)*(IFERROR($B$381:$B$498&gt;=E229-30,0))*(IFERROR($B$381:$B$498&lt;=E229+30,0))*($G$381:$G$498&gt;0)*($L$381:$L$498&lt;&gt;L229),0),0)),"")),"")</f>
        <v/>
      </c>
      <c r="R229" s="32"/>
      <c r="S229" s="31" t="str">
        <f>IF(R229&lt;&gt;"",R229,Q229)</f>
        <v/>
      </c>
      <c r="T229" s="63">
        <f>IF(OR(N229="",O229=0),0,N229*O229)</f>
        <v>0</v>
      </c>
      <c r="U229" s="63">
        <f>IF(COUNTIF($S$18:$S$498,L229)=0,"",SUMIF($S$18:$S$498,L229,$T$18:$T$498))</f>
        <v>0</v>
      </c>
      <c r="V229" s="63" t="str">
        <f>IF(H229="","",IFERROR(H229+U229,H229))</f>
        <v/>
      </c>
      <c r="W229" s="63" t="str">
        <f>IF(OR(V229="",C229=""),"",V229/C229)</f>
        <v/>
      </c>
      <c r="X229" s="11" t="str">
        <f>IF(A229="","",IF(AND(U229&lt;&gt;"",U229&lt;&gt;0,M229=0),"Replacement lot receiving wash basis",IF(J229="","",IF(J229&gt;=0,"",IF(O229=0,"No replacement buy found",IF(P229&gt;1,"Manual selection needed","Auto matched"))))))</f>
        <v/>
      </c>
      <c r="Z229" t="str">
        <f>IF(K229="Yes",COUNTIF($K$18:K229,"Yes"),"")</f>
        <v/>
      </c>
    </row>
    <row r="230" spans="1:26" ht="34.15" customHeight="1" x14ac:dyDescent="0.2">
      <c r="A230" s="9"/>
      <c r="B230" s="69"/>
      <c r="C230" s="30"/>
      <c r="D230" s="70"/>
      <c r="E230" s="69"/>
      <c r="F230" s="70"/>
      <c r="G230" s="30"/>
      <c r="H230" s="63" t="str">
        <f>IF(OR(C230="",D230=""),"",C230*D230)</f>
        <v/>
      </c>
      <c r="I230" s="63" t="str">
        <f>IF(OR(E230="",F230="",M230&lt;=0),"",M230*F230)</f>
        <v/>
      </c>
      <c r="J230" s="63" t="str">
        <f>IF(I230="","",I230-(M230*D230))</f>
        <v/>
      </c>
      <c r="K230" s="28" t="str">
        <f>IF(A230="","",IF(T230&gt;0,"Yes","No"))</f>
        <v/>
      </c>
      <c r="L230" s="28" t="str">
        <f>IF(A230="","",A230&amp;"-"&amp;TEXT(B230,"yyyymmdd")&amp;"-R"&amp;ROW())</f>
        <v/>
      </c>
      <c r="M230" s="28" t="str">
        <f>IF(OR(C230="",G230=""),"",C230-G230)</f>
        <v/>
      </c>
      <c r="N230" s="63" t="str">
        <f>IF(OR(M230&lt;=0,J230&gt;=0),"",ABS(J230)/M230)</f>
        <v/>
      </c>
      <c r="O230" s="63" t="str">
        <f>IF(OR(A230="",M230&lt;=0,J230&gt;=0),"",MIN(M230,SUMPRODUCT(($A$18:$A$379=A230)*(IFERROR($B$18:$B$379&gt;=E230-30,0))*(IFERROR($B$18:$B$379&lt;=E230+30,0))*($G$18:$G$379&gt;0)*($L$18:$L$379&lt;&gt;L230)*($G$18:$G$379))+SUMPRODUCT(($A$381:$A$498=A230)*(IFERROR($B$381:$B$498&gt;=E230-30,0))*(IFERROR($B$381:$B$498&lt;=E230+30,0))*($G$381:$G$498&gt;0)*($L$381:$L$498&lt;&gt;L230)*($G$381:$G$498))))</f>
        <v/>
      </c>
      <c r="P230" s="28" t="str">
        <f>IF(OR(A230="",M230&lt;=0,J230&gt;=0),"",SUMPRODUCT(($A$18:$A$379=A230)*(IFERROR($B$18:$B$379&gt;=E230-30,0))*(IFERROR($B$18:$B$379&lt;=E230+30,0))*($G$18:$G$379&gt;0)*($L$18:$L$379&lt;&gt;L230))+SUMPRODUCT(($A$381:$A$498=A230)*(IFERROR($B$381:$B$498&gt;=E230-30,0))*(IFERROR($B$381:$B$498&lt;=E230+30,0))*($G$381:$G$498&gt;0)*($L$381:$L$498&lt;&gt;L230)))</f>
        <v/>
      </c>
      <c r="Q230" s="31" t="str">
        <f>IF(P230=1,IFERROR(INDEX($L$18:$L$379,MATCH(1,INDEX(($A$18:$A$379=A230)*(IFERROR($B$18:$B$379&gt;=E230-30,0))*(IFERROR($B$18:$B$379&lt;=E230+30,0))*($G$18:$G$379&gt;0)*($L$18:$L$379&lt;&gt;L230),0),0)),IFERROR(INDEX($L$381:$L$498,MATCH(1,INDEX(($A$381:$A$498=A230)*(IFERROR($B$381:$B$498&gt;=E230-30,0))*(IFERROR($B$381:$B$498&lt;=E230+30,0))*($G$381:$G$498&gt;0)*($L$381:$L$498&lt;&gt;L230),0),0)),"")),"")</f>
        <v/>
      </c>
      <c r="R230" s="32"/>
      <c r="S230" s="31" t="str">
        <f>IF(R230&lt;&gt;"",R230,Q230)</f>
        <v/>
      </c>
      <c r="T230" s="63">
        <f>IF(OR(N230="",O230=0),0,N230*O230)</f>
        <v>0</v>
      </c>
      <c r="U230" s="63">
        <f>IF(COUNTIF($S$18:$S$498,L230)=0,"",SUMIF($S$18:$S$498,L230,$T$18:$T$498))</f>
        <v>0</v>
      </c>
      <c r="V230" s="63" t="str">
        <f>IF(H230="","",IFERROR(H230+U230,H230))</f>
        <v/>
      </c>
      <c r="W230" s="63" t="str">
        <f>IF(OR(V230="",C230=""),"",V230/C230)</f>
        <v/>
      </c>
      <c r="X230" s="11" t="str">
        <f>IF(A230="","",IF(AND(U230&lt;&gt;"",U230&lt;&gt;0,M230=0),"Replacement lot receiving wash basis",IF(J230="","",IF(J230&gt;=0,"",IF(O230=0,"No replacement buy found",IF(P230&gt;1,"Manual selection needed","Auto matched"))))))</f>
        <v/>
      </c>
      <c r="Z230" t="str">
        <f>IF(K230="Yes",COUNTIF($K$18:K230,"Yes"),"")</f>
        <v/>
      </c>
    </row>
    <row r="231" spans="1:26" ht="34.15" customHeight="1" x14ac:dyDescent="0.2">
      <c r="A231" s="9"/>
      <c r="B231" s="69"/>
      <c r="C231" s="30"/>
      <c r="D231" s="70"/>
      <c r="E231" s="69"/>
      <c r="F231" s="70"/>
      <c r="G231" s="30"/>
      <c r="H231" s="63" t="str">
        <f>IF(OR(C231="",D231=""),"",C231*D231)</f>
        <v/>
      </c>
      <c r="I231" s="63" t="str">
        <f>IF(OR(E231="",F231="",M231&lt;=0),"",M231*F231)</f>
        <v/>
      </c>
      <c r="J231" s="63" t="str">
        <f>IF(I231="","",I231-(M231*D231))</f>
        <v/>
      </c>
      <c r="K231" s="28" t="str">
        <f>IF(A231="","",IF(T231&gt;0,"Yes","No"))</f>
        <v/>
      </c>
      <c r="L231" s="28" t="str">
        <f>IF(A231="","",A231&amp;"-"&amp;TEXT(B231,"yyyymmdd")&amp;"-R"&amp;ROW())</f>
        <v/>
      </c>
      <c r="M231" s="28" t="str">
        <f>IF(OR(C231="",G231=""),"",C231-G231)</f>
        <v/>
      </c>
      <c r="N231" s="63" t="str">
        <f>IF(OR(M231&lt;=0,J231&gt;=0),"",ABS(J231)/M231)</f>
        <v/>
      </c>
      <c r="O231" s="63" t="str">
        <f>IF(OR(A231="",M231&lt;=0,J231&gt;=0),"",MIN(M231,SUMPRODUCT(($A$18:$A$379=A231)*(IFERROR($B$18:$B$379&gt;=E231-30,0))*(IFERROR($B$18:$B$379&lt;=E231+30,0))*($G$18:$G$379&gt;0)*($L$18:$L$379&lt;&gt;L231)*($G$18:$G$379))+SUMPRODUCT(($A$381:$A$498=A231)*(IFERROR($B$381:$B$498&gt;=E231-30,0))*(IFERROR($B$381:$B$498&lt;=E231+30,0))*($G$381:$G$498&gt;0)*($L$381:$L$498&lt;&gt;L231)*($G$381:$G$498))))</f>
        <v/>
      </c>
      <c r="P231" s="28" t="str">
        <f>IF(OR(A231="",M231&lt;=0,J231&gt;=0),"",SUMPRODUCT(($A$18:$A$379=A231)*(IFERROR($B$18:$B$379&gt;=E231-30,0))*(IFERROR($B$18:$B$379&lt;=E231+30,0))*($G$18:$G$379&gt;0)*($L$18:$L$379&lt;&gt;L231))+SUMPRODUCT(($A$381:$A$498=A231)*(IFERROR($B$381:$B$498&gt;=E231-30,0))*(IFERROR($B$381:$B$498&lt;=E231+30,0))*($G$381:$G$498&gt;0)*($L$381:$L$498&lt;&gt;L231)))</f>
        <v/>
      </c>
      <c r="Q231" s="31" t="str">
        <f>IF(P231=1,IFERROR(INDEX($L$18:$L$379,MATCH(1,INDEX(($A$18:$A$379=A231)*(IFERROR($B$18:$B$379&gt;=E231-30,0))*(IFERROR($B$18:$B$379&lt;=E231+30,0))*($G$18:$G$379&gt;0)*($L$18:$L$379&lt;&gt;L231),0),0)),IFERROR(INDEX($L$381:$L$498,MATCH(1,INDEX(($A$381:$A$498=A231)*(IFERROR($B$381:$B$498&gt;=E231-30,0))*(IFERROR($B$381:$B$498&lt;=E231+30,0))*($G$381:$G$498&gt;0)*($L$381:$L$498&lt;&gt;L231),0),0)),"")),"")</f>
        <v/>
      </c>
      <c r="R231" s="32"/>
      <c r="S231" s="31" t="str">
        <f>IF(R231&lt;&gt;"",R231,Q231)</f>
        <v/>
      </c>
      <c r="T231" s="63">
        <f>IF(OR(N231="",O231=0),0,N231*O231)</f>
        <v>0</v>
      </c>
      <c r="U231" s="63">
        <f>IF(COUNTIF($S$18:$S$498,L231)=0,"",SUMIF($S$18:$S$498,L231,$T$18:$T$498))</f>
        <v>0</v>
      </c>
      <c r="V231" s="63" t="str">
        <f>IF(H231="","",IFERROR(H231+U231,H231))</f>
        <v/>
      </c>
      <c r="W231" s="63" t="str">
        <f>IF(OR(V231="",C231=""),"",V231/C231)</f>
        <v/>
      </c>
      <c r="X231" s="11" t="str">
        <f>IF(A231="","",IF(AND(U231&lt;&gt;"",U231&lt;&gt;0,M231=0),"Replacement lot receiving wash basis",IF(J231="","",IF(J231&gt;=0,"",IF(O231=0,"No replacement buy found",IF(P231&gt;1,"Manual selection needed","Auto matched"))))))</f>
        <v/>
      </c>
      <c r="Z231" t="str">
        <f>IF(K231="Yes",COUNTIF($K$18:K231,"Yes"),"")</f>
        <v/>
      </c>
    </row>
    <row r="232" spans="1:26" ht="34.15" customHeight="1" x14ac:dyDescent="0.2">
      <c r="A232" s="9"/>
      <c r="B232" s="69"/>
      <c r="C232" s="30"/>
      <c r="D232" s="70"/>
      <c r="E232" s="69"/>
      <c r="F232" s="70"/>
      <c r="G232" s="30"/>
      <c r="H232" s="63" t="str">
        <f>IF(OR(C232="",D232=""),"",C232*D232)</f>
        <v/>
      </c>
      <c r="I232" s="63" t="str">
        <f>IF(OR(E232="",F232="",M232&lt;=0),"",M232*F232)</f>
        <v/>
      </c>
      <c r="J232" s="63" t="str">
        <f>IF(I232="","",I232-(M232*D232))</f>
        <v/>
      </c>
      <c r="K232" s="28" t="str">
        <f>IF(A232="","",IF(T232&gt;0,"Yes","No"))</f>
        <v/>
      </c>
      <c r="L232" s="28" t="str">
        <f>IF(A232="","",A232&amp;"-"&amp;TEXT(B232,"yyyymmdd")&amp;"-R"&amp;ROW())</f>
        <v/>
      </c>
      <c r="M232" s="28" t="str">
        <f>IF(OR(C232="",G232=""),"",C232-G232)</f>
        <v/>
      </c>
      <c r="N232" s="63" t="str">
        <f>IF(OR(M232&lt;=0,J232&gt;=0),"",ABS(J232)/M232)</f>
        <v/>
      </c>
      <c r="O232" s="63" t="str">
        <f>IF(OR(A232="",M232&lt;=0,J232&gt;=0),"",MIN(M232,SUMPRODUCT(($A$18:$A$379=A232)*(IFERROR($B$18:$B$379&gt;=E232-30,0))*(IFERROR($B$18:$B$379&lt;=E232+30,0))*($G$18:$G$379&gt;0)*($L$18:$L$379&lt;&gt;L232)*($G$18:$G$379))+SUMPRODUCT(($A$381:$A$498=A232)*(IFERROR($B$381:$B$498&gt;=E232-30,0))*(IFERROR($B$381:$B$498&lt;=E232+30,0))*($G$381:$G$498&gt;0)*($L$381:$L$498&lt;&gt;L232)*($G$381:$G$498))))</f>
        <v/>
      </c>
      <c r="P232" s="28" t="str">
        <f>IF(OR(A232="",M232&lt;=0,J232&gt;=0),"",SUMPRODUCT(($A$18:$A$379=A232)*(IFERROR($B$18:$B$379&gt;=E232-30,0))*(IFERROR($B$18:$B$379&lt;=E232+30,0))*($G$18:$G$379&gt;0)*($L$18:$L$379&lt;&gt;L232))+SUMPRODUCT(($A$381:$A$498=A232)*(IFERROR($B$381:$B$498&gt;=E232-30,0))*(IFERROR($B$381:$B$498&lt;=E232+30,0))*($G$381:$G$498&gt;0)*($L$381:$L$498&lt;&gt;L232)))</f>
        <v/>
      </c>
      <c r="Q232" s="31" t="str">
        <f>IF(P232=1,IFERROR(INDEX($L$18:$L$379,MATCH(1,INDEX(($A$18:$A$379=A232)*(IFERROR($B$18:$B$379&gt;=E232-30,0))*(IFERROR($B$18:$B$379&lt;=E232+30,0))*($G$18:$G$379&gt;0)*($L$18:$L$379&lt;&gt;L232),0),0)),IFERROR(INDEX($L$381:$L$498,MATCH(1,INDEX(($A$381:$A$498=A232)*(IFERROR($B$381:$B$498&gt;=E232-30,0))*(IFERROR($B$381:$B$498&lt;=E232+30,0))*($G$381:$G$498&gt;0)*($L$381:$L$498&lt;&gt;L232),0),0)),"")),"")</f>
        <v/>
      </c>
      <c r="R232" s="32"/>
      <c r="S232" s="31" t="str">
        <f>IF(R232&lt;&gt;"",R232,Q232)</f>
        <v/>
      </c>
      <c r="T232" s="63">
        <f>IF(OR(N232="",O232=0),0,N232*O232)</f>
        <v>0</v>
      </c>
      <c r="U232" s="63">
        <f>IF(COUNTIF($S$18:$S$498,L232)=0,"",SUMIF($S$18:$S$498,L232,$T$18:$T$498))</f>
        <v>0</v>
      </c>
      <c r="V232" s="63" t="str">
        <f>IF(H232="","",IFERROR(H232+U232,H232))</f>
        <v/>
      </c>
      <c r="W232" s="63" t="str">
        <f>IF(OR(V232="",C232=""),"",V232/C232)</f>
        <v/>
      </c>
      <c r="X232" s="11" t="str">
        <f>IF(A232="","",IF(AND(U232&lt;&gt;"",U232&lt;&gt;0,M232=0),"Replacement lot receiving wash basis",IF(J232="","",IF(J232&gt;=0,"",IF(O232=0,"No replacement buy found",IF(P232&gt;1,"Manual selection needed","Auto matched"))))))</f>
        <v/>
      </c>
      <c r="Z232" t="str">
        <f>IF(K232="Yes",COUNTIF($K$18:K232,"Yes"),"")</f>
        <v/>
      </c>
    </row>
    <row r="233" spans="1:26" ht="34.15" customHeight="1" x14ac:dyDescent="0.2">
      <c r="A233" s="9"/>
      <c r="B233" s="69"/>
      <c r="C233" s="30"/>
      <c r="D233" s="70"/>
      <c r="E233" s="69"/>
      <c r="F233" s="70"/>
      <c r="G233" s="30"/>
      <c r="H233" s="63" t="str">
        <f>IF(OR(C233="",D233=""),"",C233*D233)</f>
        <v/>
      </c>
      <c r="I233" s="63" t="str">
        <f>IF(OR(E233="",F233="",M233&lt;=0),"",M233*F233)</f>
        <v/>
      </c>
      <c r="J233" s="63" t="str">
        <f>IF(I233="","",I233-(M233*D233))</f>
        <v/>
      </c>
      <c r="K233" s="28" t="str">
        <f>IF(A233="","",IF(T233&gt;0,"Yes","No"))</f>
        <v/>
      </c>
      <c r="L233" s="28" t="str">
        <f>IF(A233="","",A233&amp;"-"&amp;TEXT(B233,"yyyymmdd")&amp;"-R"&amp;ROW())</f>
        <v/>
      </c>
      <c r="M233" s="28" t="str">
        <f>IF(OR(C233="",G233=""),"",C233-G233)</f>
        <v/>
      </c>
      <c r="N233" s="63" t="str">
        <f>IF(OR(M233&lt;=0,J233&gt;=0),"",ABS(J233)/M233)</f>
        <v/>
      </c>
      <c r="O233" s="63" t="str">
        <f>IF(OR(A233="",M233&lt;=0,J233&gt;=0),"",MIN(M233,SUMPRODUCT(($A$18:$A$379=A233)*(IFERROR($B$18:$B$379&gt;=E233-30,0))*(IFERROR($B$18:$B$379&lt;=E233+30,0))*($G$18:$G$379&gt;0)*($L$18:$L$379&lt;&gt;L233)*($G$18:$G$379))+SUMPRODUCT(($A$381:$A$498=A233)*(IFERROR($B$381:$B$498&gt;=E233-30,0))*(IFERROR($B$381:$B$498&lt;=E233+30,0))*($G$381:$G$498&gt;0)*($L$381:$L$498&lt;&gt;L233)*($G$381:$G$498))))</f>
        <v/>
      </c>
      <c r="P233" s="28" t="str">
        <f>IF(OR(A233="",M233&lt;=0,J233&gt;=0),"",SUMPRODUCT(($A$18:$A$379=A233)*(IFERROR($B$18:$B$379&gt;=E233-30,0))*(IFERROR($B$18:$B$379&lt;=E233+30,0))*($G$18:$G$379&gt;0)*($L$18:$L$379&lt;&gt;L233))+SUMPRODUCT(($A$381:$A$498=A233)*(IFERROR($B$381:$B$498&gt;=E233-30,0))*(IFERROR($B$381:$B$498&lt;=E233+30,0))*($G$381:$G$498&gt;0)*($L$381:$L$498&lt;&gt;L233)))</f>
        <v/>
      </c>
      <c r="Q233" s="31" t="str">
        <f>IF(P233=1,IFERROR(INDEX($L$18:$L$379,MATCH(1,INDEX(($A$18:$A$379=A233)*(IFERROR($B$18:$B$379&gt;=E233-30,0))*(IFERROR($B$18:$B$379&lt;=E233+30,0))*($G$18:$G$379&gt;0)*($L$18:$L$379&lt;&gt;L233),0),0)),IFERROR(INDEX($L$381:$L$498,MATCH(1,INDEX(($A$381:$A$498=A233)*(IFERROR($B$381:$B$498&gt;=E233-30,0))*(IFERROR($B$381:$B$498&lt;=E233+30,0))*($G$381:$G$498&gt;0)*($L$381:$L$498&lt;&gt;L233),0),0)),"")),"")</f>
        <v/>
      </c>
      <c r="R233" s="32"/>
      <c r="S233" s="31" t="str">
        <f>IF(R233&lt;&gt;"",R233,Q233)</f>
        <v/>
      </c>
      <c r="T233" s="63">
        <f>IF(OR(N233="",O233=0),0,N233*O233)</f>
        <v>0</v>
      </c>
      <c r="U233" s="63">
        <f>IF(COUNTIF($S$18:$S$498,L233)=0,"",SUMIF($S$18:$S$498,L233,$T$18:$T$498))</f>
        <v>0</v>
      </c>
      <c r="V233" s="63" t="str">
        <f>IF(H233="","",IFERROR(H233+U233,H233))</f>
        <v/>
      </c>
      <c r="W233" s="63" t="str">
        <f>IF(OR(V233="",C233=""),"",V233/C233)</f>
        <v/>
      </c>
      <c r="X233" s="11" t="str">
        <f>IF(A233="","",IF(AND(U233&lt;&gt;"",U233&lt;&gt;0,M233=0),"Replacement lot receiving wash basis",IF(J233="","",IF(J233&gt;=0,"",IF(O233=0,"No replacement buy found",IF(P233&gt;1,"Manual selection needed","Auto matched"))))))</f>
        <v/>
      </c>
      <c r="Z233" t="str">
        <f>IF(K233="Yes",COUNTIF($K$18:K233,"Yes"),"")</f>
        <v/>
      </c>
    </row>
    <row r="234" spans="1:26" ht="34.15" customHeight="1" x14ac:dyDescent="0.2">
      <c r="A234" s="9"/>
      <c r="B234" s="69"/>
      <c r="C234" s="30"/>
      <c r="D234" s="70"/>
      <c r="E234" s="69"/>
      <c r="F234" s="70"/>
      <c r="G234" s="30"/>
      <c r="H234" s="63" t="str">
        <f>IF(OR(C234="",D234=""),"",C234*D234)</f>
        <v/>
      </c>
      <c r="I234" s="63" t="str">
        <f>IF(OR(E234="",F234="",M234&lt;=0),"",M234*F234)</f>
        <v/>
      </c>
      <c r="J234" s="63" t="str">
        <f>IF(I234="","",I234-(M234*D234))</f>
        <v/>
      </c>
      <c r="K234" s="28" t="str">
        <f>IF(A234="","",IF(T234&gt;0,"Yes","No"))</f>
        <v/>
      </c>
      <c r="L234" s="28" t="str">
        <f>IF(A234="","",A234&amp;"-"&amp;TEXT(B234,"yyyymmdd")&amp;"-R"&amp;ROW())</f>
        <v/>
      </c>
      <c r="M234" s="28" t="str">
        <f>IF(OR(C234="",G234=""),"",C234-G234)</f>
        <v/>
      </c>
      <c r="N234" s="63" t="str">
        <f>IF(OR(M234&lt;=0,J234&gt;=0),"",ABS(J234)/M234)</f>
        <v/>
      </c>
      <c r="O234" s="63" t="str">
        <f>IF(OR(A234="",M234&lt;=0,J234&gt;=0),"",MIN(M234,SUMPRODUCT(($A$18:$A$379=A234)*(IFERROR($B$18:$B$379&gt;=E234-30,0))*(IFERROR($B$18:$B$379&lt;=E234+30,0))*($G$18:$G$379&gt;0)*($L$18:$L$379&lt;&gt;L234)*($G$18:$G$379))+SUMPRODUCT(($A$381:$A$498=A234)*(IFERROR($B$381:$B$498&gt;=E234-30,0))*(IFERROR($B$381:$B$498&lt;=E234+30,0))*($G$381:$G$498&gt;0)*($L$381:$L$498&lt;&gt;L234)*($G$381:$G$498))))</f>
        <v/>
      </c>
      <c r="P234" s="28" t="str">
        <f>IF(OR(A234="",M234&lt;=0,J234&gt;=0),"",SUMPRODUCT(($A$18:$A$379=A234)*(IFERROR($B$18:$B$379&gt;=E234-30,0))*(IFERROR($B$18:$B$379&lt;=E234+30,0))*($G$18:$G$379&gt;0)*($L$18:$L$379&lt;&gt;L234))+SUMPRODUCT(($A$381:$A$498=A234)*(IFERROR($B$381:$B$498&gt;=E234-30,0))*(IFERROR($B$381:$B$498&lt;=E234+30,0))*($G$381:$G$498&gt;0)*($L$381:$L$498&lt;&gt;L234)))</f>
        <v/>
      </c>
      <c r="Q234" s="31" t="str">
        <f>IF(P234=1,IFERROR(INDEX($L$18:$L$379,MATCH(1,INDEX(($A$18:$A$379=A234)*(IFERROR($B$18:$B$379&gt;=E234-30,0))*(IFERROR($B$18:$B$379&lt;=E234+30,0))*($G$18:$G$379&gt;0)*($L$18:$L$379&lt;&gt;L234),0),0)),IFERROR(INDEX($L$381:$L$498,MATCH(1,INDEX(($A$381:$A$498=A234)*(IFERROR($B$381:$B$498&gt;=E234-30,0))*(IFERROR($B$381:$B$498&lt;=E234+30,0))*($G$381:$G$498&gt;0)*($L$381:$L$498&lt;&gt;L234),0),0)),"")),"")</f>
        <v/>
      </c>
      <c r="R234" s="32"/>
      <c r="S234" s="31" t="str">
        <f>IF(R234&lt;&gt;"",R234,Q234)</f>
        <v/>
      </c>
      <c r="T234" s="63">
        <f>IF(OR(N234="",O234=0),0,N234*O234)</f>
        <v>0</v>
      </c>
      <c r="U234" s="63">
        <f>IF(COUNTIF($S$18:$S$498,L234)=0,"",SUMIF($S$18:$S$498,L234,$T$18:$T$498))</f>
        <v>0</v>
      </c>
      <c r="V234" s="63" t="str">
        <f>IF(H234="","",IFERROR(H234+U234,H234))</f>
        <v/>
      </c>
      <c r="W234" s="63" t="str">
        <f>IF(OR(V234="",C234=""),"",V234/C234)</f>
        <v/>
      </c>
      <c r="X234" s="11" t="str">
        <f>IF(A234="","",IF(AND(U234&lt;&gt;"",U234&lt;&gt;0,M234=0),"Replacement lot receiving wash basis",IF(J234="","",IF(J234&gt;=0,"",IF(O234=0,"No replacement buy found",IF(P234&gt;1,"Manual selection needed","Auto matched"))))))</f>
        <v/>
      </c>
      <c r="Z234" t="str">
        <f>IF(K234="Yes",COUNTIF($K$18:K234,"Yes"),"")</f>
        <v/>
      </c>
    </row>
    <row r="235" spans="1:26" ht="34.15" customHeight="1" x14ac:dyDescent="0.2">
      <c r="A235" s="9"/>
      <c r="B235" s="69"/>
      <c r="C235" s="30"/>
      <c r="D235" s="70"/>
      <c r="E235" s="69"/>
      <c r="F235" s="70"/>
      <c r="G235" s="30"/>
      <c r="H235" s="63" t="str">
        <f>IF(OR(C235="",D235=""),"",C235*D235)</f>
        <v/>
      </c>
      <c r="I235" s="63" t="str">
        <f>IF(OR(E235="",F235="",M235&lt;=0),"",M235*F235)</f>
        <v/>
      </c>
      <c r="J235" s="63" t="str">
        <f>IF(I235="","",I235-(M235*D235))</f>
        <v/>
      </c>
      <c r="K235" s="28" t="str">
        <f>IF(A235="","",IF(T235&gt;0,"Yes","No"))</f>
        <v/>
      </c>
      <c r="L235" s="28" t="str">
        <f>IF(A235="","",A235&amp;"-"&amp;TEXT(B235,"yyyymmdd")&amp;"-R"&amp;ROW())</f>
        <v/>
      </c>
      <c r="M235" s="28" t="str">
        <f>IF(OR(C235="",G235=""),"",C235-G235)</f>
        <v/>
      </c>
      <c r="N235" s="63" t="str">
        <f>IF(OR(M235&lt;=0,J235&gt;=0),"",ABS(J235)/M235)</f>
        <v/>
      </c>
      <c r="O235" s="63" t="str">
        <f>IF(OR(A235="",M235&lt;=0,J235&gt;=0),"",MIN(M235,SUMPRODUCT(($A$18:$A$379=A235)*(IFERROR($B$18:$B$379&gt;=E235-30,0))*(IFERROR($B$18:$B$379&lt;=E235+30,0))*($G$18:$G$379&gt;0)*($L$18:$L$379&lt;&gt;L235)*($G$18:$G$379))+SUMPRODUCT(($A$381:$A$498=A235)*(IFERROR($B$381:$B$498&gt;=E235-30,0))*(IFERROR($B$381:$B$498&lt;=E235+30,0))*($G$381:$G$498&gt;0)*($L$381:$L$498&lt;&gt;L235)*($G$381:$G$498))))</f>
        <v/>
      </c>
      <c r="P235" s="28" t="str">
        <f>IF(OR(A235="",M235&lt;=0,J235&gt;=0),"",SUMPRODUCT(($A$18:$A$379=A235)*(IFERROR($B$18:$B$379&gt;=E235-30,0))*(IFERROR($B$18:$B$379&lt;=E235+30,0))*($G$18:$G$379&gt;0)*($L$18:$L$379&lt;&gt;L235))+SUMPRODUCT(($A$381:$A$498=A235)*(IFERROR($B$381:$B$498&gt;=E235-30,0))*(IFERROR($B$381:$B$498&lt;=E235+30,0))*($G$381:$G$498&gt;0)*($L$381:$L$498&lt;&gt;L235)))</f>
        <v/>
      </c>
      <c r="Q235" s="31" t="str">
        <f>IF(P235=1,IFERROR(INDEX($L$18:$L$379,MATCH(1,INDEX(($A$18:$A$379=A235)*(IFERROR($B$18:$B$379&gt;=E235-30,0))*(IFERROR($B$18:$B$379&lt;=E235+30,0))*($G$18:$G$379&gt;0)*($L$18:$L$379&lt;&gt;L235),0),0)),IFERROR(INDEX($L$381:$L$498,MATCH(1,INDEX(($A$381:$A$498=A235)*(IFERROR($B$381:$B$498&gt;=E235-30,0))*(IFERROR($B$381:$B$498&lt;=E235+30,0))*($G$381:$G$498&gt;0)*($L$381:$L$498&lt;&gt;L235),0),0)),"")),"")</f>
        <v/>
      </c>
      <c r="R235" s="32"/>
      <c r="S235" s="31" t="str">
        <f>IF(R235&lt;&gt;"",R235,Q235)</f>
        <v/>
      </c>
      <c r="T235" s="63">
        <f>IF(OR(N235="",O235=0),0,N235*O235)</f>
        <v>0</v>
      </c>
      <c r="U235" s="63">
        <f>IF(COUNTIF($S$18:$S$498,L235)=0,"",SUMIF($S$18:$S$498,L235,$T$18:$T$498))</f>
        <v>0</v>
      </c>
      <c r="V235" s="63" t="str">
        <f>IF(H235="","",IFERROR(H235+U235,H235))</f>
        <v/>
      </c>
      <c r="W235" s="63" t="str">
        <f>IF(OR(V235="",C235=""),"",V235/C235)</f>
        <v/>
      </c>
      <c r="X235" s="11" t="str">
        <f>IF(A235="","",IF(AND(U235&lt;&gt;"",U235&lt;&gt;0,M235=0),"Replacement lot receiving wash basis",IF(J235="","",IF(J235&gt;=0,"",IF(O235=0,"No replacement buy found",IF(P235&gt;1,"Manual selection needed","Auto matched"))))))</f>
        <v/>
      </c>
      <c r="Z235" t="str">
        <f>IF(K235="Yes",COUNTIF($K$18:K235,"Yes"),"")</f>
        <v/>
      </c>
    </row>
    <row r="236" spans="1:26" ht="34.15" customHeight="1" x14ac:dyDescent="0.2">
      <c r="A236" s="9"/>
      <c r="B236" s="69"/>
      <c r="C236" s="30"/>
      <c r="D236" s="70"/>
      <c r="E236" s="69"/>
      <c r="F236" s="70"/>
      <c r="G236" s="30"/>
      <c r="H236" s="63" t="str">
        <f>IF(OR(C236="",D236=""),"",C236*D236)</f>
        <v/>
      </c>
      <c r="I236" s="63" t="str">
        <f>IF(OR(E236="",F236="",M236&lt;=0),"",M236*F236)</f>
        <v/>
      </c>
      <c r="J236" s="63" t="str">
        <f>IF(I236="","",I236-(M236*D236))</f>
        <v/>
      </c>
      <c r="K236" s="28" t="str">
        <f>IF(A236="","",IF(T236&gt;0,"Yes","No"))</f>
        <v/>
      </c>
      <c r="L236" s="28" t="str">
        <f>IF(A236="","",A236&amp;"-"&amp;TEXT(B236,"yyyymmdd")&amp;"-R"&amp;ROW())</f>
        <v/>
      </c>
      <c r="M236" s="28" t="str">
        <f>IF(OR(C236="",G236=""),"",C236-G236)</f>
        <v/>
      </c>
      <c r="N236" s="63" t="str">
        <f>IF(OR(M236&lt;=0,J236&gt;=0),"",ABS(J236)/M236)</f>
        <v/>
      </c>
      <c r="O236" s="63" t="str">
        <f>IF(OR(A236="",M236&lt;=0,J236&gt;=0),"",MIN(M236,SUMPRODUCT(($A$18:$A$379=A236)*(IFERROR($B$18:$B$379&gt;=E236-30,0))*(IFERROR($B$18:$B$379&lt;=E236+30,0))*($G$18:$G$379&gt;0)*($L$18:$L$379&lt;&gt;L236)*($G$18:$G$379))+SUMPRODUCT(($A$381:$A$498=A236)*(IFERROR($B$381:$B$498&gt;=E236-30,0))*(IFERROR($B$381:$B$498&lt;=E236+30,0))*($G$381:$G$498&gt;0)*($L$381:$L$498&lt;&gt;L236)*($G$381:$G$498))))</f>
        <v/>
      </c>
      <c r="P236" s="28" t="str">
        <f>IF(OR(A236="",M236&lt;=0,J236&gt;=0),"",SUMPRODUCT(($A$18:$A$379=A236)*(IFERROR($B$18:$B$379&gt;=E236-30,0))*(IFERROR($B$18:$B$379&lt;=E236+30,0))*($G$18:$G$379&gt;0)*($L$18:$L$379&lt;&gt;L236))+SUMPRODUCT(($A$381:$A$498=A236)*(IFERROR($B$381:$B$498&gt;=E236-30,0))*(IFERROR($B$381:$B$498&lt;=E236+30,0))*($G$381:$G$498&gt;0)*($L$381:$L$498&lt;&gt;L236)))</f>
        <v/>
      </c>
      <c r="Q236" s="31" t="str">
        <f>IF(P236=1,IFERROR(INDEX($L$18:$L$379,MATCH(1,INDEX(($A$18:$A$379=A236)*(IFERROR($B$18:$B$379&gt;=E236-30,0))*(IFERROR($B$18:$B$379&lt;=E236+30,0))*($G$18:$G$379&gt;0)*($L$18:$L$379&lt;&gt;L236),0),0)),IFERROR(INDEX($L$381:$L$498,MATCH(1,INDEX(($A$381:$A$498=A236)*(IFERROR($B$381:$B$498&gt;=E236-30,0))*(IFERROR($B$381:$B$498&lt;=E236+30,0))*($G$381:$G$498&gt;0)*($L$381:$L$498&lt;&gt;L236),0),0)),"")),"")</f>
        <v/>
      </c>
      <c r="R236" s="32"/>
      <c r="S236" s="31" t="str">
        <f>IF(R236&lt;&gt;"",R236,Q236)</f>
        <v/>
      </c>
      <c r="T236" s="63">
        <f>IF(OR(N236="",O236=0),0,N236*O236)</f>
        <v>0</v>
      </c>
      <c r="U236" s="63">
        <f>IF(COUNTIF($S$18:$S$498,L236)=0,"",SUMIF($S$18:$S$498,L236,$T$18:$T$498))</f>
        <v>0</v>
      </c>
      <c r="V236" s="63" t="str">
        <f>IF(H236="","",IFERROR(H236+U236,H236))</f>
        <v/>
      </c>
      <c r="W236" s="63" t="str">
        <f>IF(OR(V236="",C236=""),"",V236/C236)</f>
        <v/>
      </c>
      <c r="X236" s="11" t="str">
        <f>IF(A236="","",IF(AND(U236&lt;&gt;"",U236&lt;&gt;0,M236=0),"Replacement lot receiving wash basis",IF(J236="","",IF(J236&gt;=0,"",IF(O236=0,"No replacement buy found",IF(P236&gt;1,"Manual selection needed","Auto matched"))))))</f>
        <v/>
      </c>
      <c r="Z236" t="str">
        <f>IF(K236="Yes",COUNTIF($K$18:K236,"Yes"),"")</f>
        <v/>
      </c>
    </row>
    <row r="237" spans="1:26" ht="34.15" customHeight="1" x14ac:dyDescent="0.2">
      <c r="A237" s="9"/>
      <c r="B237" s="69"/>
      <c r="C237" s="30"/>
      <c r="D237" s="70"/>
      <c r="E237" s="69"/>
      <c r="F237" s="70"/>
      <c r="G237" s="30"/>
      <c r="H237" s="63" t="str">
        <f>IF(OR(C237="",D237=""),"",C237*D237)</f>
        <v/>
      </c>
      <c r="I237" s="63" t="str">
        <f>IF(OR(E237="",F237="",M237&lt;=0),"",M237*F237)</f>
        <v/>
      </c>
      <c r="J237" s="63" t="str">
        <f>IF(I237="","",I237-(M237*D237))</f>
        <v/>
      </c>
      <c r="K237" s="28" t="str">
        <f>IF(A237="","",IF(T237&gt;0,"Yes","No"))</f>
        <v/>
      </c>
      <c r="L237" s="28" t="str">
        <f>IF(A237="","",A237&amp;"-"&amp;TEXT(B237,"yyyymmdd")&amp;"-R"&amp;ROW())</f>
        <v/>
      </c>
      <c r="M237" s="28" t="str">
        <f>IF(OR(C237="",G237=""),"",C237-G237)</f>
        <v/>
      </c>
      <c r="N237" s="63" t="str">
        <f>IF(OR(M237&lt;=0,J237&gt;=0),"",ABS(J237)/M237)</f>
        <v/>
      </c>
      <c r="O237" s="63" t="str">
        <f>IF(OR(A237="",M237&lt;=0,J237&gt;=0),"",MIN(M237,SUMPRODUCT(($A$18:$A$379=A237)*(IFERROR($B$18:$B$379&gt;=E237-30,0))*(IFERROR($B$18:$B$379&lt;=E237+30,0))*($G$18:$G$379&gt;0)*($L$18:$L$379&lt;&gt;L237)*($G$18:$G$379))+SUMPRODUCT(($A$381:$A$498=A237)*(IFERROR($B$381:$B$498&gt;=E237-30,0))*(IFERROR($B$381:$B$498&lt;=E237+30,0))*($G$381:$G$498&gt;0)*($L$381:$L$498&lt;&gt;L237)*($G$381:$G$498))))</f>
        <v/>
      </c>
      <c r="P237" s="28" t="str">
        <f>IF(OR(A237="",M237&lt;=0,J237&gt;=0),"",SUMPRODUCT(($A$18:$A$379=A237)*(IFERROR($B$18:$B$379&gt;=E237-30,0))*(IFERROR($B$18:$B$379&lt;=E237+30,0))*($G$18:$G$379&gt;0)*($L$18:$L$379&lt;&gt;L237))+SUMPRODUCT(($A$381:$A$498=A237)*(IFERROR($B$381:$B$498&gt;=E237-30,0))*(IFERROR($B$381:$B$498&lt;=E237+30,0))*($G$381:$G$498&gt;0)*($L$381:$L$498&lt;&gt;L237)))</f>
        <v/>
      </c>
      <c r="Q237" s="31" t="str">
        <f>IF(P237=1,IFERROR(INDEX($L$18:$L$379,MATCH(1,INDEX(($A$18:$A$379=A237)*(IFERROR($B$18:$B$379&gt;=E237-30,0))*(IFERROR($B$18:$B$379&lt;=E237+30,0))*($G$18:$G$379&gt;0)*($L$18:$L$379&lt;&gt;L237),0),0)),IFERROR(INDEX($L$381:$L$498,MATCH(1,INDEX(($A$381:$A$498=A237)*(IFERROR($B$381:$B$498&gt;=E237-30,0))*(IFERROR($B$381:$B$498&lt;=E237+30,0))*($G$381:$G$498&gt;0)*($L$381:$L$498&lt;&gt;L237),0),0)),"")),"")</f>
        <v/>
      </c>
      <c r="R237" s="32"/>
      <c r="S237" s="31" t="str">
        <f>IF(R237&lt;&gt;"",R237,Q237)</f>
        <v/>
      </c>
      <c r="T237" s="63">
        <f>IF(OR(N237="",O237=0),0,N237*O237)</f>
        <v>0</v>
      </c>
      <c r="U237" s="63">
        <f>IF(COUNTIF($S$18:$S$498,L237)=0,"",SUMIF($S$18:$S$498,L237,$T$18:$T$498))</f>
        <v>0</v>
      </c>
      <c r="V237" s="63" t="str">
        <f>IF(H237="","",IFERROR(H237+U237,H237))</f>
        <v/>
      </c>
      <c r="W237" s="63" t="str">
        <f>IF(OR(V237="",C237=""),"",V237/C237)</f>
        <v/>
      </c>
      <c r="X237" s="11" t="str">
        <f>IF(A237="","",IF(AND(U237&lt;&gt;"",U237&lt;&gt;0,M237=0),"Replacement lot receiving wash basis",IF(J237="","",IF(J237&gt;=0,"",IF(O237=0,"No replacement buy found",IF(P237&gt;1,"Manual selection needed","Auto matched"))))))</f>
        <v/>
      </c>
      <c r="Z237" t="str">
        <f>IF(K237="Yes",COUNTIF($K$18:K237,"Yes"),"")</f>
        <v/>
      </c>
    </row>
    <row r="238" spans="1:26" ht="34.15" customHeight="1" x14ac:dyDescent="0.2">
      <c r="A238" s="9"/>
      <c r="B238" s="69"/>
      <c r="C238" s="30"/>
      <c r="D238" s="70"/>
      <c r="E238" s="69"/>
      <c r="F238" s="70"/>
      <c r="G238" s="30"/>
      <c r="H238" s="63" t="str">
        <f>IF(OR(C238="",D238=""),"",C238*D238)</f>
        <v/>
      </c>
      <c r="I238" s="63" t="str">
        <f>IF(OR(E238="",F238="",M238&lt;=0),"",M238*F238)</f>
        <v/>
      </c>
      <c r="J238" s="63" t="str">
        <f>IF(I238="","",I238-(M238*D238))</f>
        <v/>
      </c>
      <c r="K238" s="28" t="str">
        <f>IF(A238="","",IF(T238&gt;0,"Yes","No"))</f>
        <v/>
      </c>
      <c r="L238" s="28" t="str">
        <f>IF(A238="","",A238&amp;"-"&amp;TEXT(B238,"yyyymmdd")&amp;"-R"&amp;ROW())</f>
        <v/>
      </c>
      <c r="M238" s="28" t="str">
        <f>IF(OR(C238="",G238=""),"",C238-G238)</f>
        <v/>
      </c>
      <c r="N238" s="63" t="str">
        <f>IF(OR(M238&lt;=0,J238&gt;=0),"",ABS(J238)/M238)</f>
        <v/>
      </c>
      <c r="O238" s="63" t="str">
        <f>IF(OR(A238="",M238&lt;=0,J238&gt;=0),"",MIN(M238,SUMPRODUCT(($A$18:$A$379=A238)*(IFERROR($B$18:$B$379&gt;=E238-30,0))*(IFERROR($B$18:$B$379&lt;=E238+30,0))*($G$18:$G$379&gt;0)*($L$18:$L$379&lt;&gt;L238)*($G$18:$G$379))+SUMPRODUCT(($A$381:$A$498=A238)*(IFERROR($B$381:$B$498&gt;=E238-30,0))*(IFERROR($B$381:$B$498&lt;=E238+30,0))*($G$381:$G$498&gt;0)*($L$381:$L$498&lt;&gt;L238)*($G$381:$G$498))))</f>
        <v/>
      </c>
      <c r="P238" s="28" t="str">
        <f>IF(OR(A238="",M238&lt;=0,J238&gt;=0),"",SUMPRODUCT(($A$18:$A$379=A238)*(IFERROR($B$18:$B$379&gt;=E238-30,0))*(IFERROR($B$18:$B$379&lt;=E238+30,0))*($G$18:$G$379&gt;0)*($L$18:$L$379&lt;&gt;L238))+SUMPRODUCT(($A$381:$A$498=A238)*(IFERROR($B$381:$B$498&gt;=E238-30,0))*(IFERROR($B$381:$B$498&lt;=E238+30,0))*($G$381:$G$498&gt;0)*($L$381:$L$498&lt;&gt;L238)))</f>
        <v/>
      </c>
      <c r="Q238" s="31" t="str">
        <f>IF(P238=1,IFERROR(INDEX($L$18:$L$379,MATCH(1,INDEX(($A$18:$A$379=A238)*(IFERROR($B$18:$B$379&gt;=E238-30,0))*(IFERROR($B$18:$B$379&lt;=E238+30,0))*($G$18:$G$379&gt;0)*($L$18:$L$379&lt;&gt;L238),0),0)),IFERROR(INDEX($L$381:$L$498,MATCH(1,INDEX(($A$381:$A$498=A238)*(IFERROR($B$381:$B$498&gt;=E238-30,0))*(IFERROR($B$381:$B$498&lt;=E238+30,0))*($G$381:$G$498&gt;0)*($L$381:$L$498&lt;&gt;L238),0),0)),"")),"")</f>
        <v/>
      </c>
      <c r="R238" s="32"/>
      <c r="S238" s="31" t="str">
        <f>IF(R238&lt;&gt;"",R238,Q238)</f>
        <v/>
      </c>
      <c r="T238" s="63">
        <f>IF(OR(N238="",O238=0),0,N238*O238)</f>
        <v>0</v>
      </c>
      <c r="U238" s="63">
        <f>IF(COUNTIF($S$18:$S$498,L238)=0,"",SUMIF($S$18:$S$498,L238,$T$18:$T$498))</f>
        <v>0</v>
      </c>
      <c r="V238" s="63" t="str">
        <f>IF(H238="","",IFERROR(H238+U238,H238))</f>
        <v/>
      </c>
      <c r="W238" s="63" t="str">
        <f>IF(OR(V238="",C238=""),"",V238/C238)</f>
        <v/>
      </c>
      <c r="X238" s="11" t="str">
        <f>IF(A238="","",IF(AND(U238&lt;&gt;"",U238&lt;&gt;0,M238=0),"Replacement lot receiving wash basis",IF(J238="","",IF(J238&gt;=0,"",IF(O238=0,"No replacement buy found",IF(P238&gt;1,"Manual selection needed","Auto matched"))))))</f>
        <v/>
      </c>
      <c r="Z238" t="str">
        <f>IF(K238="Yes",COUNTIF($K$18:K238,"Yes"),"")</f>
        <v/>
      </c>
    </row>
    <row r="239" spans="1:26" ht="34.15" customHeight="1" x14ac:dyDescent="0.2">
      <c r="A239" s="9"/>
      <c r="B239" s="69"/>
      <c r="C239" s="30"/>
      <c r="D239" s="70"/>
      <c r="E239" s="69"/>
      <c r="F239" s="70"/>
      <c r="G239" s="30"/>
      <c r="H239" s="63" t="str">
        <f>IF(OR(C239="",D239=""),"",C239*D239)</f>
        <v/>
      </c>
      <c r="I239" s="63" t="str">
        <f>IF(OR(E239="",F239="",M239&lt;=0),"",M239*F239)</f>
        <v/>
      </c>
      <c r="J239" s="63" t="str">
        <f>IF(I239="","",I239-(M239*D239))</f>
        <v/>
      </c>
      <c r="K239" s="28" t="str">
        <f>IF(A239="","",IF(T239&gt;0,"Yes","No"))</f>
        <v/>
      </c>
      <c r="L239" s="28" t="str">
        <f>IF(A239="","",A239&amp;"-"&amp;TEXT(B239,"yyyymmdd")&amp;"-R"&amp;ROW())</f>
        <v/>
      </c>
      <c r="M239" s="28" t="str">
        <f>IF(OR(C239="",G239=""),"",C239-G239)</f>
        <v/>
      </c>
      <c r="N239" s="63" t="str">
        <f>IF(OR(M239&lt;=0,J239&gt;=0),"",ABS(J239)/M239)</f>
        <v/>
      </c>
      <c r="O239" s="63" t="str">
        <f>IF(OR(A239="",M239&lt;=0,J239&gt;=0),"",MIN(M239,SUMPRODUCT(($A$18:$A$379=A239)*(IFERROR($B$18:$B$379&gt;=E239-30,0))*(IFERROR($B$18:$B$379&lt;=E239+30,0))*($G$18:$G$379&gt;0)*($L$18:$L$379&lt;&gt;L239)*($G$18:$G$379))+SUMPRODUCT(($A$381:$A$498=A239)*(IFERROR($B$381:$B$498&gt;=E239-30,0))*(IFERROR($B$381:$B$498&lt;=E239+30,0))*($G$381:$G$498&gt;0)*($L$381:$L$498&lt;&gt;L239)*($G$381:$G$498))))</f>
        <v/>
      </c>
      <c r="P239" s="28" t="str">
        <f>IF(OR(A239="",M239&lt;=0,J239&gt;=0),"",SUMPRODUCT(($A$18:$A$379=A239)*(IFERROR($B$18:$B$379&gt;=E239-30,0))*(IFERROR($B$18:$B$379&lt;=E239+30,0))*($G$18:$G$379&gt;0)*($L$18:$L$379&lt;&gt;L239))+SUMPRODUCT(($A$381:$A$498=A239)*(IFERROR($B$381:$B$498&gt;=E239-30,0))*(IFERROR($B$381:$B$498&lt;=E239+30,0))*($G$381:$G$498&gt;0)*($L$381:$L$498&lt;&gt;L239)))</f>
        <v/>
      </c>
      <c r="Q239" s="31" t="str">
        <f>IF(P239=1,IFERROR(INDEX($L$18:$L$379,MATCH(1,INDEX(($A$18:$A$379=A239)*(IFERROR($B$18:$B$379&gt;=E239-30,0))*(IFERROR($B$18:$B$379&lt;=E239+30,0))*($G$18:$G$379&gt;0)*($L$18:$L$379&lt;&gt;L239),0),0)),IFERROR(INDEX($L$381:$L$498,MATCH(1,INDEX(($A$381:$A$498=A239)*(IFERROR($B$381:$B$498&gt;=E239-30,0))*(IFERROR($B$381:$B$498&lt;=E239+30,0))*($G$381:$G$498&gt;0)*($L$381:$L$498&lt;&gt;L239),0),0)),"")),"")</f>
        <v/>
      </c>
      <c r="R239" s="32"/>
      <c r="S239" s="31" t="str">
        <f>IF(R239&lt;&gt;"",R239,Q239)</f>
        <v/>
      </c>
      <c r="T239" s="63">
        <f>IF(OR(N239="",O239=0),0,N239*O239)</f>
        <v>0</v>
      </c>
      <c r="U239" s="63">
        <f>IF(COUNTIF($S$18:$S$498,L239)=0,"",SUMIF($S$18:$S$498,L239,$T$18:$T$498))</f>
        <v>0</v>
      </c>
      <c r="V239" s="63" t="str">
        <f>IF(H239="","",IFERROR(H239+U239,H239))</f>
        <v/>
      </c>
      <c r="W239" s="63" t="str">
        <f>IF(OR(V239="",C239=""),"",V239/C239)</f>
        <v/>
      </c>
      <c r="X239" s="11" t="str">
        <f>IF(A239="","",IF(AND(U239&lt;&gt;"",U239&lt;&gt;0,M239=0),"Replacement lot receiving wash basis",IF(J239="","",IF(J239&gt;=0,"",IF(O239=0,"No replacement buy found",IF(P239&gt;1,"Manual selection needed","Auto matched"))))))</f>
        <v/>
      </c>
      <c r="Z239" t="str">
        <f>IF(K239="Yes",COUNTIF($K$18:K239,"Yes"),"")</f>
        <v/>
      </c>
    </row>
    <row r="240" spans="1:26" ht="34.15" customHeight="1" x14ac:dyDescent="0.2">
      <c r="A240" s="9"/>
      <c r="B240" s="69"/>
      <c r="C240" s="30"/>
      <c r="D240" s="70"/>
      <c r="E240" s="69"/>
      <c r="F240" s="70"/>
      <c r="G240" s="30"/>
      <c r="H240" s="63" t="str">
        <f>IF(OR(C240="",D240=""),"",C240*D240)</f>
        <v/>
      </c>
      <c r="I240" s="63" t="str">
        <f>IF(OR(E240="",F240="",M240&lt;=0),"",M240*F240)</f>
        <v/>
      </c>
      <c r="J240" s="63" t="str">
        <f>IF(I240="","",I240-(M240*D240))</f>
        <v/>
      </c>
      <c r="K240" s="28" t="str">
        <f>IF(A240="","",IF(T240&gt;0,"Yes","No"))</f>
        <v/>
      </c>
      <c r="L240" s="28" t="str">
        <f>IF(A240="","",A240&amp;"-"&amp;TEXT(B240,"yyyymmdd")&amp;"-R"&amp;ROW())</f>
        <v/>
      </c>
      <c r="M240" s="28" t="str">
        <f>IF(OR(C240="",G240=""),"",C240-G240)</f>
        <v/>
      </c>
      <c r="N240" s="63" t="str">
        <f>IF(OR(M240&lt;=0,J240&gt;=0),"",ABS(J240)/M240)</f>
        <v/>
      </c>
      <c r="O240" s="63" t="str">
        <f>IF(OR(A240="",M240&lt;=0,J240&gt;=0),"",MIN(M240,SUMPRODUCT(($A$18:$A$379=A240)*(IFERROR($B$18:$B$379&gt;=E240-30,0))*(IFERROR($B$18:$B$379&lt;=E240+30,0))*($G$18:$G$379&gt;0)*($L$18:$L$379&lt;&gt;L240)*($G$18:$G$379))+SUMPRODUCT(($A$381:$A$498=A240)*(IFERROR($B$381:$B$498&gt;=E240-30,0))*(IFERROR($B$381:$B$498&lt;=E240+30,0))*($G$381:$G$498&gt;0)*($L$381:$L$498&lt;&gt;L240)*($G$381:$G$498))))</f>
        <v/>
      </c>
      <c r="P240" s="28" t="str">
        <f>IF(OR(A240="",M240&lt;=0,J240&gt;=0),"",SUMPRODUCT(($A$18:$A$379=A240)*(IFERROR($B$18:$B$379&gt;=E240-30,0))*(IFERROR($B$18:$B$379&lt;=E240+30,0))*($G$18:$G$379&gt;0)*($L$18:$L$379&lt;&gt;L240))+SUMPRODUCT(($A$381:$A$498=A240)*(IFERROR($B$381:$B$498&gt;=E240-30,0))*(IFERROR($B$381:$B$498&lt;=E240+30,0))*($G$381:$G$498&gt;0)*($L$381:$L$498&lt;&gt;L240)))</f>
        <v/>
      </c>
      <c r="Q240" s="31" t="str">
        <f>IF(P240=1,IFERROR(INDEX($L$18:$L$379,MATCH(1,INDEX(($A$18:$A$379=A240)*(IFERROR($B$18:$B$379&gt;=E240-30,0))*(IFERROR($B$18:$B$379&lt;=E240+30,0))*($G$18:$G$379&gt;0)*($L$18:$L$379&lt;&gt;L240),0),0)),IFERROR(INDEX($L$381:$L$498,MATCH(1,INDEX(($A$381:$A$498=A240)*(IFERROR($B$381:$B$498&gt;=E240-30,0))*(IFERROR($B$381:$B$498&lt;=E240+30,0))*($G$381:$G$498&gt;0)*($L$381:$L$498&lt;&gt;L240),0),0)),"")),"")</f>
        <v/>
      </c>
      <c r="R240" s="32"/>
      <c r="S240" s="31" t="str">
        <f>IF(R240&lt;&gt;"",R240,Q240)</f>
        <v/>
      </c>
      <c r="T240" s="63">
        <f>IF(OR(N240="",O240=0),0,N240*O240)</f>
        <v>0</v>
      </c>
      <c r="U240" s="63">
        <f>IF(COUNTIF($S$18:$S$498,L240)=0,"",SUMIF($S$18:$S$498,L240,$T$18:$T$498))</f>
        <v>0</v>
      </c>
      <c r="V240" s="63" t="str">
        <f>IF(H240="","",IFERROR(H240+U240,H240))</f>
        <v/>
      </c>
      <c r="W240" s="63" t="str">
        <f>IF(OR(V240="",C240=""),"",V240/C240)</f>
        <v/>
      </c>
      <c r="X240" s="11" t="str">
        <f>IF(A240="","",IF(AND(U240&lt;&gt;"",U240&lt;&gt;0,M240=0),"Replacement lot receiving wash basis",IF(J240="","",IF(J240&gt;=0,"",IF(O240=0,"No replacement buy found",IF(P240&gt;1,"Manual selection needed","Auto matched"))))))</f>
        <v/>
      </c>
      <c r="Z240" t="str">
        <f>IF(K240="Yes",COUNTIF($K$18:K240,"Yes"),"")</f>
        <v/>
      </c>
    </row>
    <row r="241" spans="1:26" ht="34.15" customHeight="1" x14ac:dyDescent="0.2">
      <c r="A241" s="9"/>
      <c r="B241" s="69"/>
      <c r="C241" s="30"/>
      <c r="D241" s="70"/>
      <c r="E241" s="69"/>
      <c r="F241" s="70"/>
      <c r="G241" s="30"/>
      <c r="H241" s="63" t="str">
        <f>IF(OR(C241="",D241=""),"",C241*D241)</f>
        <v/>
      </c>
      <c r="I241" s="63" t="str">
        <f>IF(OR(E241="",F241="",M241&lt;=0),"",M241*F241)</f>
        <v/>
      </c>
      <c r="J241" s="63" t="str">
        <f>IF(I241="","",I241-(M241*D241))</f>
        <v/>
      </c>
      <c r="K241" s="28" t="str">
        <f>IF(A241="","",IF(T241&gt;0,"Yes","No"))</f>
        <v/>
      </c>
      <c r="L241" s="28" t="str">
        <f>IF(A241="","",A241&amp;"-"&amp;TEXT(B241,"yyyymmdd")&amp;"-R"&amp;ROW())</f>
        <v/>
      </c>
      <c r="M241" s="28" t="str">
        <f>IF(OR(C241="",G241=""),"",C241-G241)</f>
        <v/>
      </c>
      <c r="N241" s="63" t="str">
        <f>IF(OR(M241&lt;=0,J241&gt;=0),"",ABS(J241)/M241)</f>
        <v/>
      </c>
      <c r="O241" s="63" t="str">
        <f>IF(OR(A241="",M241&lt;=0,J241&gt;=0),"",MIN(M241,SUMPRODUCT(($A$18:$A$379=A241)*(IFERROR($B$18:$B$379&gt;=E241-30,0))*(IFERROR($B$18:$B$379&lt;=E241+30,0))*($G$18:$G$379&gt;0)*($L$18:$L$379&lt;&gt;L241)*($G$18:$G$379))+SUMPRODUCT(($A$381:$A$498=A241)*(IFERROR($B$381:$B$498&gt;=E241-30,0))*(IFERROR($B$381:$B$498&lt;=E241+30,0))*($G$381:$G$498&gt;0)*($L$381:$L$498&lt;&gt;L241)*($G$381:$G$498))))</f>
        <v/>
      </c>
      <c r="P241" s="28" t="str">
        <f>IF(OR(A241="",M241&lt;=0,J241&gt;=0),"",SUMPRODUCT(($A$18:$A$379=A241)*(IFERROR($B$18:$B$379&gt;=E241-30,0))*(IFERROR($B$18:$B$379&lt;=E241+30,0))*($G$18:$G$379&gt;0)*($L$18:$L$379&lt;&gt;L241))+SUMPRODUCT(($A$381:$A$498=A241)*(IFERROR($B$381:$B$498&gt;=E241-30,0))*(IFERROR($B$381:$B$498&lt;=E241+30,0))*($G$381:$G$498&gt;0)*($L$381:$L$498&lt;&gt;L241)))</f>
        <v/>
      </c>
      <c r="Q241" s="31" t="str">
        <f>IF(P241=1,IFERROR(INDEX($L$18:$L$379,MATCH(1,INDEX(($A$18:$A$379=A241)*(IFERROR($B$18:$B$379&gt;=E241-30,0))*(IFERROR($B$18:$B$379&lt;=E241+30,0))*($G$18:$G$379&gt;0)*($L$18:$L$379&lt;&gt;L241),0),0)),IFERROR(INDEX($L$381:$L$498,MATCH(1,INDEX(($A$381:$A$498=A241)*(IFERROR($B$381:$B$498&gt;=E241-30,0))*(IFERROR($B$381:$B$498&lt;=E241+30,0))*($G$381:$G$498&gt;0)*($L$381:$L$498&lt;&gt;L241),0),0)),"")),"")</f>
        <v/>
      </c>
      <c r="R241" s="32"/>
      <c r="S241" s="31" t="str">
        <f>IF(R241&lt;&gt;"",R241,Q241)</f>
        <v/>
      </c>
      <c r="T241" s="63">
        <f>IF(OR(N241="",O241=0),0,N241*O241)</f>
        <v>0</v>
      </c>
      <c r="U241" s="63">
        <f>IF(COUNTIF($S$18:$S$498,L241)=0,"",SUMIF($S$18:$S$498,L241,$T$18:$T$498))</f>
        <v>0</v>
      </c>
      <c r="V241" s="63" t="str">
        <f>IF(H241="","",IFERROR(H241+U241,H241))</f>
        <v/>
      </c>
      <c r="W241" s="63" t="str">
        <f>IF(OR(V241="",C241=""),"",V241/C241)</f>
        <v/>
      </c>
      <c r="X241" s="11" t="str">
        <f>IF(A241="","",IF(AND(U241&lt;&gt;"",U241&lt;&gt;0,M241=0),"Replacement lot receiving wash basis",IF(J241="","",IF(J241&gt;=0,"",IF(O241=0,"No replacement buy found",IF(P241&gt;1,"Manual selection needed","Auto matched"))))))</f>
        <v/>
      </c>
      <c r="Z241" t="str">
        <f>IF(K241="Yes",COUNTIF($K$18:K241,"Yes"),"")</f>
        <v/>
      </c>
    </row>
    <row r="242" spans="1:26" ht="34.15" customHeight="1" x14ac:dyDescent="0.2">
      <c r="A242" s="9"/>
      <c r="B242" s="69"/>
      <c r="C242" s="30"/>
      <c r="D242" s="70"/>
      <c r="E242" s="69"/>
      <c r="F242" s="70"/>
      <c r="G242" s="30"/>
      <c r="H242" s="63" t="str">
        <f>IF(OR(C242="",D242=""),"",C242*D242)</f>
        <v/>
      </c>
      <c r="I242" s="63" t="str">
        <f>IF(OR(E242="",F242="",M242&lt;=0),"",M242*F242)</f>
        <v/>
      </c>
      <c r="J242" s="63" t="str">
        <f>IF(I242="","",I242-(M242*D242))</f>
        <v/>
      </c>
      <c r="K242" s="28" t="str">
        <f>IF(A242="","",IF(T242&gt;0,"Yes","No"))</f>
        <v/>
      </c>
      <c r="L242" s="28" t="str">
        <f>IF(A242="","",A242&amp;"-"&amp;TEXT(B242,"yyyymmdd")&amp;"-R"&amp;ROW())</f>
        <v/>
      </c>
      <c r="M242" s="28" t="str">
        <f>IF(OR(C242="",G242=""),"",C242-G242)</f>
        <v/>
      </c>
      <c r="N242" s="63" t="str">
        <f>IF(OR(M242&lt;=0,J242&gt;=0),"",ABS(J242)/M242)</f>
        <v/>
      </c>
      <c r="O242" s="63" t="str">
        <f>IF(OR(A242="",M242&lt;=0,J242&gt;=0),"",MIN(M242,SUMPRODUCT(($A$18:$A$379=A242)*(IFERROR($B$18:$B$379&gt;=E242-30,0))*(IFERROR($B$18:$B$379&lt;=E242+30,0))*($G$18:$G$379&gt;0)*($L$18:$L$379&lt;&gt;L242)*($G$18:$G$379))+SUMPRODUCT(($A$381:$A$498=A242)*(IFERROR($B$381:$B$498&gt;=E242-30,0))*(IFERROR($B$381:$B$498&lt;=E242+30,0))*($G$381:$G$498&gt;0)*($L$381:$L$498&lt;&gt;L242)*($G$381:$G$498))))</f>
        <v/>
      </c>
      <c r="P242" s="28" t="str">
        <f>IF(OR(A242="",M242&lt;=0,J242&gt;=0),"",SUMPRODUCT(($A$18:$A$379=A242)*(IFERROR($B$18:$B$379&gt;=E242-30,0))*(IFERROR($B$18:$B$379&lt;=E242+30,0))*($G$18:$G$379&gt;0)*($L$18:$L$379&lt;&gt;L242))+SUMPRODUCT(($A$381:$A$498=A242)*(IFERROR($B$381:$B$498&gt;=E242-30,0))*(IFERROR($B$381:$B$498&lt;=E242+30,0))*($G$381:$G$498&gt;0)*($L$381:$L$498&lt;&gt;L242)))</f>
        <v/>
      </c>
      <c r="Q242" s="31" t="str">
        <f>IF(P242=1,IFERROR(INDEX($L$18:$L$379,MATCH(1,INDEX(($A$18:$A$379=A242)*(IFERROR($B$18:$B$379&gt;=E242-30,0))*(IFERROR($B$18:$B$379&lt;=E242+30,0))*($G$18:$G$379&gt;0)*($L$18:$L$379&lt;&gt;L242),0),0)),IFERROR(INDEX($L$381:$L$498,MATCH(1,INDEX(($A$381:$A$498=A242)*(IFERROR($B$381:$B$498&gt;=E242-30,0))*(IFERROR($B$381:$B$498&lt;=E242+30,0))*($G$381:$G$498&gt;0)*($L$381:$L$498&lt;&gt;L242),0),0)),"")),"")</f>
        <v/>
      </c>
      <c r="R242" s="32"/>
      <c r="S242" s="31" t="str">
        <f>IF(R242&lt;&gt;"",R242,Q242)</f>
        <v/>
      </c>
      <c r="T242" s="63">
        <f>IF(OR(N242="",O242=0),0,N242*O242)</f>
        <v>0</v>
      </c>
      <c r="U242" s="63">
        <f>IF(COUNTIF($S$18:$S$498,L242)=0,"",SUMIF($S$18:$S$498,L242,$T$18:$T$498))</f>
        <v>0</v>
      </c>
      <c r="V242" s="63" t="str">
        <f>IF(H242="","",IFERROR(H242+U242,H242))</f>
        <v/>
      </c>
      <c r="W242" s="63" t="str">
        <f>IF(OR(V242="",C242=""),"",V242/C242)</f>
        <v/>
      </c>
      <c r="X242" s="11" t="str">
        <f>IF(A242="","",IF(AND(U242&lt;&gt;"",U242&lt;&gt;0,M242=0),"Replacement lot receiving wash basis",IF(J242="","",IF(J242&gt;=0,"",IF(O242=0,"No replacement buy found",IF(P242&gt;1,"Manual selection needed","Auto matched"))))))</f>
        <v/>
      </c>
      <c r="Z242" t="str">
        <f>IF(K242="Yes",COUNTIF($K$18:K242,"Yes"),"")</f>
        <v/>
      </c>
    </row>
    <row r="243" spans="1:26" ht="34.15" customHeight="1" x14ac:dyDescent="0.2">
      <c r="A243" s="9"/>
      <c r="B243" s="69"/>
      <c r="C243" s="30"/>
      <c r="D243" s="70"/>
      <c r="E243" s="69"/>
      <c r="F243" s="70"/>
      <c r="G243" s="30"/>
      <c r="H243" s="63" t="str">
        <f>IF(OR(C243="",D243=""),"",C243*D243)</f>
        <v/>
      </c>
      <c r="I243" s="63" t="str">
        <f>IF(OR(E243="",F243="",M243&lt;=0),"",M243*F243)</f>
        <v/>
      </c>
      <c r="J243" s="63" t="str">
        <f>IF(I243="","",I243-(M243*D243))</f>
        <v/>
      </c>
      <c r="K243" s="28" t="str">
        <f>IF(A243="","",IF(T243&gt;0,"Yes","No"))</f>
        <v/>
      </c>
      <c r="L243" s="28" t="str">
        <f>IF(A243="","",A243&amp;"-"&amp;TEXT(B243,"yyyymmdd")&amp;"-R"&amp;ROW())</f>
        <v/>
      </c>
      <c r="M243" s="28" t="str">
        <f>IF(OR(C243="",G243=""),"",C243-G243)</f>
        <v/>
      </c>
      <c r="N243" s="63" t="str">
        <f>IF(OR(M243&lt;=0,J243&gt;=0),"",ABS(J243)/M243)</f>
        <v/>
      </c>
      <c r="O243" s="63" t="str">
        <f>IF(OR(A243="",M243&lt;=0,J243&gt;=0),"",MIN(M243,SUMPRODUCT(($A$18:$A$379=A243)*(IFERROR($B$18:$B$379&gt;=E243-30,0))*(IFERROR($B$18:$B$379&lt;=E243+30,0))*($G$18:$G$379&gt;0)*($L$18:$L$379&lt;&gt;L243)*($G$18:$G$379))+SUMPRODUCT(($A$381:$A$498=A243)*(IFERROR($B$381:$B$498&gt;=E243-30,0))*(IFERROR($B$381:$B$498&lt;=E243+30,0))*($G$381:$G$498&gt;0)*($L$381:$L$498&lt;&gt;L243)*($G$381:$G$498))))</f>
        <v/>
      </c>
      <c r="P243" s="28" t="str">
        <f>IF(OR(A243="",M243&lt;=0,J243&gt;=0),"",SUMPRODUCT(($A$18:$A$379=A243)*(IFERROR($B$18:$B$379&gt;=E243-30,0))*(IFERROR($B$18:$B$379&lt;=E243+30,0))*($G$18:$G$379&gt;0)*($L$18:$L$379&lt;&gt;L243))+SUMPRODUCT(($A$381:$A$498=A243)*(IFERROR($B$381:$B$498&gt;=E243-30,0))*(IFERROR($B$381:$B$498&lt;=E243+30,0))*($G$381:$G$498&gt;0)*($L$381:$L$498&lt;&gt;L243)))</f>
        <v/>
      </c>
      <c r="Q243" s="31" t="str">
        <f>IF(P243=1,IFERROR(INDEX($L$18:$L$379,MATCH(1,INDEX(($A$18:$A$379=A243)*(IFERROR($B$18:$B$379&gt;=E243-30,0))*(IFERROR($B$18:$B$379&lt;=E243+30,0))*($G$18:$G$379&gt;0)*($L$18:$L$379&lt;&gt;L243),0),0)),IFERROR(INDEX($L$381:$L$498,MATCH(1,INDEX(($A$381:$A$498=A243)*(IFERROR($B$381:$B$498&gt;=E243-30,0))*(IFERROR($B$381:$B$498&lt;=E243+30,0))*($G$381:$G$498&gt;0)*($L$381:$L$498&lt;&gt;L243),0),0)),"")),"")</f>
        <v/>
      </c>
      <c r="R243" s="32"/>
      <c r="S243" s="31" t="str">
        <f>IF(R243&lt;&gt;"",R243,Q243)</f>
        <v/>
      </c>
      <c r="T243" s="63">
        <f>IF(OR(N243="",O243=0),0,N243*O243)</f>
        <v>0</v>
      </c>
      <c r="U243" s="63">
        <f>IF(COUNTIF($S$18:$S$498,L243)=0,"",SUMIF($S$18:$S$498,L243,$T$18:$T$498))</f>
        <v>0</v>
      </c>
      <c r="V243" s="63" t="str">
        <f>IF(H243="","",IFERROR(H243+U243,H243))</f>
        <v/>
      </c>
      <c r="W243" s="63" t="str">
        <f>IF(OR(V243="",C243=""),"",V243/C243)</f>
        <v/>
      </c>
      <c r="X243" s="11" t="str">
        <f>IF(A243="","",IF(AND(U243&lt;&gt;"",U243&lt;&gt;0,M243=0),"Replacement lot receiving wash basis",IF(J243="","",IF(J243&gt;=0,"",IF(O243=0,"No replacement buy found",IF(P243&gt;1,"Manual selection needed","Auto matched"))))))</f>
        <v/>
      </c>
      <c r="Z243" t="str">
        <f>IF(K243="Yes",COUNTIF($K$18:K243,"Yes"),"")</f>
        <v/>
      </c>
    </row>
    <row r="244" spans="1:26" ht="34.15" customHeight="1" x14ac:dyDescent="0.2">
      <c r="A244" s="9"/>
      <c r="B244" s="69"/>
      <c r="C244" s="30"/>
      <c r="D244" s="70"/>
      <c r="E244" s="69"/>
      <c r="F244" s="70"/>
      <c r="G244" s="30"/>
      <c r="H244" s="63" t="str">
        <f>IF(OR(C244="",D244=""),"",C244*D244)</f>
        <v/>
      </c>
      <c r="I244" s="63" t="str">
        <f>IF(OR(E244="",F244="",M244&lt;=0),"",M244*F244)</f>
        <v/>
      </c>
      <c r="J244" s="63" t="str">
        <f>IF(I244="","",I244-(M244*D244))</f>
        <v/>
      </c>
      <c r="K244" s="28" t="str">
        <f>IF(A244="","",IF(T244&gt;0,"Yes","No"))</f>
        <v/>
      </c>
      <c r="L244" s="28" t="str">
        <f>IF(A244="","",A244&amp;"-"&amp;TEXT(B244,"yyyymmdd")&amp;"-R"&amp;ROW())</f>
        <v/>
      </c>
      <c r="M244" s="28" t="str">
        <f>IF(OR(C244="",G244=""),"",C244-G244)</f>
        <v/>
      </c>
      <c r="N244" s="63" t="str">
        <f>IF(OR(M244&lt;=0,J244&gt;=0),"",ABS(J244)/M244)</f>
        <v/>
      </c>
      <c r="O244" s="63" t="str">
        <f>IF(OR(A244="",M244&lt;=0,J244&gt;=0),"",MIN(M244,SUMPRODUCT(($A$18:$A$379=A244)*(IFERROR($B$18:$B$379&gt;=E244-30,0))*(IFERROR($B$18:$B$379&lt;=E244+30,0))*($G$18:$G$379&gt;0)*($L$18:$L$379&lt;&gt;L244)*($G$18:$G$379))+SUMPRODUCT(($A$381:$A$498=A244)*(IFERROR($B$381:$B$498&gt;=E244-30,0))*(IFERROR($B$381:$B$498&lt;=E244+30,0))*($G$381:$G$498&gt;0)*($L$381:$L$498&lt;&gt;L244)*($G$381:$G$498))))</f>
        <v/>
      </c>
      <c r="P244" s="28" t="str">
        <f>IF(OR(A244="",M244&lt;=0,J244&gt;=0),"",SUMPRODUCT(($A$18:$A$379=A244)*(IFERROR($B$18:$B$379&gt;=E244-30,0))*(IFERROR($B$18:$B$379&lt;=E244+30,0))*($G$18:$G$379&gt;0)*($L$18:$L$379&lt;&gt;L244))+SUMPRODUCT(($A$381:$A$498=A244)*(IFERROR($B$381:$B$498&gt;=E244-30,0))*(IFERROR($B$381:$B$498&lt;=E244+30,0))*($G$381:$G$498&gt;0)*($L$381:$L$498&lt;&gt;L244)))</f>
        <v/>
      </c>
      <c r="Q244" s="31" t="str">
        <f>IF(P244=1,IFERROR(INDEX($L$18:$L$379,MATCH(1,INDEX(($A$18:$A$379=A244)*(IFERROR($B$18:$B$379&gt;=E244-30,0))*(IFERROR($B$18:$B$379&lt;=E244+30,0))*($G$18:$G$379&gt;0)*($L$18:$L$379&lt;&gt;L244),0),0)),IFERROR(INDEX($L$381:$L$498,MATCH(1,INDEX(($A$381:$A$498=A244)*(IFERROR($B$381:$B$498&gt;=E244-30,0))*(IFERROR($B$381:$B$498&lt;=E244+30,0))*($G$381:$G$498&gt;0)*($L$381:$L$498&lt;&gt;L244),0),0)),"")),"")</f>
        <v/>
      </c>
      <c r="R244" s="32"/>
      <c r="S244" s="31" t="str">
        <f>IF(R244&lt;&gt;"",R244,Q244)</f>
        <v/>
      </c>
      <c r="T244" s="63">
        <f>IF(OR(N244="",O244=0),0,N244*O244)</f>
        <v>0</v>
      </c>
      <c r="U244" s="63">
        <f>IF(COUNTIF($S$18:$S$498,L244)=0,"",SUMIF($S$18:$S$498,L244,$T$18:$T$498))</f>
        <v>0</v>
      </c>
      <c r="V244" s="63" t="str">
        <f>IF(H244="","",IFERROR(H244+U244,H244))</f>
        <v/>
      </c>
      <c r="W244" s="63" t="str">
        <f>IF(OR(V244="",C244=""),"",V244/C244)</f>
        <v/>
      </c>
      <c r="X244" s="11" t="str">
        <f>IF(A244="","",IF(AND(U244&lt;&gt;"",U244&lt;&gt;0,M244=0),"Replacement lot receiving wash basis",IF(J244="","",IF(J244&gt;=0,"",IF(O244=0,"No replacement buy found",IF(P244&gt;1,"Manual selection needed","Auto matched"))))))</f>
        <v/>
      </c>
      <c r="Z244" t="str">
        <f>IF(K244="Yes",COUNTIF($K$18:K244,"Yes"),"")</f>
        <v/>
      </c>
    </row>
    <row r="245" spans="1:26" ht="34.15" customHeight="1" x14ac:dyDescent="0.2">
      <c r="A245" s="9"/>
      <c r="B245" s="69"/>
      <c r="C245" s="30"/>
      <c r="D245" s="70"/>
      <c r="E245" s="69"/>
      <c r="F245" s="70"/>
      <c r="G245" s="30"/>
      <c r="H245" s="63" t="str">
        <f>IF(OR(C245="",D245=""),"",C245*D245)</f>
        <v/>
      </c>
      <c r="I245" s="63" t="str">
        <f>IF(OR(E245="",F245="",M245&lt;=0),"",M245*F245)</f>
        <v/>
      </c>
      <c r="J245" s="63" t="str">
        <f>IF(I245="","",I245-(M245*D245))</f>
        <v/>
      </c>
      <c r="K245" s="28" t="str">
        <f>IF(A245="","",IF(T245&gt;0,"Yes","No"))</f>
        <v/>
      </c>
      <c r="L245" s="28" t="str">
        <f>IF(A245="","",A245&amp;"-"&amp;TEXT(B245,"yyyymmdd")&amp;"-R"&amp;ROW())</f>
        <v/>
      </c>
      <c r="M245" s="28" t="str">
        <f>IF(OR(C245="",G245=""),"",C245-G245)</f>
        <v/>
      </c>
      <c r="N245" s="63" t="str">
        <f>IF(OR(M245&lt;=0,J245&gt;=0),"",ABS(J245)/M245)</f>
        <v/>
      </c>
      <c r="O245" s="63" t="str">
        <f>IF(OR(A245="",M245&lt;=0,J245&gt;=0),"",MIN(M245,SUMPRODUCT(($A$18:$A$379=A245)*(IFERROR($B$18:$B$379&gt;=E245-30,0))*(IFERROR($B$18:$B$379&lt;=E245+30,0))*($G$18:$G$379&gt;0)*($L$18:$L$379&lt;&gt;L245)*($G$18:$G$379))+SUMPRODUCT(($A$381:$A$498=A245)*(IFERROR($B$381:$B$498&gt;=E245-30,0))*(IFERROR($B$381:$B$498&lt;=E245+30,0))*($G$381:$G$498&gt;0)*($L$381:$L$498&lt;&gt;L245)*($G$381:$G$498))))</f>
        <v/>
      </c>
      <c r="P245" s="28" t="str">
        <f>IF(OR(A245="",M245&lt;=0,J245&gt;=0),"",SUMPRODUCT(($A$18:$A$379=A245)*(IFERROR($B$18:$B$379&gt;=E245-30,0))*(IFERROR($B$18:$B$379&lt;=E245+30,0))*($G$18:$G$379&gt;0)*($L$18:$L$379&lt;&gt;L245))+SUMPRODUCT(($A$381:$A$498=A245)*(IFERROR($B$381:$B$498&gt;=E245-30,0))*(IFERROR($B$381:$B$498&lt;=E245+30,0))*($G$381:$G$498&gt;0)*($L$381:$L$498&lt;&gt;L245)))</f>
        <v/>
      </c>
      <c r="Q245" s="31" t="str">
        <f>IF(P245=1,IFERROR(INDEX($L$18:$L$379,MATCH(1,INDEX(($A$18:$A$379=A245)*(IFERROR($B$18:$B$379&gt;=E245-30,0))*(IFERROR($B$18:$B$379&lt;=E245+30,0))*($G$18:$G$379&gt;0)*($L$18:$L$379&lt;&gt;L245),0),0)),IFERROR(INDEX($L$381:$L$498,MATCH(1,INDEX(($A$381:$A$498=A245)*(IFERROR($B$381:$B$498&gt;=E245-30,0))*(IFERROR($B$381:$B$498&lt;=E245+30,0))*($G$381:$G$498&gt;0)*($L$381:$L$498&lt;&gt;L245),0),0)),"")),"")</f>
        <v/>
      </c>
      <c r="R245" s="32"/>
      <c r="S245" s="31" t="str">
        <f>IF(R245&lt;&gt;"",R245,Q245)</f>
        <v/>
      </c>
      <c r="T245" s="63">
        <f>IF(OR(N245="",O245=0),0,N245*O245)</f>
        <v>0</v>
      </c>
      <c r="U245" s="63">
        <f>IF(COUNTIF($S$18:$S$498,L245)=0,"",SUMIF($S$18:$S$498,L245,$T$18:$T$498))</f>
        <v>0</v>
      </c>
      <c r="V245" s="63" t="str">
        <f>IF(H245="","",IFERROR(H245+U245,H245))</f>
        <v/>
      </c>
      <c r="W245" s="63" t="str">
        <f>IF(OR(V245="",C245=""),"",V245/C245)</f>
        <v/>
      </c>
      <c r="X245" s="11" t="str">
        <f>IF(A245="","",IF(AND(U245&lt;&gt;"",U245&lt;&gt;0,M245=0),"Replacement lot receiving wash basis",IF(J245="","",IF(J245&gt;=0,"",IF(O245=0,"No replacement buy found",IF(P245&gt;1,"Manual selection needed","Auto matched"))))))</f>
        <v/>
      </c>
      <c r="Z245" t="str">
        <f>IF(K245="Yes",COUNTIF($K$18:K245,"Yes"),"")</f>
        <v/>
      </c>
    </row>
    <row r="246" spans="1:26" ht="34.15" customHeight="1" x14ac:dyDescent="0.2">
      <c r="A246" s="9"/>
      <c r="B246" s="69"/>
      <c r="C246" s="30"/>
      <c r="D246" s="70"/>
      <c r="E246" s="69"/>
      <c r="F246" s="70"/>
      <c r="G246" s="30"/>
      <c r="H246" s="63" t="str">
        <f>IF(OR(C246="",D246=""),"",C246*D246)</f>
        <v/>
      </c>
      <c r="I246" s="63" t="str">
        <f>IF(OR(E246="",F246="",M246&lt;=0),"",M246*F246)</f>
        <v/>
      </c>
      <c r="J246" s="63" t="str">
        <f>IF(I246="","",I246-(M246*D246))</f>
        <v/>
      </c>
      <c r="K246" s="28" t="str">
        <f>IF(A246="","",IF(T246&gt;0,"Yes","No"))</f>
        <v/>
      </c>
      <c r="L246" s="28" t="str">
        <f>IF(A246="","",A246&amp;"-"&amp;TEXT(B246,"yyyymmdd")&amp;"-R"&amp;ROW())</f>
        <v/>
      </c>
      <c r="M246" s="28" t="str">
        <f>IF(OR(C246="",G246=""),"",C246-G246)</f>
        <v/>
      </c>
      <c r="N246" s="63" t="str">
        <f>IF(OR(M246&lt;=0,J246&gt;=0),"",ABS(J246)/M246)</f>
        <v/>
      </c>
      <c r="O246" s="63" t="str">
        <f>IF(OR(A246="",M246&lt;=0,J246&gt;=0),"",MIN(M246,SUMPRODUCT(($A$18:$A$379=A246)*(IFERROR($B$18:$B$379&gt;=E246-30,0))*(IFERROR($B$18:$B$379&lt;=E246+30,0))*($G$18:$G$379&gt;0)*($L$18:$L$379&lt;&gt;L246)*($G$18:$G$379))+SUMPRODUCT(($A$381:$A$498=A246)*(IFERROR($B$381:$B$498&gt;=E246-30,0))*(IFERROR($B$381:$B$498&lt;=E246+30,0))*($G$381:$G$498&gt;0)*($L$381:$L$498&lt;&gt;L246)*($G$381:$G$498))))</f>
        <v/>
      </c>
      <c r="P246" s="28" t="str">
        <f>IF(OR(A246="",M246&lt;=0,J246&gt;=0),"",SUMPRODUCT(($A$18:$A$379=A246)*(IFERROR($B$18:$B$379&gt;=E246-30,0))*(IFERROR($B$18:$B$379&lt;=E246+30,0))*($G$18:$G$379&gt;0)*($L$18:$L$379&lt;&gt;L246))+SUMPRODUCT(($A$381:$A$498=A246)*(IFERROR($B$381:$B$498&gt;=E246-30,0))*(IFERROR($B$381:$B$498&lt;=E246+30,0))*($G$381:$G$498&gt;0)*($L$381:$L$498&lt;&gt;L246)))</f>
        <v/>
      </c>
      <c r="Q246" s="31" t="str">
        <f>IF(P246=1,IFERROR(INDEX($L$18:$L$379,MATCH(1,INDEX(($A$18:$A$379=A246)*(IFERROR($B$18:$B$379&gt;=E246-30,0))*(IFERROR($B$18:$B$379&lt;=E246+30,0))*($G$18:$G$379&gt;0)*($L$18:$L$379&lt;&gt;L246),0),0)),IFERROR(INDEX($L$381:$L$498,MATCH(1,INDEX(($A$381:$A$498=A246)*(IFERROR($B$381:$B$498&gt;=E246-30,0))*(IFERROR($B$381:$B$498&lt;=E246+30,0))*($G$381:$G$498&gt;0)*($L$381:$L$498&lt;&gt;L246),0),0)),"")),"")</f>
        <v/>
      </c>
      <c r="R246" s="32"/>
      <c r="S246" s="31" t="str">
        <f>IF(R246&lt;&gt;"",R246,Q246)</f>
        <v/>
      </c>
      <c r="T246" s="63">
        <f>IF(OR(N246="",O246=0),0,N246*O246)</f>
        <v>0</v>
      </c>
      <c r="U246" s="63">
        <f>IF(COUNTIF($S$18:$S$498,L246)=0,"",SUMIF($S$18:$S$498,L246,$T$18:$T$498))</f>
        <v>0</v>
      </c>
      <c r="V246" s="63" t="str">
        <f>IF(H246="","",IFERROR(H246+U246,H246))</f>
        <v/>
      </c>
      <c r="W246" s="63" t="str">
        <f>IF(OR(V246="",C246=""),"",V246/C246)</f>
        <v/>
      </c>
      <c r="X246" s="11" t="str">
        <f>IF(A246="","",IF(AND(U246&lt;&gt;"",U246&lt;&gt;0,M246=0),"Replacement lot receiving wash basis",IF(J246="","",IF(J246&gt;=0,"",IF(O246=0,"No replacement buy found",IF(P246&gt;1,"Manual selection needed","Auto matched"))))))</f>
        <v/>
      </c>
      <c r="Z246" t="str">
        <f>IF(K246="Yes",COUNTIF($K$18:K246,"Yes"),"")</f>
        <v/>
      </c>
    </row>
    <row r="247" spans="1:26" ht="34.15" customHeight="1" x14ac:dyDescent="0.2">
      <c r="A247" s="9"/>
      <c r="B247" s="69"/>
      <c r="C247" s="30"/>
      <c r="D247" s="70"/>
      <c r="E247" s="69"/>
      <c r="F247" s="70"/>
      <c r="G247" s="30"/>
      <c r="H247" s="63" t="str">
        <f>IF(OR(C247="",D247=""),"",C247*D247)</f>
        <v/>
      </c>
      <c r="I247" s="63" t="str">
        <f>IF(OR(E247="",F247="",M247&lt;=0),"",M247*F247)</f>
        <v/>
      </c>
      <c r="J247" s="63" t="str">
        <f>IF(I247="","",I247-(M247*D247))</f>
        <v/>
      </c>
      <c r="K247" s="28" t="str">
        <f>IF(A247="","",IF(T247&gt;0,"Yes","No"))</f>
        <v/>
      </c>
      <c r="L247" s="28" t="str">
        <f>IF(A247="","",A247&amp;"-"&amp;TEXT(B247,"yyyymmdd")&amp;"-R"&amp;ROW())</f>
        <v/>
      </c>
      <c r="M247" s="28" t="str">
        <f>IF(OR(C247="",G247=""),"",C247-G247)</f>
        <v/>
      </c>
      <c r="N247" s="63" t="str">
        <f>IF(OR(M247&lt;=0,J247&gt;=0),"",ABS(J247)/M247)</f>
        <v/>
      </c>
      <c r="O247" s="63" t="str">
        <f>IF(OR(A247="",M247&lt;=0,J247&gt;=0),"",MIN(M247,SUMPRODUCT(($A$18:$A$379=A247)*(IFERROR($B$18:$B$379&gt;=E247-30,0))*(IFERROR($B$18:$B$379&lt;=E247+30,0))*($G$18:$G$379&gt;0)*($L$18:$L$379&lt;&gt;L247)*($G$18:$G$379))+SUMPRODUCT(($A$381:$A$498=A247)*(IFERROR($B$381:$B$498&gt;=E247-30,0))*(IFERROR($B$381:$B$498&lt;=E247+30,0))*($G$381:$G$498&gt;0)*($L$381:$L$498&lt;&gt;L247)*($G$381:$G$498))))</f>
        <v/>
      </c>
      <c r="P247" s="28" t="str">
        <f>IF(OR(A247="",M247&lt;=0,J247&gt;=0),"",SUMPRODUCT(($A$18:$A$379=A247)*(IFERROR($B$18:$B$379&gt;=E247-30,0))*(IFERROR($B$18:$B$379&lt;=E247+30,0))*($G$18:$G$379&gt;0)*($L$18:$L$379&lt;&gt;L247))+SUMPRODUCT(($A$381:$A$498=A247)*(IFERROR($B$381:$B$498&gt;=E247-30,0))*(IFERROR($B$381:$B$498&lt;=E247+30,0))*($G$381:$G$498&gt;0)*($L$381:$L$498&lt;&gt;L247)))</f>
        <v/>
      </c>
      <c r="Q247" s="31" t="str">
        <f>IF(P247=1,IFERROR(INDEX($L$18:$L$379,MATCH(1,INDEX(($A$18:$A$379=A247)*(IFERROR($B$18:$B$379&gt;=E247-30,0))*(IFERROR($B$18:$B$379&lt;=E247+30,0))*($G$18:$G$379&gt;0)*($L$18:$L$379&lt;&gt;L247),0),0)),IFERROR(INDEX($L$381:$L$498,MATCH(1,INDEX(($A$381:$A$498=A247)*(IFERROR($B$381:$B$498&gt;=E247-30,0))*(IFERROR($B$381:$B$498&lt;=E247+30,0))*($G$381:$G$498&gt;0)*($L$381:$L$498&lt;&gt;L247),0),0)),"")),"")</f>
        <v/>
      </c>
      <c r="R247" s="32"/>
      <c r="S247" s="31" t="str">
        <f>IF(R247&lt;&gt;"",R247,Q247)</f>
        <v/>
      </c>
      <c r="T247" s="63">
        <f>IF(OR(N247="",O247=0),0,N247*O247)</f>
        <v>0</v>
      </c>
      <c r="U247" s="63">
        <f>IF(COUNTIF($S$18:$S$498,L247)=0,"",SUMIF($S$18:$S$498,L247,$T$18:$T$498))</f>
        <v>0</v>
      </c>
      <c r="V247" s="63" t="str">
        <f>IF(H247="","",IFERROR(H247+U247,H247))</f>
        <v/>
      </c>
      <c r="W247" s="63" t="str">
        <f>IF(OR(V247="",C247=""),"",V247/C247)</f>
        <v/>
      </c>
      <c r="X247" s="11" t="str">
        <f>IF(A247="","",IF(AND(U247&lt;&gt;"",U247&lt;&gt;0,M247=0),"Replacement lot receiving wash basis",IF(J247="","",IF(J247&gt;=0,"",IF(O247=0,"No replacement buy found",IF(P247&gt;1,"Manual selection needed","Auto matched"))))))</f>
        <v/>
      </c>
      <c r="Z247" t="str">
        <f>IF(K247="Yes",COUNTIF($K$18:K247,"Yes"),"")</f>
        <v/>
      </c>
    </row>
    <row r="248" spans="1:26" ht="34.15" customHeight="1" x14ac:dyDescent="0.2">
      <c r="A248" s="9"/>
      <c r="B248" s="69"/>
      <c r="C248" s="30"/>
      <c r="D248" s="70"/>
      <c r="E248" s="69"/>
      <c r="F248" s="70"/>
      <c r="G248" s="30"/>
      <c r="H248" s="63" t="str">
        <f>IF(OR(C248="",D248=""),"",C248*D248)</f>
        <v/>
      </c>
      <c r="I248" s="63" t="str">
        <f>IF(OR(E248="",F248="",M248&lt;=0),"",M248*F248)</f>
        <v/>
      </c>
      <c r="J248" s="63" t="str">
        <f>IF(I248="","",I248-(M248*D248))</f>
        <v/>
      </c>
      <c r="K248" s="28" t="str">
        <f>IF(A248="","",IF(T248&gt;0,"Yes","No"))</f>
        <v/>
      </c>
      <c r="L248" s="28" t="str">
        <f>IF(A248="","",A248&amp;"-"&amp;TEXT(B248,"yyyymmdd")&amp;"-R"&amp;ROW())</f>
        <v/>
      </c>
      <c r="M248" s="28" t="str">
        <f>IF(OR(C248="",G248=""),"",C248-G248)</f>
        <v/>
      </c>
      <c r="N248" s="63" t="str">
        <f>IF(OR(M248&lt;=0,J248&gt;=0),"",ABS(J248)/M248)</f>
        <v/>
      </c>
      <c r="O248" s="63" t="str">
        <f>IF(OR(A248="",M248&lt;=0,J248&gt;=0),"",MIN(M248,SUMPRODUCT(($A$18:$A$379=A248)*(IFERROR($B$18:$B$379&gt;=E248-30,0))*(IFERROR($B$18:$B$379&lt;=E248+30,0))*($G$18:$G$379&gt;0)*($L$18:$L$379&lt;&gt;L248)*($G$18:$G$379))+SUMPRODUCT(($A$381:$A$498=A248)*(IFERROR($B$381:$B$498&gt;=E248-30,0))*(IFERROR($B$381:$B$498&lt;=E248+30,0))*($G$381:$G$498&gt;0)*($L$381:$L$498&lt;&gt;L248)*($G$381:$G$498))))</f>
        <v/>
      </c>
      <c r="P248" s="28" t="str">
        <f>IF(OR(A248="",M248&lt;=0,J248&gt;=0),"",SUMPRODUCT(($A$18:$A$379=A248)*(IFERROR($B$18:$B$379&gt;=E248-30,0))*(IFERROR($B$18:$B$379&lt;=E248+30,0))*($G$18:$G$379&gt;0)*($L$18:$L$379&lt;&gt;L248))+SUMPRODUCT(($A$381:$A$498=A248)*(IFERROR($B$381:$B$498&gt;=E248-30,0))*(IFERROR($B$381:$B$498&lt;=E248+30,0))*($G$381:$G$498&gt;0)*($L$381:$L$498&lt;&gt;L248)))</f>
        <v/>
      </c>
      <c r="Q248" s="31" t="str">
        <f>IF(P248=1,IFERROR(INDEX($L$18:$L$379,MATCH(1,INDEX(($A$18:$A$379=A248)*(IFERROR($B$18:$B$379&gt;=E248-30,0))*(IFERROR($B$18:$B$379&lt;=E248+30,0))*($G$18:$G$379&gt;0)*($L$18:$L$379&lt;&gt;L248),0),0)),IFERROR(INDEX($L$381:$L$498,MATCH(1,INDEX(($A$381:$A$498=A248)*(IFERROR($B$381:$B$498&gt;=E248-30,0))*(IFERROR($B$381:$B$498&lt;=E248+30,0))*($G$381:$G$498&gt;0)*($L$381:$L$498&lt;&gt;L248),0),0)),"")),"")</f>
        <v/>
      </c>
      <c r="R248" s="32"/>
      <c r="S248" s="31" t="str">
        <f>IF(R248&lt;&gt;"",R248,Q248)</f>
        <v/>
      </c>
      <c r="T248" s="63">
        <f>IF(OR(N248="",O248=0),0,N248*O248)</f>
        <v>0</v>
      </c>
      <c r="U248" s="63">
        <f>IF(COUNTIF($S$18:$S$498,L248)=0,"",SUMIF($S$18:$S$498,L248,$T$18:$T$498))</f>
        <v>0</v>
      </c>
      <c r="V248" s="63" t="str">
        <f>IF(H248="","",IFERROR(H248+U248,H248))</f>
        <v/>
      </c>
      <c r="W248" s="63" t="str">
        <f>IF(OR(V248="",C248=""),"",V248/C248)</f>
        <v/>
      </c>
      <c r="X248" s="11" t="str">
        <f>IF(A248="","",IF(AND(U248&lt;&gt;"",U248&lt;&gt;0,M248=0),"Replacement lot receiving wash basis",IF(J248="","",IF(J248&gt;=0,"",IF(O248=0,"No replacement buy found",IF(P248&gt;1,"Manual selection needed","Auto matched"))))))</f>
        <v/>
      </c>
      <c r="Z248" t="str">
        <f>IF(K248="Yes",COUNTIF($K$18:K248,"Yes"),"")</f>
        <v/>
      </c>
    </row>
    <row r="249" spans="1:26" ht="34.15" customHeight="1" x14ac:dyDescent="0.2">
      <c r="A249" s="9"/>
      <c r="B249" s="69"/>
      <c r="C249" s="30"/>
      <c r="D249" s="70"/>
      <c r="E249" s="69"/>
      <c r="F249" s="70"/>
      <c r="G249" s="30"/>
      <c r="H249" s="63" t="str">
        <f>IF(OR(C249="",D249=""),"",C249*D249)</f>
        <v/>
      </c>
      <c r="I249" s="63" t="str">
        <f>IF(OR(E249="",F249="",M249&lt;=0),"",M249*F249)</f>
        <v/>
      </c>
      <c r="J249" s="63" t="str">
        <f>IF(I249="","",I249-(M249*D249))</f>
        <v/>
      </c>
      <c r="K249" s="28" t="str">
        <f>IF(A249="","",IF(T249&gt;0,"Yes","No"))</f>
        <v/>
      </c>
      <c r="L249" s="28" t="str">
        <f>IF(A249="","",A249&amp;"-"&amp;TEXT(B249,"yyyymmdd")&amp;"-R"&amp;ROW())</f>
        <v/>
      </c>
      <c r="M249" s="28" t="str">
        <f>IF(OR(C249="",G249=""),"",C249-G249)</f>
        <v/>
      </c>
      <c r="N249" s="63" t="str">
        <f>IF(OR(M249&lt;=0,J249&gt;=0),"",ABS(J249)/M249)</f>
        <v/>
      </c>
      <c r="O249" s="63" t="str">
        <f>IF(OR(A249="",M249&lt;=0,J249&gt;=0),"",MIN(M249,SUMPRODUCT(($A$18:$A$379=A249)*(IFERROR($B$18:$B$379&gt;=E249-30,0))*(IFERROR($B$18:$B$379&lt;=E249+30,0))*($G$18:$G$379&gt;0)*($L$18:$L$379&lt;&gt;L249)*($G$18:$G$379))+SUMPRODUCT(($A$381:$A$498=A249)*(IFERROR($B$381:$B$498&gt;=E249-30,0))*(IFERROR($B$381:$B$498&lt;=E249+30,0))*($G$381:$G$498&gt;0)*($L$381:$L$498&lt;&gt;L249)*($G$381:$G$498))))</f>
        <v/>
      </c>
      <c r="P249" s="28" t="str">
        <f>IF(OR(A249="",M249&lt;=0,J249&gt;=0),"",SUMPRODUCT(($A$18:$A$379=A249)*(IFERROR($B$18:$B$379&gt;=E249-30,0))*(IFERROR($B$18:$B$379&lt;=E249+30,0))*($G$18:$G$379&gt;0)*($L$18:$L$379&lt;&gt;L249))+SUMPRODUCT(($A$381:$A$498=A249)*(IFERROR($B$381:$B$498&gt;=E249-30,0))*(IFERROR($B$381:$B$498&lt;=E249+30,0))*($G$381:$G$498&gt;0)*($L$381:$L$498&lt;&gt;L249)))</f>
        <v/>
      </c>
      <c r="Q249" s="31" t="str">
        <f>IF(P249=1,IFERROR(INDEX($L$18:$L$379,MATCH(1,INDEX(($A$18:$A$379=A249)*(IFERROR($B$18:$B$379&gt;=E249-30,0))*(IFERROR($B$18:$B$379&lt;=E249+30,0))*($G$18:$G$379&gt;0)*($L$18:$L$379&lt;&gt;L249),0),0)),IFERROR(INDEX($L$381:$L$498,MATCH(1,INDEX(($A$381:$A$498=A249)*(IFERROR($B$381:$B$498&gt;=E249-30,0))*(IFERROR($B$381:$B$498&lt;=E249+30,0))*($G$381:$G$498&gt;0)*($L$381:$L$498&lt;&gt;L249),0),0)),"")),"")</f>
        <v/>
      </c>
      <c r="R249" s="32"/>
      <c r="S249" s="31" t="str">
        <f>IF(R249&lt;&gt;"",R249,Q249)</f>
        <v/>
      </c>
      <c r="T249" s="63">
        <f>IF(OR(N249="",O249=0),0,N249*O249)</f>
        <v>0</v>
      </c>
      <c r="U249" s="63">
        <f>IF(COUNTIF($S$18:$S$498,L249)=0,"",SUMIF($S$18:$S$498,L249,$T$18:$T$498))</f>
        <v>0</v>
      </c>
      <c r="V249" s="63" t="str">
        <f>IF(H249="","",IFERROR(H249+U249,H249))</f>
        <v/>
      </c>
      <c r="W249" s="63" t="str">
        <f>IF(OR(V249="",C249=""),"",V249/C249)</f>
        <v/>
      </c>
      <c r="X249" s="11" t="str">
        <f>IF(A249="","",IF(AND(U249&lt;&gt;"",U249&lt;&gt;0,M249=0),"Replacement lot receiving wash basis",IF(J249="","",IF(J249&gt;=0,"",IF(O249=0,"No replacement buy found",IF(P249&gt;1,"Manual selection needed","Auto matched"))))))</f>
        <v/>
      </c>
      <c r="Z249" t="str">
        <f>IF(K249="Yes",COUNTIF($K$18:K249,"Yes"),"")</f>
        <v/>
      </c>
    </row>
    <row r="250" spans="1:26" ht="34.15" customHeight="1" x14ac:dyDescent="0.2">
      <c r="A250" s="9"/>
      <c r="B250" s="69"/>
      <c r="C250" s="30"/>
      <c r="D250" s="70"/>
      <c r="E250" s="69"/>
      <c r="F250" s="70"/>
      <c r="G250" s="30"/>
      <c r="H250" s="63" t="str">
        <f>IF(OR(C250="",D250=""),"",C250*D250)</f>
        <v/>
      </c>
      <c r="I250" s="63" t="str">
        <f>IF(OR(E250="",F250="",M250&lt;=0),"",M250*F250)</f>
        <v/>
      </c>
      <c r="J250" s="63" t="str">
        <f>IF(I250="","",I250-(M250*D250))</f>
        <v/>
      </c>
      <c r="K250" s="28" t="str">
        <f>IF(A250="","",IF(T250&gt;0,"Yes","No"))</f>
        <v/>
      </c>
      <c r="L250" s="28" t="str">
        <f>IF(A250="","",A250&amp;"-"&amp;TEXT(B250,"yyyymmdd")&amp;"-R"&amp;ROW())</f>
        <v/>
      </c>
      <c r="M250" s="28" t="str">
        <f>IF(OR(C250="",G250=""),"",C250-G250)</f>
        <v/>
      </c>
      <c r="N250" s="63" t="str">
        <f>IF(OR(M250&lt;=0,J250&gt;=0),"",ABS(J250)/M250)</f>
        <v/>
      </c>
      <c r="O250" s="63" t="str">
        <f>IF(OR(A250="",M250&lt;=0,J250&gt;=0),"",MIN(M250,SUMPRODUCT(($A$18:$A$379=A250)*(IFERROR($B$18:$B$379&gt;=E250-30,0))*(IFERROR($B$18:$B$379&lt;=E250+30,0))*($G$18:$G$379&gt;0)*($L$18:$L$379&lt;&gt;L250)*($G$18:$G$379))+SUMPRODUCT(($A$381:$A$498=A250)*(IFERROR($B$381:$B$498&gt;=E250-30,0))*(IFERROR($B$381:$B$498&lt;=E250+30,0))*($G$381:$G$498&gt;0)*($L$381:$L$498&lt;&gt;L250)*($G$381:$G$498))))</f>
        <v/>
      </c>
      <c r="P250" s="28" t="str">
        <f>IF(OR(A250="",M250&lt;=0,J250&gt;=0),"",SUMPRODUCT(($A$18:$A$379=A250)*(IFERROR($B$18:$B$379&gt;=E250-30,0))*(IFERROR($B$18:$B$379&lt;=E250+30,0))*($G$18:$G$379&gt;0)*($L$18:$L$379&lt;&gt;L250))+SUMPRODUCT(($A$381:$A$498=A250)*(IFERROR($B$381:$B$498&gt;=E250-30,0))*(IFERROR($B$381:$B$498&lt;=E250+30,0))*($G$381:$G$498&gt;0)*($L$381:$L$498&lt;&gt;L250)))</f>
        <v/>
      </c>
      <c r="Q250" s="31" t="str">
        <f>IF(P250=1,IFERROR(INDEX($L$18:$L$379,MATCH(1,INDEX(($A$18:$A$379=A250)*(IFERROR($B$18:$B$379&gt;=E250-30,0))*(IFERROR($B$18:$B$379&lt;=E250+30,0))*($G$18:$G$379&gt;0)*($L$18:$L$379&lt;&gt;L250),0),0)),IFERROR(INDEX($L$381:$L$498,MATCH(1,INDEX(($A$381:$A$498=A250)*(IFERROR($B$381:$B$498&gt;=E250-30,0))*(IFERROR($B$381:$B$498&lt;=E250+30,0))*($G$381:$G$498&gt;0)*($L$381:$L$498&lt;&gt;L250),0),0)),"")),"")</f>
        <v/>
      </c>
      <c r="R250" s="32"/>
      <c r="S250" s="31" t="str">
        <f>IF(R250&lt;&gt;"",R250,Q250)</f>
        <v/>
      </c>
      <c r="T250" s="63">
        <f>IF(OR(N250="",O250=0),0,N250*O250)</f>
        <v>0</v>
      </c>
      <c r="U250" s="63">
        <f>IF(COUNTIF($S$18:$S$498,L250)=0,"",SUMIF($S$18:$S$498,L250,$T$18:$T$498))</f>
        <v>0</v>
      </c>
      <c r="V250" s="63" t="str">
        <f>IF(H250="","",IFERROR(H250+U250,H250))</f>
        <v/>
      </c>
      <c r="W250" s="63" t="str">
        <f>IF(OR(V250="",C250=""),"",V250/C250)</f>
        <v/>
      </c>
      <c r="X250" s="11" t="str">
        <f>IF(A250="","",IF(AND(U250&lt;&gt;"",U250&lt;&gt;0,M250=0),"Replacement lot receiving wash basis",IF(J250="","",IF(J250&gt;=0,"",IF(O250=0,"No replacement buy found",IF(P250&gt;1,"Manual selection needed","Auto matched"))))))</f>
        <v/>
      </c>
      <c r="Z250" t="str">
        <f>IF(K250="Yes",COUNTIF($K$18:K250,"Yes"),"")</f>
        <v/>
      </c>
    </row>
    <row r="251" spans="1:26" ht="34.15" customHeight="1" x14ac:dyDescent="0.2">
      <c r="A251" s="9"/>
      <c r="B251" s="69"/>
      <c r="C251" s="30"/>
      <c r="D251" s="70"/>
      <c r="E251" s="69"/>
      <c r="F251" s="70"/>
      <c r="G251" s="30"/>
      <c r="H251" s="63" t="str">
        <f>IF(OR(C251="",D251=""),"",C251*D251)</f>
        <v/>
      </c>
      <c r="I251" s="63" t="str">
        <f>IF(OR(E251="",F251="",M251&lt;=0),"",M251*F251)</f>
        <v/>
      </c>
      <c r="J251" s="63" t="str">
        <f>IF(I251="","",I251-(M251*D251))</f>
        <v/>
      </c>
      <c r="K251" s="28" t="str">
        <f>IF(A251="","",IF(T251&gt;0,"Yes","No"))</f>
        <v/>
      </c>
      <c r="L251" s="28" t="str">
        <f>IF(A251="","",A251&amp;"-"&amp;TEXT(B251,"yyyymmdd")&amp;"-R"&amp;ROW())</f>
        <v/>
      </c>
      <c r="M251" s="28" t="str">
        <f>IF(OR(C251="",G251=""),"",C251-G251)</f>
        <v/>
      </c>
      <c r="N251" s="63" t="str">
        <f>IF(OR(M251&lt;=0,J251&gt;=0),"",ABS(J251)/M251)</f>
        <v/>
      </c>
      <c r="O251" s="63" t="str">
        <f>IF(OR(A251="",M251&lt;=0,J251&gt;=0),"",MIN(M251,SUMPRODUCT(($A$18:$A$379=A251)*(IFERROR($B$18:$B$379&gt;=E251-30,0))*(IFERROR($B$18:$B$379&lt;=E251+30,0))*($G$18:$G$379&gt;0)*($L$18:$L$379&lt;&gt;L251)*($G$18:$G$379))+SUMPRODUCT(($A$381:$A$498=A251)*(IFERROR($B$381:$B$498&gt;=E251-30,0))*(IFERROR($B$381:$B$498&lt;=E251+30,0))*($G$381:$G$498&gt;0)*($L$381:$L$498&lt;&gt;L251)*($G$381:$G$498))))</f>
        <v/>
      </c>
      <c r="P251" s="28" t="str">
        <f>IF(OR(A251="",M251&lt;=0,J251&gt;=0),"",SUMPRODUCT(($A$18:$A$379=A251)*(IFERROR($B$18:$B$379&gt;=E251-30,0))*(IFERROR($B$18:$B$379&lt;=E251+30,0))*($G$18:$G$379&gt;0)*($L$18:$L$379&lt;&gt;L251))+SUMPRODUCT(($A$381:$A$498=A251)*(IFERROR($B$381:$B$498&gt;=E251-30,0))*(IFERROR($B$381:$B$498&lt;=E251+30,0))*($G$381:$G$498&gt;0)*($L$381:$L$498&lt;&gt;L251)))</f>
        <v/>
      </c>
      <c r="Q251" s="31" t="str">
        <f>IF(P251=1,IFERROR(INDEX($L$18:$L$379,MATCH(1,INDEX(($A$18:$A$379=A251)*(IFERROR($B$18:$B$379&gt;=E251-30,0))*(IFERROR($B$18:$B$379&lt;=E251+30,0))*($G$18:$G$379&gt;0)*($L$18:$L$379&lt;&gt;L251),0),0)),IFERROR(INDEX($L$381:$L$498,MATCH(1,INDEX(($A$381:$A$498=A251)*(IFERROR($B$381:$B$498&gt;=E251-30,0))*(IFERROR($B$381:$B$498&lt;=E251+30,0))*($G$381:$G$498&gt;0)*($L$381:$L$498&lt;&gt;L251),0),0)),"")),"")</f>
        <v/>
      </c>
      <c r="R251" s="32"/>
      <c r="S251" s="31" t="str">
        <f>IF(R251&lt;&gt;"",R251,Q251)</f>
        <v/>
      </c>
      <c r="T251" s="63">
        <f>IF(OR(N251="",O251=0),0,N251*O251)</f>
        <v>0</v>
      </c>
      <c r="U251" s="63">
        <f>IF(COUNTIF($S$18:$S$498,L251)=0,"",SUMIF($S$18:$S$498,L251,$T$18:$T$498))</f>
        <v>0</v>
      </c>
      <c r="V251" s="63" t="str">
        <f>IF(H251="","",IFERROR(H251+U251,H251))</f>
        <v/>
      </c>
      <c r="W251" s="63" t="str">
        <f>IF(OR(V251="",C251=""),"",V251/C251)</f>
        <v/>
      </c>
      <c r="X251" s="11" t="str">
        <f>IF(A251="","",IF(AND(U251&lt;&gt;"",U251&lt;&gt;0,M251=0),"Replacement lot receiving wash basis",IF(J251="","",IF(J251&gt;=0,"",IF(O251=0,"No replacement buy found",IF(P251&gt;1,"Manual selection needed","Auto matched"))))))</f>
        <v/>
      </c>
      <c r="Z251" t="str">
        <f>IF(K251="Yes",COUNTIF($K$18:K251,"Yes"),"")</f>
        <v/>
      </c>
    </row>
    <row r="252" spans="1:26" ht="34.15" customHeight="1" x14ac:dyDescent="0.2">
      <c r="A252" s="9"/>
      <c r="B252" s="69"/>
      <c r="C252" s="30"/>
      <c r="D252" s="70"/>
      <c r="E252" s="69"/>
      <c r="F252" s="70"/>
      <c r="G252" s="30"/>
      <c r="H252" s="63" t="str">
        <f>IF(OR(C252="",D252=""),"",C252*D252)</f>
        <v/>
      </c>
      <c r="I252" s="63" t="str">
        <f>IF(OR(E252="",F252="",M252&lt;=0),"",M252*F252)</f>
        <v/>
      </c>
      <c r="J252" s="63" t="str">
        <f>IF(I252="","",I252-(M252*D252))</f>
        <v/>
      </c>
      <c r="K252" s="28" t="str">
        <f>IF(A252="","",IF(T252&gt;0,"Yes","No"))</f>
        <v/>
      </c>
      <c r="L252" s="28" t="str">
        <f>IF(A252="","",A252&amp;"-"&amp;TEXT(B252,"yyyymmdd")&amp;"-R"&amp;ROW())</f>
        <v/>
      </c>
      <c r="M252" s="28" t="str">
        <f>IF(OR(C252="",G252=""),"",C252-G252)</f>
        <v/>
      </c>
      <c r="N252" s="63" t="str">
        <f>IF(OR(M252&lt;=0,J252&gt;=0),"",ABS(J252)/M252)</f>
        <v/>
      </c>
      <c r="O252" s="63" t="str">
        <f>IF(OR(A252="",M252&lt;=0,J252&gt;=0),"",MIN(M252,SUMPRODUCT(($A$18:$A$379=A252)*(IFERROR($B$18:$B$379&gt;=E252-30,0))*(IFERROR($B$18:$B$379&lt;=E252+30,0))*($G$18:$G$379&gt;0)*($L$18:$L$379&lt;&gt;L252)*($G$18:$G$379))+SUMPRODUCT(($A$381:$A$498=A252)*(IFERROR($B$381:$B$498&gt;=E252-30,0))*(IFERROR($B$381:$B$498&lt;=E252+30,0))*($G$381:$G$498&gt;0)*($L$381:$L$498&lt;&gt;L252)*($G$381:$G$498))))</f>
        <v/>
      </c>
      <c r="P252" s="28" t="str">
        <f>IF(OR(A252="",M252&lt;=0,J252&gt;=0),"",SUMPRODUCT(($A$18:$A$379=A252)*(IFERROR($B$18:$B$379&gt;=E252-30,0))*(IFERROR($B$18:$B$379&lt;=E252+30,0))*($G$18:$G$379&gt;0)*($L$18:$L$379&lt;&gt;L252))+SUMPRODUCT(($A$381:$A$498=A252)*(IFERROR($B$381:$B$498&gt;=E252-30,0))*(IFERROR($B$381:$B$498&lt;=E252+30,0))*($G$381:$G$498&gt;0)*($L$381:$L$498&lt;&gt;L252)))</f>
        <v/>
      </c>
      <c r="Q252" s="31" t="str">
        <f>IF(P252=1,IFERROR(INDEX($L$18:$L$379,MATCH(1,INDEX(($A$18:$A$379=A252)*(IFERROR($B$18:$B$379&gt;=E252-30,0))*(IFERROR($B$18:$B$379&lt;=E252+30,0))*($G$18:$G$379&gt;0)*($L$18:$L$379&lt;&gt;L252),0),0)),IFERROR(INDEX($L$381:$L$498,MATCH(1,INDEX(($A$381:$A$498=A252)*(IFERROR($B$381:$B$498&gt;=E252-30,0))*(IFERROR($B$381:$B$498&lt;=E252+30,0))*($G$381:$G$498&gt;0)*($L$381:$L$498&lt;&gt;L252),0),0)),"")),"")</f>
        <v/>
      </c>
      <c r="R252" s="32"/>
      <c r="S252" s="31" t="str">
        <f>IF(R252&lt;&gt;"",R252,Q252)</f>
        <v/>
      </c>
      <c r="T252" s="63">
        <f>IF(OR(N252="",O252=0),0,N252*O252)</f>
        <v>0</v>
      </c>
      <c r="U252" s="63">
        <f>IF(COUNTIF($S$18:$S$498,L252)=0,"",SUMIF($S$18:$S$498,L252,$T$18:$T$498))</f>
        <v>0</v>
      </c>
      <c r="V252" s="63" t="str">
        <f>IF(H252="","",IFERROR(H252+U252,H252))</f>
        <v/>
      </c>
      <c r="W252" s="63" t="str">
        <f>IF(OR(V252="",C252=""),"",V252/C252)</f>
        <v/>
      </c>
      <c r="X252" s="11" t="str">
        <f>IF(A252="","",IF(AND(U252&lt;&gt;"",U252&lt;&gt;0,M252=0),"Replacement lot receiving wash basis",IF(J252="","",IF(J252&gt;=0,"",IF(O252=0,"No replacement buy found",IF(P252&gt;1,"Manual selection needed","Auto matched"))))))</f>
        <v/>
      </c>
      <c r="Z252" t="str">
        <f>IF(K252="Yes",COUNTIF($K$18:K252,"Yes"),"")</f>
        <v/>
      </c>
    </row>
    <row r="253" spans="1:26" ht="34.15" customHeight="1" x14ac:dyDescent="0.2">
      <c r="A253" s="9"/>
      <c r="B253" s="69"/>
      <c r="C253" s="30"/>
      <c r="D253" s="70"/>
      <c r="E253" s="69"/>
      <c r="F253" s="70"/>
      <c r="G253" s="30"/>
      <c r="H253" s="63" t="str">
        <f>IF(OR(C253="",D253=""),"",C253*D253)</f>
        <v/>
      </c>
      <c r="I253" s="63" t="str">
        <f>IF(OR(E253="",F253="",M253&lt;=0),"",M253*F253)</f>
        <v/>
      </c>
      <c r="J253" s="63" t="str">
        <f>IF(I253="","",I253-(M253*D253))</f>
        <v/>
      </c>
      <c r="K253" s="28" t="str">
        <f>IF(A253="","",IF(T253&gt;0,"Yes","No"))</f>
        <v/>
      </c>
      <c r="L253" s="28" t="str">
        <f>IF(A253="","",A253&amp;"-"&amp;TEXT(B253,"yyyymmdd")&amp;"-R"&amp;ROW())</f>
        <v/>
      </c>
      <c r="M253" s="28" t="str">
        <f>IF(OR(C253="",G253=""),"",C253-G253)</f>
        <v/>
      </c>
      <c r="N253" s="63" t="str">
        <f>IF(OR(M253&lt;=0,J253&gt;=0),"",ABS(J253)/M253)</f>
        <v/>
      </c>
      <c r="O253" s="63" t="str">
        <f>IF(OR(A253="",M253&lt;=0,J253&gt;=0),"",MIN(M253,SUMPRODUCT(($A$18:$A$379=A253)*(IFERROR($B$18:$B$379&gt;=E253-30,0))*(IFERROR($B$18:$B$379&lt;=E253+30,0))*($G$18:$G$379&gt;0)*($L$18:$L$379&lt;&gt;L253)*($G$18:$G$379))+SUMPRODUCT(($A$381:$A$498=A253)*(IFERROR($B$381:$B$498&gt;=E253-30,0))*(IFERROR($B$381:$B$498&lt;=E253+30,0))*($G$381:$G$498&gt;0)*($L$381:$L$498&lt;&gt;L253)*($G$381:$G$498))))</f>
        <v/>
      </c>
      <c r="P253" s="28" t="str">
        <f>IF(OR(A253="",M253&lt;=0,J253&gt;=0),"",SUMPRODUCT(($A$18:$A$379=A253)*(IFERROR($B$18:$B$379&gt;=E253-30,0))*(IFERROR($B$18:$B$379&lt;=E253+30,0))*($G$18:$G$379&gt;0)*($L$18:$L$379&lt;&gt;L253))+SUMPRODUCT(($A$381:$A$498=A253)*(IFERROR($B$381:$B$498&gt;=E253-30,0))*(IFERROR($B$381:$B$498&lt;=E253+30,0))*($G$381:$G$498&gt;0)*($L$381:$L$498&lt;&gt;L253)))</f>
        <v/>
      </c>
      <c r="Q253" s="31" t="str">
        <f>IF(P253=1,IFERROR(INDEX($L$18:$L$379,MATCH(1,INDEX(($A$18:$A$379=A253)*(IFERROR($B$18:$B$379&gt;=E253-30,0))*(IFERROR($B$18:$B$379&lt;=E253+30,0))*($G$18:$G$379&gt;0)*($L$18:$L$379&lt;&gt;L253),0),0)),IFERROR(INDEX($L$381:$L$498,MATCH(1,INDEX(($A$381:$A$498=A253)*(IFERROR($B$381:$B$498&gt;=E253-30,0))*(IFERROR($B$381:$B$498&lt;=E253+30,0))*($G$381:$G$498&gt;0)*($L$381:$L$498&lt;&gt;L253),0),0)),"")),"")</f>
        <v/>
      </c>
      <c r="R253" s="32"/>
      <c r="S253" s="31" t="str">
        <f>IF(R253&lt;&gt;"",R253,Q253)</f>
        <v/>
      </c>
      <c r="T253" s="63">
        <f>IF(OR(N253="",O253=0),0,N253*O253)</f>
        <v>0</v>
      </c>
      <c r="U253" s="63">
        <f>IF(COUNTIF($S$18:$S$498,L253)=0,"",SUMIF($S$18:$S$498,L253,$T$18:$T$498))</f>
        <v>0</v>
      </c>
      <c r="V253" s="63" t="str">
        <f>IF(H253="","",IFERROR(H253+U253,H253))</f>
        <v/>
      </c>
      <c r="W253" s="63" t="str">
        <f>IF(OR(V253="",C253=""),"",V253/C253)</f>
        <v/>
      </c>
      <c r="X253" s="11" t="str">
        <f>IF(A253="","",IF(AND(U253&lt;&gt;"",U253&lt;&gt;0,M253=0),"Replacement lot receiving wash basis",IF(J253="","",IF(J253&gt;=0,"",IF(O253=0,"No replacement buy found",IF(P253&gt;1,"Manual selection needed","Auto matched"))))))</f>
        <v/>
      </c>
      <c r="Z253" t="str">
        <f>IF(K253="Yes",COUNTIF($K$18:K253,"Yes"),"")</f>
        <v/>
      </c>
    </row>
    <row r="254" spans="1:26" ht="34.15" customHeight="1" x14ac:dyDescent="0.2">
      <c r="A254" s="9"/>
      <c r="B254" s="69"/>
      <c r="C254" s="30"/>
      <c r="D254" s="70"/>
      <c r="E254" s="69"/>
      <c r="F254" s="70"/>
      <c r="G254" s="30"/>
      <c r="H254" s="63" t="str">
        <f>IF(OR(C254="",D254=""),"",C254*D254)</f>
        <v/>
      </c>
      <c r="I254" s="63" t="str">
        <f>IF(OR(E254="",F254="",M254&lt;=0),"",M254*F254)</f>
        <v/>
      </c>
      <c r="J254" s="63" t="str">
        <f>IF(I254="","",I254-(M254*D254))</f>
        <v/>
      </c>
      <c r="K254" s="28" t="str">
        <f>IF(A254="","",IF(T254&gt;0,"Yes","No"))</f>
        <v/>
      </c>
      <c r="L254" s="28" t="str">
        <f>IF(A254="","",A254&amp;"-"&amp;TEXT(B254,"yyyymmdd")&amp;"-R"&amp;ROW())</f>
        <v/>
      </c>
      <c r="M254" s="28" t="str">
        <f>IF(OR(C254="",G254=""),"",C254-G254)</f>
        <v/>
      </c>
      <c r="N254" s="63" t="str">
        <f>IF(OR(M254&lt;=0,J254&gt;=0),"",ABS(J254)/M254)</f>
        <v/>
      </c>
      <c r="O254" s="63" t="str">
        <f>IF(OR(A254="",M254&lt;=0,J254&gt;=0),"",MIN(M254,SUMPRODUCT(($A$18:$A$379=A254)*(IFERROR($B$18:$B$379&gt;=E254-30,0))*(IFERROR($B$18:$B$379&lt;=E254+30,0))*($G$18:$G$379&gt;0)*($L$18:$L$379&lt;&gt;L254)*($G$18:$G$379))+SUMPRODUCT(($A$381:$A$498=A254)*(IFERROR($B$381:$B$498&gt;=E254-30,0))*(IFERROR($B$381:$B$498&lt;=E254+30,0))*($G$381:$G$498&gt;0)*($L$381:$L$498&lt;&gt;L254)*($G$381:$G$498))))</f>
        <v/>
      </c>
      <c r="P254" s="28" t="str">
        <f>IF(OR(A254="",M254&lt;=0,J254&gt;=0),"",SUMPRODUCT(($A$18:$A$379=A254)*(IFERROR($B$18:$B$379&gt;=E254-30,0))*(IFERROR($B$18:$B$379&lt;=E254+30,0))*($G$18:$G$379&gt;0)*($L$18:$L$379&lt;&gt;L254))+SUMPRODUCT(($A$381:$A$498=A254)*(IFERROR($B$381:$B$498&gt;=E254-30,0))*(IFERROR($B$381:$B$498&lt;=E254+30,0))*($G$381:$G$498&gt;0)*($L$381:$L$498&lt;&gt;L254)))</f>
        <v/>
      </c>
      <c r="Q254" s="31" t="str">
        <f>IF(P254=1,IFERROR(INDEX($L$18:$L$379,MATCH(1,INDEX(($A$18:$A$379=A254)*(IFERROR($B$18:$B$379&gt;=E254-30,0))*(IFERROR($B$18:$B$379&lt;=E254+30,0))*($G$18:$G$379&gt;0)*($L$18:$L$379&lt;&gt;L254),0),0)),IFERROR(INDEX($L$381:$L$498,MATCH(1,INDEX(($A$381:$A$498=A254)*(IFERROR($B$381:$B$498&gt;=E254-30,0))*(IFERROR($B$381:$B$498&lt;=E254+30,0))*($G$381:$G$498&gt;0)*($L$381:$L$498&lt;&gt;L254),0),0)),"")),"")</f>
        <v/>
      </c>
      <c r="R254" s="32"/>
      <c r="S254" s="31" t="str">
        <f>IF(R254&lt;&gt;"",R254,Q254)</f>
        <v/>
      </c>
      <c r="T254" s="63">
        <f>IF(OR(N254="",O254=0),0,N254*O254)</f>
        <v>0</v>
      </c>
      <c r="U254" s="63">
        <f>IF(COUNTIF($S$18:$S$498,L254)=0,"",SUMIF($S$18:$S$498,L254,$T$18:$T$498))</f>
        <v>0</v>
      </c>
      <c r="V254" s="63" t="str">
        <f>IF(H254="","",IFERROR(H254+U254,H254))</f>
        <v/>
      </c>
      <c r="W254" s="63" t="str">
        <f>IF(OR(V254="",C254=""),"",V254/C254)</f>
        <v/>
      </c>
      <c r="X254" s="11" t="str">
        <f>IF(A254="","",IF(AND(U254&lt;&gt;"",U254&lt;&gt;0,M254=0),"Replacement lot receiving wash basis",IF(J254="","",IF(J254&gt;=0,"",IF(O254=0,"No replacement buy found",IF(P254&gt;1,"Manual selection needed","Auto matched"))))))</f>
        <v/>
      </c>
      <c r="Z254" t="str">
        <f>IF(K254="Yes",COUNTIF($K$18:K254,"Yes"),"")</f>
        <v/>
      </c>
    </row>
    <row r="255" spans="1:26" ht="34.15" customHeight="1" x14ac:dyDescent="0.2">
      <c r="A255" s="9"/>
      <c r="B255" s="69"/>
      <c r="C255" s="30"/>
      <c r="D255" s="70"/>
      <c r="E255" s="69"/>
      <c r="F255" s="70"/>
      <c r="G255" s="30"/>
      <c r="H255" s="63" t="str">
        <f>IF(OR(C255="",D255=""),"",C255*D255)</f>
        <v/>
      </c>
      <c r="I255" s="63" t="str">
        <f>IF(OR(E255="",F255="",M255&lt;=0),"",M255*F255)</f>
        <v/>
      </c>
      <c r="J255" s="63" t="str">
        <f>IF(I255="","",I255-(M255*D255))</f>
        <v/>
      </c>
      <c r="K255" s="28" t="str">
        <f>IF(A255="","",IF(T255&gt;0,"Yes","No"))</f>
        <v/>
      </c>
      <c r="L255" s="28" t="str">
        <f>IF(A255="","",A255&amp;"-"&amp;TEXT(B255,"yyyymmdd")&amp;"-R"&amp;ROW())</f>
        <v/>
      </c>
      <c r="M255" s="28" t="str">
        <f>IF(OR(C255="",G255=""),"",C255-G255)</f>
        <v/>
      </c>
      <c r="N255" s="63" t="str">
        <f>IF(OR(M255&lt;=0,J255&gt;=0),"",ABS(J255)/M255)</f>
        <v/>
      </c>
      <c r="O255" s="63" t="str">
        <f>IF(OR(A255="",M255&lt;=0,J255&gt;=0),"",MIN(M255,SUMPRODUCT(($A$18:$A$379=A255)*(IFERROR($B$18:$B$379&gt;=E255-30,0))*(IFERROR($B$18:$B$379&lt;=E255+30,0))*($G$18:$G$379&gt;0)*($L$18:$L$379&lt;&gt;L255)*($G$18:$G$379))+SUMPRODUCT(($A$381:$A$498=A255)*(IFERROR($B$381:$B$498&gt;=E255-30,0))*(IFERROR($B$381:$B$498&lt;=E255+30,0))*($G$381:$G$498&gt;0)*($L$381:$L$498&lt;&gt;L255)*($G$381:$G$498))))</f>
        <v/>
      </c>
      <c r="P255" s="28" t="str">
        <f>IF(OR(A255="",M255&lt;=0,J255&gt;=0),"",SUMPRODUCT(($A$18:$A$379=A255)*(IFERROR($B$18:$B$379&gt;=E255-30,0))*(IFERROR($B$18:$B$379&lt;=E255+30,0))*($G$18:$G$379&gt;0)*($L$18:$L$379&lt;&gt;L255))+SUMPRODUCT(($A$381:$A$498=A255)*(IFERROR($B$381:$B$498&gt;=E255-30,0))*(IFERROR($B$381:$B$498&lt;=E255+30,0))*($G$381:$G$498&gt;0)*($L$381:$L$498&lt;&gt;L255)))</f>
        <v/>
      </c>
      <c r="Q255" s="31" t="str">
        <f>IF(P255=1,IFERROR(INDEX($L$18:$L$379,MATCH(1,INDEX(($A$18:$A$379=A255)*(IFERROR($B$18:$B$379&gt;=E255-30,0))*(IFERROR($B$18:$B$379&lt;=E255+30,0))*($G$18:$G$379&gt;0)*($L$18:$L$379&lt;&gt;L255),0),0)),IFERROR(INDEX($L$381:$L$498,MATCH(1,INDEX(($A$381:$A$498=A255)*(IFERROR($B$381:$B$498&gt;=E255-30,0))*(IFERROR($B$381:$B$498&lt;=E255+30,0))*($G$381:$G$498&gt;0)*($L$381:$L$498&lt;&gt;L255),0),0)),"")),"")</f>
        <v/>
      </c>
      <c r="R255" s="32"/>
      <c r="S255" s="31" t="str">
        <f>IF(R255&lt;&gt;"",R255,Q255)</f>
        <v/>
      </c>
      <c r="T255" s="63">
        <f>IF(OR(N255="",O255=0),0,N255*O255)</f>
        <v>0</v>
      </c>
      <c r="U255" s="63">
        <f>IF(COUNTIF($S$18:$S$498,L255)=0,"",SUMIF($S$18:$S$498,L255,$T$18:$T$498))</f>
        <v>0</v>
      </c>
      <c r="V255" s="63" t="str">
        <f>IF(H255="","",IFERROR(H255+U255,H255))</f>
        <v/>
      </c>
      <c r="W255" s="63" t="str">
        <f>IF(OR(V255="",C255=""),"",V255/C255)</f>
        <v/>
      </c>
      <c r="X255" s="11" t="str">
        <f>IF(A255="","",IF(AND(U255&lt;&gt;"",U255&lt;&gt;0,M255=0),"Replacement lot receiving wash basis",IF(J255="","",IF(J255&gt;=0,"",IF(O255=0,"No replacement buy found",IF(P255&gt;1,"Manual selection needed","Auto matched"))))))</f>
        <v/>
      </c>
      <c r="Z255" t="str">
        <f>IF(K255="Yes",COUNTIF($K$18:K255,"Yes"),"")</f>
        <v/>
      </c>
    </row>
    <row r="256" spans="1:26" ht="34.15" customHeight="1" x14ac:dyDescent="0.2">
      <c r="A256" s="9"/>
      <c r="B256" s="69"/>
      <c r="C256" s="30"/>
      <c r="D256" s="70"/>
      <c r="E256" s="69"/>
      <c r="F256" s="70"/>
      <c r="G256" s="30"/>
      <c r="H256" s="63" t="str">
        <f>IF(OR(C256="",D256=""),"",C256*D256)</f>
        <v/>
      </c>
      <c r="I256" s="63" t="str">
        <f>IF(OR(E256="",F256="",M256&lt;=0),"",M256*F256)</f>
        <v/>
      </c>
      <c r="J256" s="63" t="str">
        <f>IF(I256="","",I256-(M256*D256))</f>
        <v/>
      </c>
      <c r="K256" s="28" t="str">
        <f>IF(A256="","",IF(T256&gt;0,"Yes","No"))</f>
        <v/>
      </c>
      <c r="L256" s="28" t="str">
        <f>IF(A256="","",A256&amp;"-"&amp;TEXT(B256,"yyyymmdd")&amp;"-R"&amp;ROW())</f>
        <v/>
      </c>
      <c r="M256" s="28" t="str">
        <f>IF(OR(C256="",G256=""),"",C256-G256)</f>
        <v/>
      </c>
      <c r="N256" s="63" t="str">
        <f>IF(OR(M256&lt;=0,J256&gt;=0),"",ABS(J256)/M256)</f>
        <v/>
      </c>
      <c r="O256" s="63" t="str">
        <f>IF(OR(A256="",M256&lt;=0,J256&gt;=0),"",MIN(M256,SUMPRODUCT(($A$18:$A$379=A256)*(IFERROR($B$18:$B$379&gt;=E256-30,0))*(IFERROR($B$18:$B$379&lt;=E256+30,0))*($G$18:$G$379&gt;0)*($L$18:$L$379&lt;&gt;L256)*($G$18:$G$379))+SUMPRODUCT(($A$381:$A$498=A256)*(IFERROR($B$381:$B$498&gt;=E256-30,0))*(IFERROR($B$381:$B$498&lt;=E256+30,0))*($G$381:$G$498&gt;0)*($L$381:$L$498&lt;&gt;L256)*($G$381:$G$498))))</f>
        <v/>
      </c>
      <c r="P256" s="28" t="str">
        <f>IF(OR(A256="",M256&lt;=0,J256&gt;=0),"",SUMPRODUCT(($A$18:$A$379=A256)*(IFERROR($B$18:$B$379&gt;=E256-30,0))*(IFERROR($B$18:$B$379&lt;=E256+30,0))*($G$18:$G$379&gt;0)*($L$18:$L$379&lt;&gt;L256))+SUMPRODUCT(($A$381:$A$498=A256)*(IFERROR($B$381:$B$498&gt;=E256-30,0))*(IFERROR($B$381:$B$498&lt;=E256+30,0))*($G$381:$G$498&gt;0)*($L$381:$L$498&lt;&gt;L256)))</f>
        <v/>
      </c>
      <c r="Q256" s="31" t="str">
        <f>IF(P256=1,IFERROR(INDEX($L$18:$L$379,MATCH(1,INDEX(($A$18:$A$379=A256)*(IFERROR($B$18:$B$379&gt;=E256-30,0))*(IFERROR($B$18:$B$379&lt;=E256+30,0))*($G$18:$G$379&gt;0)*($L$18:$L$379&lt;&gt;L256),0),0)),IFERROR(INDEX($L$381:$L$498,MATCH(1,INDEX(($A$381:$A$498=A256)*(IFERROR($B$381:$B$498&gt;=E256-30,0))*(IFERROR($B$381:$B$498&lt;=E256+30,0))*($G$381:$G$498&gt;0)*($L$381:$L$498&lt;&gt;L256),0),0)),"")),"")</f>
        <v/>
      </c>
      <c r="R256" s="32"/>
      <c r="S256" s="31" t="str">
        <f>IF(R256&lt;&gt;"",R256,Q256)</f>
        <v/>
      </c>
      <c r="T256" s="63">
        <f>IF(OR(N256="",O256=0),0,N256*O256)</f>
        <v>0</v>
      </c>
      <c r="U256" s="63">
        <f>IF(COUNTIF($S$18:$S$498,L256)=0,"",SUMIF($S$18:$S$498,L256,$T$18:$T$498))</f>
        <v>0</v>
      </c>
      <c r="V256" s="63" t="str">
        <f>IF(H256="","",IFERROR(H256+U256,H256))</f>
        <v/>
      </c>
      <c r="W256" s="63" t="str">
        <f>IF(OR(V256="",C256=""),"",V256/C256)</f>
        <v/>
      </c>
      <c r="X256" s="11" t="str">
        <f>IF(A256="","",IF(AND(U256&lt;&gt;"",U256&lt;&gt;0,M256=0),"Replacement lot receiving wash basis",IF(J256="","",IF(J256&gt;=0,"",IF(O256=0,"No replacement buy found",IF(P256&gt;1,"Manual selection needed","Auto matched"))))))</f>
        <v/>
      </c>
      <c r="Z256" t="str">
        <f>IF(K256="Yes",COUNTIF($K$18:K256,"Yes"),"")</f>
        <v/>
      </c>
    </row>
    <row r="257" spans="1:26" ht="34.15" customHeight="1" x14ac:dyDescent="0.2">
      <c r="A257" s="9"/>
      <c r="B257" s="69"/>
      <c r="C257" s="30"/>
      <c r="D257" s="70"/>
      <c r="E257" s="69"/>
      <c r="F257" s="70"/>
      <c r="G257" s="30"/>
      <c r="H257" s="63" t="str">
        <f>IF(OR(C257="",D257=""),"",C257*D257)</f>
        <v/>
      </c>
      <c r="I257" s="63" t="str">
        <f>IF(OR(E257="",F257="",M257&lt;=0),"",M257*F257)</f>
        <v/>
      </c>
      <c r="J257" s="63" t="str">
        <f>IF(I257="","",I257-(M257*D257))</f>
        <v/>
      </c>
      <c r="K257" s="28" t="str">
        <f>IF(A257="","",IF(T257&gt;0,"Yes","No"))</f>
        <v/>
      </c>
      <c r="L257" s="28" t="str">
        <f>IF(A257="","",A257&amp;"-"&amp;TEXT(B257,"yyyymmdd")&amp;"-R"&amp;ROW())</f>
        <v/>
      </c>
      <c r="M257" s="28" t="str">
        <f>IF(OR(C257="",G257=""),"",C257-G257)</f>
        <v/>
      </c>
      <c r="N257" s="63" t="str">
        <f>IF(OR(M257&lt;=0,J257&gt;=0),"",ABS(J257)/M257)</f>
        <v/>
      </c>
      <c r="O257" s="63" t="str">
        <f>IF(OR(A257="",M257&lt;=0,J257&gt;=0),"",MIN(M257,SUMPRODUCT(($A$18:$A$379=A257)*(IFERROR($B$18:$B$379&gt;=E257-30,0))*(IFERROR($B$18:$B$379&lt;=E257+30,0))*($G$18:$G$379&gt;0)*($L$18:$L$379&lt;&gt;L257)*($G$18:$G$379))+SUMPRODUCT(($A$381:$A$498=A257)*(IFERROR($B$381:$B$498&gt;=E257-30,0))*(IFERROR($B$381:$B$498&lt;=E257+30,0))*($G$381:$G$498&gt;0)*($L$381:$L$498&lt;&gt;L257)*($G$381:$G$498))))</f>
        <v/>
      </c>
      <c r="P257" s="28" t="str">
        <f>IF(OR(A257="",M257&lt;=0,J257&gt;=0),"",SUMPRODUCT(($A$18:$A$379=A257)*(IFERROR($B$18:$B$379&gt;=E257-30,0))*(IFERROR($B$18:$B$379&lt;=E257+30,0))*($G$18:$G$379&gt;0)*($L$18:$L$379&lt;&gt;L257))+SUMPRODUCT(($A$381:$A$498=A257)*(IFERROR($B$381:$B$498&gt;=E257-30,0))*(IFERROR($B$381:$B$498&lt;=E257+30,0))*($G$381:$G$498&gt;0)*($L$381:$L$498&lt;&gt;L257)))</f>
        <v/>
      </c>
      <c r="Q257" s="31" t="str">
        <f>IF(P257=1,IFERROR(INDEX($L$18:$L$379,MATCH(1,INDEX(($A$18:$A$379=A257)*(IFERROR($B$18:$B$379&gt;=E257-30,0))*(IFERROR($B$18:$B$379&lt;=E257+30,0))*($G$18:$G$379&gt;0)*($L$18:$L$379&lt;&gt;L257),0),0)),IFERROR(INDEX($L$381:$L$498,MATCH(1,INDEX(($A$381:$A$498=A257)*(IFERROR($B$381:$B$498&gt;=E257-30,0))*(IFERROR($B$381:$B$498&lt;=E257+30,0))*($G$381:$G$498&gt;0)*($L$381:$L$498&lt;&gt;L257),0),0)),"")),"")</f>
        <v/>
      </c>
      <c r="R257" s="32"/>
      <c r="S257" s="31" t="str">
        <f>IF(R257&lt;&gt;"",R257,Q257)</f>
        <v/>
      </c>
      <c r="T257" s="63">
        <f>IF(OR(N257="",O257=0),0,N257*O257)</f>
        <v>0</v>
      </c>
      <c r="U257" s="63">
        <f>IF(COUNTIF($S$18:$S$498,L257)=0,"",SUMIF($S$18:$S$498,L257,$T$18:$T$498))</f>
        <v>0</v>
      </c>
      <c r="V257" s="63" t="str">
        <f>IF(H257="","",IFERROR(H257+U257,H257))</f>
        <v/>
      </c>
      <c r="W257" s="63" t="str">
        <f>IF(OR(V257="",C257=""),"",V257/C257)</f>
        <v/>
      </c>
      <c r="X257" s="11" t="str">
        <f>IF(A257="","",IF(AND(U257&lt;&gt;"",U257&lt;&gt;0,M257=0),"Replacement lot receiving wash basis",IF(J257="","",IF(J257&gt;=0,"",IF(O257=0,"No replacement buy found",IF(P257&gt;1,"Manual selection needed","Auto matched"))))))</f>
        <v/>
      </c>
      <c r="Z257" t="str">
        <f>IF(K257="Yes",COUNTIF($K$18:K257,"Yes"),"")</f>
        <v/>
      </c>
    </row>
    <row r="258" spans="1:26" ht="34.15" customHeight="1" x14ac:dyDescent="0.2">
      <c r="A258" s="9"/>
      <c r="B258" s="69"/>
      <c r="C258" s="30"/>
      <c r="D258" s="70"/>
      <c r="E258" s="69"/>
      <c r="F258" s="70"/>
      <c r="G258" s="30"/>
      <c r="H258" s="63" t="str">
        <f>IF(OR(C258="",D258=""),"",C258*D258)</f>
        <v/>
      </c>
      <c r="I258" s="63" t="str">
        <f>IF(OR(E258="",F258="",M258&lt;=0),"",M258*F258)</f>
        <v/>
      </c>
      <c r="J258" s="63" t="str">
        <f>IF(I258="","",I258-(M258*D258))</f>
        <v/>
      </c>
      <c r="K258" s="28" t="str">
        <f>IF(A258="","",IF(T258&gt;0,"Yes","No"))</f>
        <v/>
      </c>
      <c r="L258" s="28" t="str">
        <f>IF(A258="","",A258&amp;"-"&amp;TEXT(B258,"yyyymmdd")&amp;"-R"&amp;ROW())</f>
        <v/>
      </c>
      <c r="M258" s="28" t="str">
        <f>IF(OR(C258="",G258=""),"",C258-G258)</f>
        <v/>
      </c>
      <c r="N258" s="63" t="str">
        <f>IF(OR(M258&lt;=0,J258&gt;=0),"",ABS(J258)/M258)</f>
        <v/>
      </c>
      <c r="O258" s="63" t="str">
        <f>IF(OR(A258="",M258&lt;=0,J258&gt;=0),"",MIN(M258,SUMPRODUCT(($A$18:$A$379=A258)*(IFERROR($B$18:$B$379&gt;=E258-30,0))*(IFERROR($B$18:$B$379&lt;=E258+30,0))*($G$18:$G$379&gt;0)*($L$18:$L$379&lt;&gt;L258)*($G$18:$G$379))+SUMPRODUCT(($A$381:$A$498=A258)*(IFERROR($B$381:$B$498&gt;=E258-30,0))*(IFERROR($B$381:$B$498&lt;=E258+30,0))*($G$381:$G$498&gt;0)*($L$381:$L$498&lt;&gt;L258)*($G$381:$G$498))))</f>
        <v/>
      </c>
      <c r="P258" s="28" t="str">
        <f>IF(OR(A258="",M258&lt;=0,J258&gt;=0),"",SUMPRODUCT(($A$18:$A$379=A258)*(IFERROR($B$18:$B$379&gt;=E258-30,0))*(IFERROR($B$18:$B$379&lt;=E258+30,0))*($G$18:$G$379&gt;0)*($L$18:$L$379&lt;&gt;L258))+SUMPRODUCT(($A$381:$A$498=A258)*(IFERROR($B$381:$B$498&gt;=E258-30,0))*(IFERROR($B$381:$B$498&lt;=E258+30,0))*($G$381:$G$498&gt;0)*($L$381:$L$498&lt;&gt;L258)))</f>
        <v/>
      </c>
      <c r="Q258" s="31" t="str">
        <f>IF(P258=1,IFERROR(INDEX($L$18:$L$379,MATCH(1,INDEX(($A$18:$A$379=A258)*(IFERROR($B$18:$B$379&gt;=E258-30,0))*(IFERROR($B$18:$B$379&lt;=E258+30,0))*($G$18:$G$379&gt;0)*($L$18:$L$379&lt;&gt;L258),0),0)),IFERROR(INDEX($L$381:$L$498,MATCH(1,INDEX(($A$381:$A$498=A258)*(IFERROR($B$381:$B$498&gt;=E258-30,0))*(IFERROR($B$381:$B$498&lt;=E258+30,0))*($G$381:$G$498&gt;0)*($L$381:$L$498&lt;&gt;L258),0),0)),"")),"")</f>
        <v/>
      </c>
      <c r="R258" s="32"/>
      <c r="S258" s="31" t="str">
        <f>IF(R258&lt;&gt;"",R258,Q258)</f>
        <v/>
      </c>
      <c r="T258" s="63">
        <f>IF(OR(N258="",O258=0),0,N258*O258)</f>
        <v>0</v>
      </c>
      <c r="U258" s="63">
        <f>IF(COUNTIF($S$18:$S$498,L258)=0,"",SUMIF($S$18:$S$498,L258,$T$18:$T$498))</f>
        <v>0</v>
      </c>
      <c r="V258" s="63" t="str">
        <f>IF(H258="","",IFERROR(H258+U258,H258))</f>
        <v/>
      </c>
      <c r="W258" s="63" t="str">
        <f>IF(OR(V258="",C258=""),"",V258/C258)</f>
        <v/>
      </c>
      <c r="X258" s="11" t="str">
        <f>IF(A258="","",IF(AND(U258&lt;&gt;"",U258&lt;&gt;0,M258=0),"Replacement lot receiving wash basis",IF(J258="","",IF(J258&gt;=0,"",IF(O258=0,"No replacement buy found",IF(P258&gt;1,"Manual selection needed","Auto matched"))))))</f>
        <v/>
      </c>
      <c r="Z258" t="str">
        <f>IF(K258="Yes",COUNTIF($K$18:K258,"Yes"),"")</f>
        <v/>
      </c>
    </row>
    <row r="259" spans="1:26" ht="34.15" customHeight="1" x14ac:dyDescent="0.2">
      <c r="A259" s="9"/>
      <c r="B259" s="69"/>
      <c r="C259" s="30"/>
      <c r="D259" s="70"/>
      <c r="E259" s="69"/>
      <c r="F259" s="70"/>
      <c r="G259" s="30"/>
      <c r="H259" s="63" t="str">
        <f>IF(OR(C259="",D259=""),"",C259*D259)</f>
        <v/>
      </c>
      <c r="I259" s="63" t="str">
        <f>IF(OR(E259="",F259="",M259&lt;=0),"",M259*F259)</f>
        <v/>
      </c>
      <c r="J259" s="63" t="str">
        <f>IF(I259="","",I259-(M259*D259))</f>
        <v/>
      </c>
      <c r="K259" s="28" t="str">
        <f>IF(A259="","",IF(T259&gt;0,"Yes","No"))</f>
        <v/>
      </c>
      <c r="L259" s="28" t="str">
        <f>IF(A259="","",A259&amp;"-"&amp;TEXT(B259,"yyyymmdd")&amp;"-R"&amp;ROW())</f>
        <v/>
      </c>
      <c r="M259" s="28" t="str">
        <f>IF(OR(C259="",G259=""),"",C259-G259)</f>
        <v/>
      </c>
      <c r="N259" s="63" t="str">
        <f>IF(OR(M259&lt;=0,J259&gt;=0),"",ABS(J259)/M259)</f>
        <v/>
      </c>
      <c r="O259" s="63" t="str">
        <f>IF(OR(A259="",M259&lt;=0,J259&gt;=0),"",MIN(M259,SUMPRODUCT(($A$18:$A$379=A259)*(IFERROR($B$18:$B$379&gt;=E259-30,0))*(IFERROR($B$18:$B$379&lt;=E259+30,0))*($G$18:$G$379&gt;0)*($L$18:$L$379&lt;&gt;L259)*($G$18:$G$379))+SUMPRODUCT(($A$381:$A$498=A259)*(IFERROR($B$381:$B$498&gt;=E259-30,0))*(IFERROR($B$381:$B$498&lt;=E259+30,0))*($G$381:$G$498&gt;0)*($L$381:$L$498&lt;&gt;L259)*($G$381:$G$498))))</f>
        <v/>
      </c>
      <c r="P259" s="28" t="str">
        <f>IF(OR(A259="",M259&lt;=0,J259&gt;=0),"",SUMPRODUCT(($A$18:$A$379=A259)*(IFERROR($B$18:$B$379&gt;=E259-30,0))*(IFERROR($B$18:$B$379&lt;=E259+30,0))*($G$18:$G$379&gt;0)*($L$18:$L$379&lt;&gt;L259))+SUMPRODUCT(($A$381:$A$498=A259)*(IFERROR($B$381:$B$498&gt;=E259-30,0))*(IFERROR($B$381:$B$498&lt;=E259+30,0))*($G$381:$G$498&gt;0)*($L$381:$L$498&lt;&gt;L259)))</f>
        <v/>
      </c>
      <c r="Q259" s="31" t="str">
        <f>IF(P259=1,IFERROR(INDEX($L$18:$L$379,MATCH(1,INDEX(($A$18:$A$379=A259)*(IFERROR($B$18:$B$379&gt;=E259-30,0))*(IFERROR($B$18:$B$379&lt;=E259+30,0))*($G$18:$G$379&gt;0)*($L$18:$L$379&lt;&gt;L259),0),0)),IFERROR(INDEX($L$381:$L$498,MATCH(1,INDEX(($A$381:$A$498=A259)*(IFERROR($B$381:$B$498&gt;=E259-30,0))*(IFERROR($B$381:$B$498&lt;=E259+30,0))*($G$381:$G$498&gt;0)*($L$381:$L$498&lt;&gt;L259),0),0)),"")),"")</f>
        <v/>
      </c>
      <c r="R259" s="32"/>
      <c r="S259" s="31" t="str">
        <f>IF(R259&lt;&gt;"",R259,Q259)</f>
        <v/>
      </c>
      <c r="T259" s="63">
        <f>IF(OR(N259="",O259=0),0,N259*O259)</f>
        <v>0</v>
      </c>
      <c r="U259" s="63">
        <f>IF(COUNTIF($S$18:$S$498,L259)=0,"",SUMIF($S$18:$S$498,L259,$T$18:$T$498))</f>
        <v>0</v>
      </c>
      <c r="V259" s="63" t="str">
        <f>IF(H259="","",IFERROR(H259+U259,H259))</f>
        <v/>
      </c>
      <c r="W259" s="63" t="str">
        <f>IF(OR(V259="",C259=""),"",V259/C259)</f>
        <v/>
      </c>
      <c r="X259" s="11" t="str">
        <f>IF(A259="","",IF(AND(U259&lt;&gt;"",U259&lt;&gt;0,M259=0),"Replacement lot receiving wash basis",IF(J259="","",IF(J259&gt;=0,"",IF(O259=0,"No replacement buy found",IF(P259&gt;1,"Manual selection needed","Auto matched"))))))</f>
        <v/>
      </c>
      <c r="Z259" t="str">
        <f>IF(K259="Yes",COUNTIF($K$18:K259,"Yes"),"")</f>
        <v/>
      </c>
    </row>
    <row r="260" spans="1:26" ht="34.15" customHeight="1" x14ac:dyDescent="0.2">
      <c r="A260" s="9"/>
      <c r="B260" s="69"/>
      <c r="C260" s="30"/>
      <c r="D260" s="70"/>
      <c r="E260" s="69"/>
      <c r="F260" s="70"/>
      <c r="G260" s="30"/>
      <c r="H260" s="63" t="str">
        <f>IF(OR(C260="",D260=""),"",C260*D260)</f>
        <v/>
      </c>
      <c r="I260" s="63" t="str">
        <f>IF(OR(E260="",F260="",M260&lt;=0),"",M260*F260)</f>
        <v/>
      </c>
      <c r="J260" s="63" t="str">
        <f>IF(I260="","",I260-(M260*D260))</f>
        <v/>
      </c>
      <c r="K260" s="28" t="str">
        <f>IF(A260="","",IF(T260&gt;0,"Yes","No"))</f>
        <v/>
      </c>
      <c r="L260" s="28" t="str">
        <f>IF(A260="","",A260&amp;"-"&amp;TEXT(B260,"yyyymmdd")&amp;"-R"&amp;ROW())</f>
        <v/>
      </c>
      <c r="M260" s="28" t="str">
        <f>IF(OR(C260="",G260=""),"",C260-G260)</f>
        <v/>
      </c>
      <c r="N260" s="63" t="str">
        <f>IF(OR(M260&lt;=0,J260&gt;=0),"",ABS(J260)/M260)</f>
        <v/>
      </c>
      <c r="O260" s="63" t="str">
        <f>IF(OR(A260="",M260&lt;=0,J260&gt;=0),"",MIN(M260,SUMPRODUCT(($A$18:$A$379=A260)*(IFERROR($B$18:$B$379&gt;=E260-30,0))*(IFERROR($B$18:$B$379&lt;=E260+30,0))*($G$18:$G$379&gt;0)*($L$18:$L$379&lt;&gt;L260)*($G$18:$G$379))+SUMPRODUCT(($A$381:$A$498=A260)*(IFERROR($B$381:$B$498&gt;=E260-30,0))*(IFERROR($B$381:$B$498&lt;=E260+30,0))*($G$381:$G$498&gt;0)*($L$381:$L$498&lt;&gt;L260)*($G$381:$G$498))))</f>
        <v/>
      </c>
      <c r="P260" s="28" t="str">
        <f>IF(OR(A260="",M260&lt;=0,J260&gt;=0),"",SUMPRODUCT(($A$18:$A$379=A260)*(IFERROR($B$18:$B$379&gt;=E260-30,0))*(IFERROR($B$18:$B$379&lt;=E260+30,0))*($G$18:$G$379&gt;0)*($L$18:$L$379&lt;&gt;L260))+SUMPRODUCT(($A$381:$A$498=A260)*(IFERROR($B$381:$B$498&gt;=E260-30,0))*(IFERROR($B$381:$B$498&lt;=E260+30,0))*($G$381:$G$498&gt;0)*($L$381:$L$498&lt;&gt;L260)))</f>
        <v/>
      </c>
      <c r="Q260" s="31" t="str">
        <f>IF(P260=1,IFERROR(INDEX($L$18:$L$379,MATCH(1,INDEX(($A$18:$A$379=A260)*(IFERROR($B$18:$B$379&gt;=E260-30,0))*(IFERROR($B$18:$B$379&lt;=E260+30,0))*($G$18:$G$379&gt;0)*($L$18:$L$379&lt;&gt;L260),0),0)),IFERROR(INDEX($L$381:$L$498,MATCH(1,INDEX(($A$381:$A$498=A260)*(IFERROR($B$381:$B$498&gt;=E260-30,0))*(IFERROR($B$381:$B$498&lt;=E260+30,0))*($G$381:$G$498&gt;0)*($L$381:$L$498&lt;&gt;L260),0),0)),"")),"")</f>
        <v/>
      </c>
      <c r="R260" s="32"/>
      <c r="S260" s="31" t="str">
        <f>IF(R260&lt;&gt;"",R260,Q260)</f>
        <v/>
      </c>
      <c r="T260" s="63">
        <f>IF(OR(N260="",O260=0),0,N260*O260)</f>
        <v>0</v>
      </c>
      <c r="U260" s="63">
        <f>IF(COUNTIF($S$18:$S$498,L260)=0,"",SUMIF($S$18:$S$498,L260,$T$18:$T$498))</f>
        <v>0</v>
      </c>
      <c r="V260" s="63" t="str">
        <f>IF(H260="","",IFERROR(H260+U260,H260))</f>
        <v/>
      </c>
      <c r="W260" s="63" t="str">
        <f>IF(OR(V260="",C260=""),"",V260/C260)</f>
        <v/>
      </c>
      <c r="X260" s="11" t="str">
        <f>IF(A260="","",IF(AND(U260&lt;&gt;"",U260&lt;&gt;0,M260=0),"Replacement lot receiving wash basis",IF(J260="","",IF(J260&gt;=0,"",IF(O260=0,"No replacement buy found",IF(P260&gt;1,"Manual selection needed","Auto matched"))))))</f>
        <v/>
      </c>
      <c r="Z260" t="str">
        <f>IF(K260="Yes",COUNTIF($K$18:K260,"Yes"),"")</f>
        <v/>
      </c>
    </row>
    <row r="261" spans="1:26" ht="34.15" customHeight="1" x14ac:dyDescent="0.2">
      <c r="A261" s="9"/>
      <c r="B261" s="69"/>
      <c r="C261" s="30"/>
      <c r="D261" s="70"/>
      <c r="E261" s="69"/>
      <c r="F261" s="70"/>
      <c r="G261" s="30"/>
      <c r="H261" s="63" t="str">
        <f>IF(OR(C261="",D261=""),"",C261*D261)</f>
        <v/>
      </c>
      <c r="I261" s="63" t="str">
        <f>IF(OR(E261="",F261="",M261&lt;=0),"",M261*F261)</f>
        <v/>
      </c>
      <c r="J261" s="63" t="str">
        <f>IF(I261="","",I261-(M261*D261))</f>
        <v/>
      </c>
      <c r="K261" s="28" t="str">
        <f>IF(A261="","",IF(T261&gt;0,"Yes","No"))</f>
        <v/>
      </c>
      <c r="L261" s="28" t="str">
        <f>IF(A261="","",A261&amp;"-"&amp;TEXT(B261,"yyyymmdd")&amp;"-R"&amp;ROW())</f>
        <v/>
      </c>
      <c r="M261" s="28" t="str">
        <f>IF(OR(C261="",G261=""),"",C261-G261)</f>
        <v/>
      </c>
      <c r="N261" s="63" t="str">
        <f>IF(OR(M261&lt;=0,J261&gt;=0),"",ABS(J261)/M261)</f>
        <v/>
      </c>
      <c r="O261" s="63" t="str">
        <f>IF(OR(A261="",M261&lt;=0,J261&gt;=0),"",MIN(M261,SUMPRODUCT(($A$18:$A$379=A261)*(IFERROR($B$18:$B$379&gt;=E261-30,0))*(IFERROR($B$18:$B$379&lt;=E261+30,0))*($G$18:$G$379&gt;0)*($L$18:$L$379&lt;&gt;L261)*($G$18:$G$379))+SUMPRODUCT(($A$381:$A$498=A261)*(IFERROR($B$381:$B$498&gt;=E261-30,0))*(IFERROR($B$381:$B$498&lt;=E261+30,0))*($G$381:$G$498&gt;0)*($L$381:$L$498&lt;&gt;L261)*($G$381:$G$498))))</f>
        <v/>
      </c>
      <c r="P261" s="28" t="str">
        <f>IF(OR(A261="",M261&lt;=0,J261&gt;=0),"",SUMPRODUCT(($A$18:$A$379=A261)*(IFERROR($B$18:$B$379&gt;=E261-30,0))*(IFERROR($B$18:$B$379&lt;=E261+30,0))*($G$18:$G$379&gt;0)*($L$18:$L$379&lt;&gt;L261))+SUMPRODUCT(($A$381:$A$498=A261)*(IFERROR($B$381:$B$498&gt;=E261-30,0))*(IFERROR($B$381:$B$498&lt;=E261+30,0))*($G$381:$G$498&gt;0)*($L$381:$L$498&lt;&gt;L261)))</f>
        <v/>
      </c>
      <c r="Q261" s="31" t="str">
        <f>IF(P261=1,IFERROR(INDEX($L$18:$L$379,MATCH(1,INDEX(($A$18:$A$379=A261)*(IFERROR($B$18:$B$379&gt;=E261-30,0))*(IFERROR($B$18:$B$379&lt;=E261+30,0))*($G$18:$G$379&gt;0)*($L$18:$L$379&lt;&gt;L261),0),0)),IFERROR(INDEX($L$381:$L$498,MATCH(1,INDEX(($A$381:$A$498=A261)*(IFERROR($B$381:$B$498&gt;=E261-30,0))*(IFERROR($B$381:$B$498&lt;=E261+30,0))*($G$381:$G$498&gt;0)*($L$381:$L$498&lt;&gt;L261),0),0)),"")),"")</f>
        <v/>
      </c>
      <c r="R261" s="32"/>
      <c r="S261" s="31" t="str">
        <f>IF(R261&lt;&gt;"",R261,Q261)</f>
        <v/>
      </c>
      <c r="T261" s="63">
        <f>IF(OR(N261="",O261=0),0,N261*O261)</f>
        <v>0</v>
      </c>
      <c r="U261" s="63">
        <f>IF(COUNTIF($S$18:$S$498,L261)=0,"",SUMIF($S$18:$S$498,L261,$T$18:$T$498))</f>
        <v>0</v>
      </c>
      <c r="V261" s="63" t="str">
        <f>IF(H261="","",IFERROR(H261+U261,H261))</f>
        <v/>
      </c>
      <c r="W261" s="63" t="str">
        <f>IF(OR(V261="",C261=""),"",V261/C261)</f>
        <v/>
      </c>
      <c r="X261" s="11" t="str">
        <f>IF(A261="","",IF(AND(U261&lt;&gt;"",U261&lt;&gt;0,M261=0),"Replacement lot receiving wash basis",IF(J261="","",IF(J261&gt;=0,"",IF(O261=0,"No replacement buy found",IF(P261&gt;1,"Manual selection needed","Auto matched"))))))</f>
        <v/>
      </c>
      <c r="Z261" t="str">
        <f>IF(K261="Yes",COUNTIF($K$18:K261,"Yes"),"")</f>
        <v/>
      </c>
    </row>
    <row r="262" spans="1:26" ht="34.15" customHeight="1" x14ac:dyDescent="0.2">
      <c r="A262" s="9"/>
      <c r="B262" s="69"/>
      <c r="C262" s="30"/>
      <c r="D262" s="70"/>
      <c r="E262" s="69"/>
      <c r="F262" s="70"/>
      <c r="G262" s="30"/>
      <c r="H262" s="63" t="str">
        <f>IF(OR(C262="",D262=""),"",C262*D262)</f>
        <v/>
      </c>
      <c r="I262" s="63" t="str">
        <f>IF(OR(E262="",F262="",M262&lt;=0),"",M262*F262)</f>
        <v/>
      </c>
      <c r="J262" s="63" t="str">
        <f>IF(I262="","",I262-(M262*D262))</f>
        <v/>
      </c>
      <c r="K262" s="28" t="str">
        <f>IF(A262="","",IF(T262&gt;0,"Yes","No"))</f>
        <v/>
      </c>
      <c r="L262" s="28" t="str">
        <f>IF(A262="","",A262&amp;"-"&amp;TEXT(B262,"yyyymmdd")&amp;"-R"&amp;ROW())</f>
        <v/>
      </c>
      <c r="M262" s="28" t="str">
        <f>IF(OR(C262="",G262=""),"",C262-G262)</f>
        <v/>
      </c>
      <c r="N262" s="63" t="str">
        <f>IF(OR(M262&lt;=0,J262&gt;=0),"",ABS(J262)/M262)</f>
        <v/>
      </c>
      <c r="O262" s="63" t="str">
        <f>IF(OR(A262="",M262&lt;=0,J262&gt;=0),"",MIN(M262,SUMPRODUCT(($A$18:$A$379=A262)*(IFERROR($B$18:$B$379&gt;=E262-30,0))*(IFERROR($B$18:$B$379&lt;=E262+30,0))*($G$18:$G$379&gt;0)*($L$18:$L$379&lt;&gt;L262)*($G$18:$G$379))+SUMPRODUCT(($A$381:$A$498=A262)*(IFERROR($B$381:$B$498&gt;=E262-30,0))*(IFERROR($B$381:$B$498&lt;=E262+30,0))*($G$381:$G$498&gt;0)*($L$381:$L$498&lt;&gt;L262)*($G$381:$G$498))))</f>
        <v/>
      </c>
      <c r="P262" s="28" t="str">
        <f>IF(OR(A262="",M262&lt;=0,J262&gt;=0),"",SUMPRODUCT(($A$18:$A$379=A262)*(IFERROR($B$18:$B$379&gt;=E262-30,0))*(IFERROR($B$18:$B$379&lt;=E262+30,0))*($G$18:$G$379&gt;0)*($L$18:$L$379&lt;&gt;L262))+SUMPRODUCT(($A$381:$A$498=A262)*(IFERROR($B$381:$B$498&gt;=E262-30,0))*(IFERROR($B$381:$B$498&lt;=E262+30,0))*($G$381:$G$498&gt;0)*($L$381:$L$498&lt;&gt;L262)))</f>
        <v/>
      </c>
      <c r="Q262" s="31" t="str">
        <f>IF(P262=1,IFERROR(INDEX($L$18:$L$379,MATCH(1,INDEX(($A$18:$A$379=A262)*(IFERROR($B$18:$B$379&gt;=E262-30,0))*(IFERROR($B$18:$B$379&lt;=E262+30,0))*($G$18:$G$379&gt;0)*($L$18:$L$379&lt;&gt;L262),0),0)),IFERROR(INDEX($L$381:$L$498,MATCH(1,INDEX(($A$381:$A$498=A262)*(IFERROR($B$381:$B$498&gt;=E262-30,0))*(IFERROR($B$381:$B$498&lt;=E262+30,0))*($G$381:$G$498&gt;0)*($L$381:$L$498&lt;&gt;L262),0),0)),"")),"")</f>
        <v/>
      </c>
      <c r="R262" s="32"/>
      <c r="S262" s="31" t="str">
        <f>IF(R262&lt;&gt;"",R262,Q262)</f>
        <v/>
      </c>
      <c r="T262" s="63">
        <f>IF(OR(N262="",O262=0),0,N262*O262)</f>
        <v>0</v>
      </c>
      <c r="U262" s="63">
        <f>IF(COUNTIF($S$18:$S$498,L262)=0,"",SUMIF($S$18:$S$498,L262,$T$18:$T$498))</f>
        <v>0</v>
      </c>
      <c r="V262" s="63" t="str">
        <f>IF(H262="","",IFERROR(H262+U262,H262))</f>
        <v/>
      </c>
      <c r="W262" s="63" t="str">
        <f>IF(OR(V262="",C262=""),"",V262/C262)</f>
        <v/>
      </c>
      <c r="X262" s="11" t="str">
        <f>IF(A262="","",IF(AND(U262&lt;&gt;"",U262&lt;&gt;0,M262=0),"Replacement lot receiving wash basis",IF(J262="","",IF(J262&gt;=0,"",IF(O262=0,"No replacement buy found",IF(P262&gt;1,"Manual selection needed","Auto matched"))))))</f>
        <v/>
      </c>
      <c r="Z262" t="str">
        <f>IF(K262="Yes",COUNTIF($K$18:K262,"Yes"),"")</f>
        <v/>
      </c>
    </row>
    <row r="263" spans="1:26" ht="34.15" customHeight="1" x14ac:dyDescent="0.2">
      <c r="A263" s="9"/>
      <c r="B263" s="69"/>
      <c r="C263" s="30"/>
      <c r="D263" s="70"/>
      <c r="E263" s="69"/>
      <c r="F263" s="70"/>
      <c r="G263" s="30"/>
      <c r="H263" s="63" t="str">
        <f>IF(OR(C263="",D263=""),"",C263*D263)</f>
        <v/>
      </c>
      <c r="I263" s="63" t="str">
        <f>IF(OR(E263="",F263="",M263&lt;=0),"",M263*F263)</f>
        <v/>
      </c>
      <c r="J263" s="63" t="str">
        <f>IF(I263="","",I263-(M263*D263))</f>
        <v/>
      </c>
      <c r="K263" s="28" t="str">
        <f>IF(A263="","",IF(T263&gt;0,"Yes","No"))</f>
        <v/>
      </c>
      <c r="L263" s="28" t="str">
        <f>IF(A263="","",A263&amp;"-"&amp;TEXT(B263,"yyyymmdd")&amp;"-R"&amp;ROW())</f>
        <v/>
      </c>
      <c r="M263" s="28" t="str">
        <f>IF(OR(C263="",G263=""),"",C263-G263)</f>
        <v/>
      </c>
      <c r="N263" s="63" t="str">
        <f>IF(OR(M263&lt;=0,J263&gt;=0),"",ABS(J263)/M263)</f>
        <v/>
      </c>
      <c r="O263" s="63" t="str">
        <f>IF(OR(A263="",M263&lt;=0,J263&gt;=0),"",MIN(M263,SUMPRODUCT(($A$18:$A$379=A263)*(IFERROR($B$18:$B$379&gt;=E263-30,0))*(IFERROR($B$18:$B$379&lt;=E263+30,0))*($G$18:$G$379&gt;0)*($L$18:$L$379&lt;&gt;L263)*($G$18:$G$379))+SUMPRODUCT(($A$381:$A$498=A263)*(IFERROR($B$381:$B$498&gt;=E263-30,0))*(IFERROR($B$381:$B$498&lt;=E263+30,0))*($G$381:$G$498&gt;0)*($L$381:$L$498&lt;&gt;L263)*($G$381:$G$498))))</f>
        <v/>
      </c>
      <c r="P263" s="28" t="str">
        <f>IF(OR(A263="",M263&lt;=0,J263&gt;=0),"",SUMPRODUCT(($A$18:$A$379=A263)*(IFERROR($B$18:$B$379&gt;=E263-30,0))*(IFERROR($B$18:$B$379&lt;=E263+30,0))*($G$18:$G$379&gt;0)*($L$18:$L$379&lt;&gt;L263))+SUMPRODUCT(($A$381:$A$498=A263)*(IFERROR($B$381:$B$498&gt;=E263-30,0))*(IFERROR($B$381:$B$498&lt;=E263+30,0))*($G$381:$G$498&gt;0)*($L$381:$L$498&lt;&gt;L263)))</f>
        <v/>
      </c>
      <c r="Q263" s="31" t="str">
        <f>IF(P263=1,IFERROR(INDEX($L$18:$L$379,MATCH(1,INDEX(($A$18:$A$379=A263)*(IFERROR($B$18:$B$379&gt;=E263-30,0))*(IFERROR($B$18:$B$379&lt;=E263+30,0))*($G$18:$G$379&gt;0)*($L$18:$L$379&lt;&gt;L263),0),0)),IFERROR(INDEX($L$381:$L$498,MATCH(1,INDEX(($A$381:$A$498=A263)*(IFERROR($B$381:$B$498&gt;=E263-30,0))*(IFERROR($B$381:$B$498&lt;=E263+30,0))*($G$381:$G$498&gt;0)*($L$381:$L$498&lt;&gt;L263),0),0)),"")),"")</f>
        <v/>
      </c>
      <c r="R263" s="32"/>
      <c r="S263" s="31" t="str">
        <f>IF(R263&lt;&gt;"",R263,Q263)</f>
        <v/>
      </c>
      <c r="T263" s="63">
        <f>IF(OR(N263="",O263=0),0,N263*O263)</f>
        <v>0</v>
      </c>
      <c r="U263" s="63">
        <f>IF(COUNTIF($S$18:$S$498,L263)=0,"",SUMIF($S$18:$S$498,L263,$T$18:$T$498))</f>
        <v>0</v>
      </c>
      <c r="V263" s="63" t="str">
        <f>IF(H263="","",IFERROR(H263+U263,H263))</f>
        <v/>
      </c>
      <c r="W263" s="63" t="str">
        <f>IF(OR(V263="",C263=""),"",V263/C263)</f>
        <v/>
      </c>
      <c r="X263" s="11" t="str">
        <f>IF(A263="","",IF(AND(U263&lt;&gt;"",U263&lt;&gt;0,M263=0),"Replacement lot receiving wash basis",IF(J263="","",IF(J263&gt;=0,"",IF(O263=0,"No replacement buy found",IF(P263&gt;1,"Manual selection needed","Auto matched"))))))</f>
        <v/>
      </c>
      <c r="Z263" t="str">
        <f>IF(K263="Yes",COUNTIF($K$18:K263,"Yes"),"")</f>
        <v/>
      </c>
    </row>
    <row r="264" spans="1:26" ht="34.15" customHeight="1" x14ac:dyDescent="0.2">
      <c r="A264" s="9"/>
      <c r="B264" s="69"/>
      <c r="C264" s="30"/>
      <c r="D264" s="70"/>
      <c r="E264" s="69"/>
      <c r="F264" s="70"/>
      <c r="G264" s="30"/>
      <c r="H264" s="63" t="str">
        <f>IF(OR(C264="",D264=""),"",C264*D264)</f>
        <v/>
      </c>
      <c r="I264" s="63" t="str">
        <f>IF(OR(E264="",F264="",M264&lt;=0),"",M264*F264)</f>
        <v/>
      </c>
      <c r="J264" s="63" t="str">
        <f>IF(I264="","",I264-(M264*D264))</f>
        <v/>
      </c>
      <c r="K264" s="28" t="str">
        <f>IF(A264="","",IF(T264&gt;0,"Yes","No"))</f>
        <v/>
      </c>
      <c r="L264" s="28" t="str">
        <f>IF(A264="","",A264&amp;"-"&amp;TEXT(B264,"yyyymmdd")&amp;"-R"&amp;ROW())</f>
        <v/>
      </c>
      <c r="M264" s="28" t="str">
        <f>IF(OR(C264="",G264=""),"",C264-G264)</f>
        <v/>
      </c>
      <c r="N264" s="63" t="str">
        <f>IF(OR(M264&lt;=0,J264&gt;=0),"",ABS(J264)/M264)</f>
        <v/>
      </c>
      <c r="O264" s="63" t="str">
        <f>IF(OR(A264="",M264&lt;=0,J264&gt;=0),"",MIN(M264,SUMPRODUCT(($A$18:$A$379=A264)*(IFERROR($B$18:$B$379&gt;=E264-30,0))*(IFERROR($B$18:$B$379&lt;=E264+30,0))*($G$18:$G$379&gt;0)*($L$18:$L$379&lt;&gt;L264)*($G$18:$G$379))+SUMPRODUCT(($A$381:$A$498=A264)*(IFERROR($B$381:$B$498&gt;=E264-30,0))*(IFERROR($B$381:$B$498&lt;=E264+30,0))*($G$381:$G$498&gt;0)*($L$381:$L$498&lt;&gt;L264)*($G$381:$G$498))))</f>
        <v/>
      </c>
      <c r="P264" s="28" t="str">
        <f>IF(OR(A264="",M264&lt;=0,J264&gt;=0),"",SUMPRODUCT(($A$18:$A$379=A264)*(IFERROR($B$18:$B$379&gt;=E264-30,0))*(IFERROR($B$18:$B$379&lt;=E264+30,0))*($G$18:$G$379&gt;0)*($L$18:$L$379&lt;&gt;L264))+SUMPRODUCT(($A$381:$A$498=A264)*(IFERROR($B$381:$B$498&gt;=E264-30,0))*(IFERROR($B$381:$B$498&lt;=E264+30,0))*($G$381:$G$498&gt;0)*($L$381:$L$498&lt;&gt;L264)))</f>
        <v/>
      </c>
      <c r="Q264" s="31" t="str">
        <f>IF(P264=1,IFERROR(INDEX($L$18:$L$379,MATCH(1,INDEX(($A$18:$A$379=A264)*(IFERROR($B$18:$B$379&gt;=E264-30,0))*(IFERROR($B$18:$B$379&lt;=E264+30,0))*($G$18:$G$379&gt;0)*($L$18:$L$379&lt;&gt;L264),0),0)),IFERROR(INDEX($L$381:$L$498,MATCH(1,INDEX(($A$381:$A$498=A264)*(IFERROR($B$381:$B$498&gt;=E264-30,0))*(IFERROR($B$381:$B$498&lt;=E264+30,0))*($G$381:$G$498&gt;0)*($L$381:$L$498&lt;&gt;L264),0),0)),"")),"")</f>
        <v/>
      </c>
      <c r="R264" s="32"/>
      <c r="S264" s="31" t="str">
        <f>IF(R264&lt;&gt;"",R264,Q264)</f>
        <v/>
      </c>
      <c r="T264" s="63">
        <f>IF(OR(N264="",O264=0),0,N264*O264)</f>
        <v>0</v>
      </c>
      <c r="U264" s="63">
        <f>IF(COUNTIF($S$18:$S$498,L264)=0,"",SUMIF($S$18:$S$498,L264,$T$18:$T$498))</f>
        <v>0</v>
      </c>
      <c r="V264" s="63" t="str">
        <f>IF(H264="","",IFERROR(H264+U264,H264))</f>
        <v/>
      </c>
      <c r="W264" s="63" t="str">
        <f>IF(OR(V264="",C264=""),"",V264/C264)</f>
        <v/>
      </c>
      <c r="X264" s="11" t="str">
        <f>IF(A264="","",IF(AND(U264&lt;&gt;"",U264&lt;&gt;0,M264=0),"Replacement lot receiving wash basis",IF(J264="","",IF(J264&gt;=0,"",IF(O264=0,"No replacement buy found",IF(P264&gt;1,"Manual selection needed","Auto matched"))))))</f>
        <v/>
      </c>
      <c r="Z264" t="str">
        <f>IF(K264="Yes",COUNTIF($K$18:K264,"Yes"),"")</f>
        <v/>
      </c>
    </row>
    <row r="265" spans="1:26" ht="34.15" customHeight="1" x14ac:dyDescent="0.2">
      <c r="A265" s="9"/>
      <c r="B265" s="69"/>
      <c r="C265" s="30"/>
      <c r="D265" s="70"/>
      <c r="E265" s="69"/>
      <c r="F265" s="70"/>
      <c r="G265" s="30"/>
      <c r="H265" s="63" t="str">
        <f>IF(OR(C265="",D265=""),"",C265*D265)</f>
        <v/>
      </c>
      <c r="I265" s="63" t="str">
        <f>IF(OR(E265="",F265="",M265&lt;=0),"",M265*F265)</f>
        <v/>
      </c>
      <c r="J265" s="63" t="str">
        <f>IF(I265="","",I265-(M265*D265))</f>
        <v/>
      </c>
      <c r="K265" s="28" t="str">
        <f>IF(A265="","",IF(T265&gt;0,"Yes","No"))</f>
        <v/>
      </c>
      <c r="L265" s="28" t="str">
        <f>IF(A265="","",A265&amp;"-"&amp;TEXT(B265,"yyyymmdd")&amp;"-R"&amp;ROW())</f>
        <v/>
      </c>
      <c r="M265" s="28" t="str">
        <f>IF(OR(C265="",G265=""),"",C265-G265)</f>
        <v/>
      </c>
      <c r="N265" s="63" t="str">
        <f>IF(OR(M265&lt;=0,J265&gt;=0),"",ABS(J265)/M265)</f>
        <v/>
      </c>
      <c r="O265" s="63" t="str">
        <f>IF(OR(A265="",M265&lt;=0,J265&gt;=0),"",MIN(M265,SUMPRODUCT(($A$18:$A$379=A265)*(IFERROR($B$18:$B$379&gt;=E265-30,0))*(IFERROR($B$18:$B$379&lt;=E265+30,0))*($G$18:$G$379&gt;0)*($L$18:$L$379&lt;&gt;L265)*($G$18:$G$379))+SUMPRODUCT(($A$381:$A$498=A265)*(IFERROR($B$381:$B$498&gt;=E265-30,0))*(IFERROR($B$381:$B$498&lt;=E265+30,0))*($G$381:$G$498&gt;0)*($L$381:$L$498&lt;&gt;L265)*($G$381:$G$498))))</f>
        <v/>
      </c>
      <c r="P265" s="28" t="str">
        <f>IF(OR(A265="",M265&lt;=0,J265&gt;=0),"",SUMPRODUCT(($A$18:$A$379=A265)*(IFERROR($B$18:$B$379&gt;=E265-30,0))*(IFERROR($B$18:$B$379&lt;=E265+30,0))*($G$18:$G$379&gt;0)*($L$18:$L$379&lt;&gt;L265))+SUMPRODUCT(($A$381:$A$498=A265)*(IFERROR($B$381:$B$498&gt;=E265-30,0))*(IFERROR($B$381:$B$498&lt;=E265+30,0))*($G$381:$G$498&gt;0)*($L$381:$L$498&lt;&gt;L265)))</f>
        <v/>
      </c>
      <c r="Q265" s="31" t="str">
        <f>IF(P265=1,IFERROR(INDEX($L$18:$L$379,MATCH(1,INDEX(($A$18:$A$379=A265)*(IFERROR($B$18:$B$379&gt;=E265-30,0))*(IFERROR($B$18:$B$379&lt;=E265+30,0))*($G$18:$G$379&gt;0)*($L$18:$L$379&lt;&gt;L265),0),0)),IFERROR(INDEX($L$381:$L$498,MATCH(1,INDEX(($A$381:$A$498=A265)*(IFERROR($B$381:$B$498&gt;=E265-30,0))*(IFERROR($B$381:$B$498&lt;=E265+30,0))*($G$381:$G$498&gt;0)*($L$381:$L$498&lt;&gt;L265),0),0)),"")),"")</f>
        <v/>
      </c>
      <c r="R265" s="32"/>
      <c r="S265" s="31" t="str">
        <f>IF(R265&lt;&gt;"",R265,Q265)</f>
        <v/>
      </c>
      <c r="T265" s="63">
        <f>IF(OR(N265="",O265=0),0,N265*O265)</f>
        <v>0</v>
      </c>
      <c r="U265" s="63">
        <f>IF(COUNTIF($S$18:$S$498,L265)=0,"",SUMIF($S$18:$S$498,L265,$T$18:$T$498))</f>
        <v>0</v>
      </c>
      <c r="V265" s="63" t="str">
        <f>IF(H265="","",IFERROR(H265+U265,H265))</f>
        <v/>
      </c>
      <c r="W265" s="63" t="str">
        <f>IF(OR(V265="",C265=""),"",V265/C265)</f>
        <v/>
      </c>
      <c r="X265" s="11" t="str">
        <f>IF(A265="","",IF(AND(U265&lt;&gt;"",U265&lt;&gt;0,M265=0),"Replacement lot receiving wash basis",IF(J265="","",IF(J265&gt;=0,"",IF(O265=0,"No replacement buy found",IF(P265&gt;1,"Manual selection needed","Auto matched"))))))</f>
        <v/>
      </c>
      <c r="Z265" t="str">
        <f>IF(K265="Yes",COUNTIF($K$18:K265,"Yes"),"")</f>
        <v/>
      </c>
    </row>
    <row r="266" spans="1:26" ht="34.15" customHeight="1" x14ac:dyDescent="0.2">
      <c r="A266" s="9"/>
      <c r="B266" s="69"/>
      <c r="C266" s="30"/>
      <c r="D266" s="70"/>
      <c r="E266" s="69"/>
      <c r="F266" s="70"/>
      <c r="G266" s="30"/>
      <c r="H266" s="63" t="str">
        <f>IF(OR(C266="",D266=""),"",C266*D266)</f>
        <v/>
      </c>
      <c r="I266" s="63" t="str">
        <f>IF(OR(E266="",F266="",M266&lt;=0),"",M266*F266)</f>
        <v/>
      </c>
      <c r="J266" s="63" t="str">
        <f>IF(I266="","",I266-(M266*D266))</f>
        <v/>
      </c>
      <c r="K266" s="28" t="str">
        <f>IF(A266="","",IF(T266&gt;0,"Yes","No"))</f>
        <v/>
      </c>
      <c r="L266" s="28" t="str">
        <f>IF(A266="","",A266&amp;"-"&amp;TEXT(B266,"yyyymmdd")&amp;"-R"&amp;ROW())</f>
        <v/>
      </c>
      <c r="M266" s="28" t="str">
        <f>IF(OR(C266="",G266=""),"",C266-G266)</f>
        <v/>
      </c>
      <c r="N266" s="63" t="str">
        <f>IF(OR(M266&lt;=0,J266&gt;=0),"",ABS(J266)/M266)</f>
        <v/>
      </c>
      <c r="O266" s="63" t="str">
        <f>IF(OR(A266="",M266&lt;=0,J266&gt;=0),"",MIN(M266,SUMPRODUCT(($A$18:$A$379=A266)*(IFERROR($B$18:$B$379&gt;=E266-30,0))*(IFERROR($B$18:$B$379&lt;=E266+30,0))*($G$18:$G$379&gt;0)*($L$18:$L$379&lt;&gt;L266)*($G$18:$G$379))+SUMPRODUCT(($A$381:$A$498=A266)*(IFERROR($B$381:$B$498&gt;=E266-30,0))*(IFERROR($B$381:$B$498&lt;=E266+30,0))*($G$381:$G$498&gt;0)*($L$381:$L$498&lt;&gt;L266)*($G$381:$G$498))))</f>
        <v/>
      </c>
      <c r="P266" s="28" t="str">
        <f>IF(OR(A266="",M266&lt;=0,J266&gt;=0),"",SUMPRODUCT(($A$18:$A$379=A266)*(IFERROR($B$18:$B$379&gt;=E266-30,0))*(IFERROR($B$18:$B$379&lt;=E266+30,0))*($G$18:$G$379&gt;0)*($L$18:$L$379&lt;&gt;L266))+SUMPRODUCT(($A$381:$A$498=A266)*(IFERROR($B$381:$B$498&gt;=E266-30,0))*(IFERROR($B$381:$B$498&lt;=E266+30,0))*($G$381:$G$498&gt;0)*($L$381:$L$498&lt;&gt;L266)))</f>
        <v/>
      </c>
      <c r="Q266" s="31" t="str">
        <f>IF(P266=1,IFERROR(INDEX($L$18:$L$379,MATCH(1,INDEX(($A$18:$A$379=A266)*(IFERROR($B$18:$B$379&gt;=E266-30,0))*(IFERROR($B$18:$B$379&lt;=E266+30,0))*($G$18:$G$379&gt;0)*($L$18:$L$379&lt;&gt;L266),0),0)),IFERROR(INDEX($L$381:$L$498,MATCH(1,INDEX(($A$381:$A$498=A266)*(IFERROR($B$381:$B$498&gt;=E266-30,0))*(IFERROR($B$381:$B$498&lt;=E266+30,0))*($G$381:$G$498&gt;0)*($L$381:$L$498&lt;&gt;L266),0),0)),"")),"")</f>
        <v/>
      </c>
      <c r="R266" s="32"/>
      <c r="S266" s="31" t="str">
        <f>IF(R266&lt;&gt;"",R266,Q266)</f>
        <v/>
      </c>
      <c r="T266" s="63">
        <f>IF(OR(N266="",O266=0),0,N266*O266)</f>
        <v>0</v>
      </c>
      <c r="U266" s="63">
        <f>IF(COUNTIF($S$18:$S$498,L266)=0,"",SUMIF($S$18:$S$498,L266,$T$18:$T$498))</f>
        <v>0</v>
      </c>
      <c r="V266" s="63" t="str">
        <f>IF(H266="","",IFERROR(H266+U266,H266))</f>
        <v/>
      </c>
      <c r="W266" s="63" t="str">
        <f>IF(OR(V266="",C266=""),"",V266/C266)</f>
        <v/>
      </c>
      <c r="X266" s="11" t="str">
        <f>IF(A266="","",IF(AND(U266&lt;&gt;"",U266&lt;&gt;0,M266=0),"Replacement lot receiving wash basis",IF(J266="","",IF(J266&gt;=0,"",IF(O266=0,"No replacement buy found",IF(P266&gt;1,"Manual selection needed","Auto matched"))))))</f>
        <v/>
      </c>
      <c r="Z266" t="str">
        <f>IF(K266="Yes",COUNTIF($K$18:K266,"Yes"),"")</f>
        <v/>
      </c>
    </row>
    <row r="267" spans="1:26" ht="34.15" customHeight="1" x14ac:dyDescent="0.2">
      <c r="A267" s="9"/>
      <c r="B267" s="69"/>
      <c r="C267" s="30"/>
      <c r="D267" s="70"/>
      <c r="E267" s="69"/>
      <c r="F267" s="70"/>
      <c r="G267" s="30"/>
      <c r="H267" s="63" t="str">
        <f>IF(OR(C267="",D267=""),"",C267*D267)</f>
        <v/>
      </c>
      <c r="I267" s="63" t="str">
        <f>IF(OR(E267="",F267="",M267&lt;=0),"",M267*F267)</f>
        <v/>
      </c>
      <c r="J267" s="63" t="str">
        <f>IF(I267="","",I267-(M267*D267))</f>
        <v/>
      </c>
      <c r="K267" s="28" t="str">
        <f>IF(A267="","",IF(T267&gt;0,"Yes","No"))</f>
        <v/>
      </c>
      <c r="L267" s="28" t="str">
        <f>IF(A267="","",A267&amp;"-"&amp;TEXT(B267,"yyyymmdd")&amp;"-R"&amp;ROW())</f>
        <v/>
      </c>
      <c r="M267" s="28" t="str">
        <f>IF(OR(C267="",G267=""),"",C267-G267)</f>
        <v/>
      </c>
      <c r="N267" s="63" t="str">
        <f>IF(OR(M267&lt;=0,J267&gt;=0),"",ABS(J267)/M267)</f>
        <v/>
      </c>
      <c r="O267" s="63" t="str">
        <f>IF(OR(A267="",M267&lt;=0,J267&gt;=0),"",MIN(M267,SUMPRODUCT(($A$18:$A$379=A267)*(IFERROR($B$18:$B$379&gt;=E267-30,0))*(IFERROR($B$18:$B$379&lt;=E267+30,0))*($G$18:$G$379&gt;0)*($L$18:$L$379&lt;&gt;L267)*($G$18:$G$379))+SUMPRODUCT(($A$381:$A$498=A267)*(IFERROR($B$381:$B$498&gt;=E267-30,0))*(IFERROR($B$381:$B$498&lt;=E267+30,0))*($G$381:$G$498&gt;0)*($L$381:$L$498&lt;&gt;L267)*($G$381:$G$498))))</f>
        <v/>
      </c>
      <c r="P267" s="28" t="str">
        <f>IF(OR(A267="",M267&lt;=0,J267&gt;=0),"",SUMPRODUCT(($A$18:$A$379=A267)*(IFERROR($B$18:$B$379&gt;=E267-30,0))*(IFERROR($B$18:$B$379&lt;=E267+30,0))*($G$18:$G$379&gt;0)*($L$18:$L$379&lt;&gt;L267))+SUMPRODUCT(($A$381:$A$498=A267)*(IFERROR($B$381:$B$498&gt;=E267-30,0))*(IFERROR($B$381:$B$498&lt;=E267+30,0))*($G$381:$G$498&gt;0)*($L$381:$L$498&lt;&gt;L267)))</f>
        <v/>
      </c>
      <c r="Q267" s="31" t="str">
        <f>IF(P267=1,IFERROR(INDEX($L$18:$L$379,MATCH(1,INDEX(($A$18:$A$379=A267)*(IFERROR($B$18:$B$379&gt;=E267-30,0))*(IFERROR($B$18:$B$379&lt;=E267+30,0))*($G$18:$G$379&gt;0)*($L$18:$L$379&lt;&gt;L267),0),0)),IFERROR(INDEX($L$381:$L$498,MATCH(1,INDEX(($A$381:$A$498=A267)*(IFERROR($B$381:$B$498&gt;=E267-30,0))*(IFERROR($B$381:$B$498&lt;=E267+30,0))*($G$381:$G$498&gt;0)*($L$381:$L$498&lt;&gt;L267),0),0)),"")),"")</f>
        <v/>
      </c>
      <c r="R267" s="32"/>
      <c r="S267" s="31" t="str">
        <f>IF(R267&lt;&gt;"",R267,Q267)</f>
        <v/>
      </c>
      <c r="T267" s="63">
        <f>IF(OR(N267="",O267=0),0,N267*O267)</f>
        <v>0</v>
      </c>
      <c r="U267" s="63">
        <f>IF(COUNTIF($S$18:$S$498,L267)=0,"",SUMIF($S$18:$S$498,L267,$T$18:$T$498))</f>
        <v>0</v>
      </c>
      <c r="V267" s="63" t="str">
        <f>IF(H267="","",IFERROR(H267+U267,H267))</f>
        <v/>
      </c>
      <c r="W267" s="63" t="str">
        <f>IF(OR(V267="",C267=""),"",V267/C267)</f>
        <v/>
      </c>
      <c r="X267" s="11" t="str">
        <f>IF(A267="","",IF(AND(U267&lt;&gt;"",U267&lt;&gt;0,M267=0),"Replacement lot receiving wash basis",IF(J267="","",IF(J267&gt;=0,"",IF(O267=0,"No replacement buy found",IF(P267&gt;1,"Manual selection needed","Auto matched"))))))</f>
        <v/>
      </c>
      <c r="Z267" t="str">
        <f>IF(K267="Yes",COUNTIF($K$18:K267,"Yes"),"")</f>
        <v/>
      </c>
    </row>
    <row r="268" spans="1:26" ht="34.15" customHeight="1" x14ac:dyDescent="0.2">
      <c r="A268" s="9"/>
      <c r="B268" s="69"/>
      <c r="C268" s="30"/>
      <c r="D268" s="70"/>
      <c r="E268" s="69"/>
      <c r="F268" s="70"/>
      <c r="G268" s="30"/>
      <c r="H268" s="63" t="str">
        <f>IF(OR(C268="",D268=""),"",C268*D268)</f>
        <v/>
      </c>
      <c r="I268" s="63" t="str">
        <f>IF(OR(E268="",F268="",M268&lt;=0),"",M268*F268)</f>
        <v/>
      </c>
      <c r="J268" s="63" t="str">
        <f>IF(I268="","",I268-(M268*D268))</f>
        <v/>
      </c>
      <c r="K268" s="28" t="str">
        <f>IF(A268="","",IF(T268&gt;0,"Yes","No"))</f>
        <v/>
      </c>
      <c r="L268" s="28" t="str">
        <f>IF(A268="","",A268&amp;"-"&amp;TEXT(B268,"yyyymmdd")&amp;"-R"&amp;ROW())</f>
        <v/>
      </c>
      <c r="M268" s="28" t="str">
        <f>IF(OR(C268="",G268=""),"",C268-G268)</f>
        <v/>
      </c>
      <c r="N268" s="63" t="str">
        <f>IF(OR(M268&lt;=0,J268&gt;=0),"",ABS(J268)/M268)</f>
        <v/>
      </c>
      <c r="O268" s="63" t="str">
        <f>IF(OR(A268="",M268&lt;=0,J268&gt;=0),"",MIN(M268,SUMPRODUCT(($A$18:$A$379=A268)*(IFERROR($B$18:$B$379&gt;=E268-30,0))*(IFERROR($B$18:$B$379&lt;=E268+30,0))*($G$18:$G$379&gt;0)*($L$18:$L$379&lt;&gt;L268)*($G$18:$G$379))+SUMPRODUCT(($A$381:$A$498=A268)*(IFERROR($B$381:$B$498&gt;=E268-30,0))*(IFERROR($B$381:$B$498&lt;=E268+30,0))*($G$381:$G$498&gt;0)*($L$381:$L$498&lt;&gt;L268)*($G$381:$G$498))))</f>
        <v/>
      </c>
      <c r="P268" s="28" t="str">
        <f>IF(OR(A268="",M268&lt;=0,J268&gt;=0),"",SUMPRODUCT(($A$18:$A$379=A268)*(IFERROR($B$18:$B$379&gt;=E268-30,0))*(IFERROR($B$18:$B$379&lt;=E268+30,0))*($G$18:$G$379&gt;0)*($L$18:$L$379&lt;&gt;L268))+SUMPRODUCT(($A$381:$A$498=A268)*(IFERROR($B$381:$B$498&gt;=E268-30,0))*(IFERROR($B$381:$B$498&lt;=E268+30,0))*($G$381:$G$498&gt;0)*($L$381:$L$498&lt;&gt;L268)))</f>
        <v/>
      </c>
      <c r="Q268" s="31" t="str">
        <f>IF(P268=1,IFERROR(INDEX($L$18:$L$379,MATCH(1,INDEX(($A$18:$A$379=A268)*(IFERROR($B$18:$B$379&gt;=E268-30,0))*(IFERROR($B$18:$B$379&lt;=E268+30,0))*($G$18:$G$379&gt;0)*($L$18:$L$379&lt;&gt;L268),0),0)),IFERROR(INDEX($L$381:$L$498,MATCH(1,INDEX(($A$381:$A$498=A268)*(IFERROR($B$381:$B$498&gt;=E268-30,0))*(IFERROR($B$381:$B$498&lt;=E268+30,0))*($G$381:$G$498&gt;0)*($L$381:$L$498&lt;&gt;L268),0),0)),"")),"")</f>
        <v/>
      </c>
      <c r="R268" s="32"/>
      <c r="S268" s="31" t="str">
        <f>IF(R268&lt;&gt;"",R268,Q268)</f>
        <v/>
      </c>
      <c r="T268" s="63">
        <f>IF(OR(N268="",O268=0),0,N268*O268)</f>
        <v>0</v>
      </c>
      <c r="U268" s="63">
        <f>IF(COUNTIF($S$18:$S$498,L268)=0,"",SUMIF($S$18:$S$498,L268,$T$18:$T$498))</f>
        <v>0</v>
      </c>
      <c r="V268" s="63" t="str">
        <f>IF(H268="","",IFERROR(H268+U268,H268))</f>
        <v/>
      </c>
      <c r="W268" s="63" t="str">
        <f>IF(OR(V268="",C268=""),"",V268/C268)</f>
        <v/>
      </c>
      <c r="X268" s="11" t="str">
        <f>IF(A268="","",IF(AND(U268&lt;&gt;"",U268&lt;&gt;0,M268=0),"Replacement lot receiving wash basis",IF(J268="","",IF(J268&gt;=0,"",IF(O268=0,"No replacement buy found",IF(P268&gt;1,"Manual selection needed","Auto matched"))))))</f>
        <v/>
      </c>
      <c r="Z268" t="str">
        <f>IF(K268="Yes",COUNTIF($K$18:K268,"Yes"),"")</f>
        <v/>
      </c>
    </row>
    <row r="269" spans="1:26" ht="34.15" customHeight="1" x14ac:dyDescent="0.2">
      <c r="A269" s="9"/>
      <c r="B269" s="69"/>
      <c r="C269" s="30"/>
      <c r="D269" s="70"/>
      <c r="E269" s="69"/>
      <c r="F269" s="70"/>
      <c r="G269" s="30"/>
      <c r="H269" s="63" t="str">
        <f>IF(OR(C269="",D269=""),"",C269*D269)</f>
        <v/>
      </c>
      <c r="I269" s="63" t="str">
        <f>IF(OR(E269="",F269="",M269&lt;=0),"",M269*F269)</f>
        <v/>
      </c>
      <c r="J269" s="63" t="str">
        <f>IF(I269="","",I269-(M269*D269))</f>
        <v/>
      </c>
      <c r="K269" s="28" t="str">
        <f>IF(A269="","",IF(T269&gt;0,"Yes","No"))</f>
        <v/>
      </c>
      <c r="L269" s="28" t="str">
        <f>IF(A269="","",A269&amp;"-"&amp;TEXT(B269,"yyyymmdd")&amp;"-R"&amp;ROW())</f>
        <v/>
      </c>
      <c r="M269" s="28" t="str">
        <f>IF(OR(C269="",G269=""),"",C269-G269)</f>
        <v/>
      </c>
      <c r="N269" s="63" t="str">
        <f>IF(OR(M269&lt;=0,J269&gt;=0),"",ABS(J269)/M269)</f>
        <v/>
      </c>
      <c r="O269" s="63" t="str">
        <f>IF(OR(A269="",M269&lt;=0,J269&gt;=0),"",MIN(M269,SUMPRODUCT(($A$18:$A$379=A269)*(IFERROR($B$18:$B$379&gt;=E269-30,0))*(IFERROR($B$18:$B$379&lt;=E269+30,0))*($G$18:$G$379&gt;0)*($L$18:$L$379&lt;&gt;L269)*($G$18:$G$379))+SUMPRODUCT(($A$381:$A$498=A269)*(IFERROR($B$381:$B$498&gt;=E269-30,0))*(IFERROR($B$381:$B$498&lt;=E269+30,0))*($G$381:$G$498&gt;0)*($L$381:$L$498&lt;&gt;L269)*($G$381:$G$498))))</f>
        <v/>
      </c>
      <c r="P269" s="28" t="str">
        <f>IF(OR(A269="",M269&lt;=0,J269&gt;=0),"",SUMPRODUCT(($A$18:$A$379=A269)*(IFERROR($B$18:$B$379&gt;=E269-30,0))*(IFERROR($B$18:$B$379&lt;=E269+30,0))*($G$18:$G$379&gt;0)*($L$18:$L$379&lt;&gt;L269))+SUMPRODUCT(($A$381:$A$498=A269)*(IFERROR($B$381:$B$498&gt;=E269-30,0))*(IFERROR($B$381:$B$498&lt;=E269+30,0))*($G$381:$G$498&gt;0)*($L$381:$L$498&lt;&gt;L269)))</f>
        <v/>
      </c>
      <c r="Q269" s="31" t="str">
        <f>IF(P269=1,IFERROR(INDEX($L$18:$L$379,MATCH(1,INDEX(($A$18:$A$379=A269)*(IFERROR($B$18:$B$379&gt;=E269-30,0))*(IFERROR($B$18:$B$379&lt;=E269+30,0))*($G$18:$G$379&gt;0)*($L$18:$L$379&lt;&gt;L269),0),0)),IFERROR(INDEX($L$381:$L$498,MATCH(1,INDEX(($A$381:$A$498=A269)*(IFERROR($B$381:$B$498&gt;=E269-30,0))*(IFERROR($B$381:$B$498&lt;=E269+30,0))*($G$381:$G$498&gt;0)*($L$381:$L$498&lt;&gt;L269),0),0)),"")),"")</f>
        <v/>
      </c>
      <c r="R269" s="32"/>
      <c r="S269" s="31" t="str">
        <f>IF(R269&lt;&gt;"",R269,Q269)</f>
        <v/>
      </c>
      <c r="T269" s="63">
        <f>IF(OR(N269="",O269=0),0,N269*O269)</f>
        <v>0</v>
      </c>
      <c r="U269" s="63">
        <f>IF(COUNTIF($S$18:$S$498,L269)=0,"",SUMIF($S$18:$S$498,L269,$T$18:$T$498))</f>
        <v>0</v>
      </c>
      <c r="V269" s="63" t="str">
        <f>IF(H269="","",IFERROR(H269+U269,H269))</f>
        <v/>
      </c>
      <c r="W269" s="63" t="str">
        <f>IF(OR(V269="",C269=""),"",V269/C269)</f>
        <v/>
      </c>
      <c r="X269" s="11" t="str">
        <f>IF(A269="","",IF(AND(U269&lt;&gt;"",U269&lt;&gt;0,M269=0),"Replacement lot receiving wash basis",IF(J269="","",IF(J269&gt;=0,"",IF(O269=0,"No replacement buy found",IF(P269&gt;1,"Manual selection needed","Auto matched"))))))</f>
        <v/>
      </c>
      <c r="Z269" t="str">
        <f>IF(K269="Yes",COUNTIF($K$18:K269,"Yes"),"")</f>
        <v/>
      </c>
    </row>
    <row r="270" spans="1:26" ht="34.15" customHeight="1" x14ac:dyDescent="0.2">
      <c r="A270" s="9"/>
      <c r="B270" s="69"/>
      <c r="C270" s="30"/>
      <c r="D270" s="70"/>
      <c r="E270" s="69"/>
      <c r="F270" s="70"/>
      <c r="G270" s="30"/>
      <c r="H270" s="63" t="str">
        <f>IF(OR(C270="",D270=""),"",C270*D270)</f>
        <v/>
      </c>
      <c r="I270" s="63" t="str">
        <f>IF(OR(E270="",F270="",M270&lt;=0),"",M270*F270)</f>
        <v/>
      </c>
      <c r="J270" s="63" t="str">
        <f>IF(I270="","",I270-(M270*D270))</f>
        <v/>
      </c>
      <c r="K270" s="28" t="str">
        <f>IF(A270="","",IF(T270&gt;0,"Yes","No"))</f>
        <v/>
      </c>
      <c r="L270" s="28" t="str">
        <f>IF(A270="","",A270&amp;"-"&amp;TEXT(B270,"yyyymmdd")&amp;"-R"&amp;ROW())</f>
        <v/>
      </c>
      <c r="M270" s="28" t="str">
        <f>IF(OR(C270="",G270=""),"",C270-G270)</f>
        <v/>
      </c>
      <c r="N270" s="63" t="str">
        <f>IF(OR(M270&lt;=0,J270&gt;=0),"",ABS(J270)/M270)</f>
        <v/>
      </c>
      <c r="O270" s="63" t="str">
        <f>IF(OR(A270="",M270&lt;=0,J270&gt;=0),"",MIN(M270,SUMPRODUCT(($A$18:$A$379=A270)*(IFERROR($B$18:$B$379&gt;=E270-30,0))*(IFERROR($B$18:$B$379&lt;=E270+30,0))*($G$18:$G$379&gt;0)*($L$18:$L$379&lt;&gt;L270)*($G$18:$G$379))+SUMPRODUCT(($A$381:$A$498=A270)*(IFERROR($B$381:$B$498&gt;=E270-30,0))*(IFERROR($B$381:$B$498&lt;=E270+30,0))*($G$381:$G$498&gt;0)*($L$381:$L$498&lt;&gt;L270)*($G$381:$G$498))))</f>
        <v/>
      </c>
      <c r="P270" s="28" t="str">
        <f>IF(OR(A270="",M270&lt;=0,J270&gt;=0),"",SUMPRODUCT(($A$18:$A$379=A270)*(IFERROR($B$18:$B$379&gt;=E270-30,0))*(IFERROR($B$18:$B$379&lt;=E270+30,0))*($G$18:$G$379&gt;0)*($L$18:$L$379&lt;&gt;L270))+SUMPRODUCT(($A$381:$A$498=A270)*(IFERROR($B$381:$B$498&gt;=E270-30,0))*(IFERROR($B$381:$B$498&lt;=E270+30,0))*($G$381:$G$498&gt;0)*($L$381:$L$498&lt;&gt;L270)))</f>
        <v/>
      </c>
      <c r="Q270" s="31" t="str">
        <f>IF(P270=1,IFERROR(INDEX($L$18:$L$379,MATCH(1,INDEX(($A$18:$A$379=A270)*(IFERROR($B$18:$B$379&gt;=E270-30,0))*(IFERROR($B$18:$B$379&lt;=E270+30,0))*($G$18:$G$379&gt;0)*($L$18:$L$379&lt;&gt;L270),0),0)),IFERROR(INDEX($L$381:$L$498,MATCH(1,INDEX(($A$381:$A$498=A270)*(IFERROR($B$381:$B$498&gt;=E270-30,0))*(IFERROR($B$381:$B$498&lt;=E270+30,0))*($G$381:$G$498&gt;0)*($L$381:$L$498&lt;&gt;L270),0),0)),"")),"")</f>
        <v/>
      </c>
      <c r="R270" s="32"/>
      <c r="S270" s="31" t="str">
        <f>IF(R270&lt;&gt;"",R270,Q270)</f>
        <v/>
      </c>
      <c r="T270" s="63">
        <f>IF(OR(N270="",O270=0),0,N270*O270)</f>
        <v>0</v>
      </c>
      <c r="U270" s="63">
        <f>IF(COUNTIF($S$18:$S$498,L270)=0,"",SUMIF($S$18:$S$498,L270,$T$18:$T$498))</f>
        <v>0</v>
      </c>
      <c r="V270" s="63" t="str">
        <f>IF(H270="","",IFERROR(H270+U270,H270))</f>
        <v/>
      </c>
      <c r="W270" s="63" t="str">
        <f>IF(OR(V270="",C270=""),"",V270/C270)</f>
        <v/>
      </c>
      <c r="X270" s="11" t="str">
        <f>IF(A270="","",IF(AND(U270&lt;&gt;"",U270&lt;&gt;0,M270=0),"Replacement lot receiving wash basis",IF(J270="","",IF(J270&gt;=0,"",IF(O270=0,"No replacement buy found",IF(P270&gt;1,"Manual selection needed","Auto matched"))))))</f>
        <v/>
      </c>
      <c r="Z270" t="str">
        <f>IF(K270="Yes",COUNTIF($K$18:K270,"Yes"),"")</f>
        <v/>
      </c>
    </row>
    <row r="271" spans="1:26" ht="34.15" customHeight="1" x14ac:dyDescent="0.2">
      <c r="A271" s="9"/>
      <c r="B271" s="69"/>
      <c r="C271" s="30"/>
      <c r="D271" s="70"/>
      <c r="E271" s="69"/>
      <c r="F271" s="70"/>
      <c r="G271" s="30"/>
      <c r="H271" s="63" t="str">
        <f>IF(OR(C271="",D271=""),"",C271*D271)</f>
        <v/>
      </c>
      <c r="I271" s="63" t="str">
        <f>IF(OR(E271="",F271="",M271&lt;=0),"",M271*F271)</f>
        <v/>
      </c>
      <c r="J271" s="63" t="str">
        <f>IF(I271="","",I271-(M271*D271))</f>
        <v/>
      </c>
      <c r="K271" s="28" t="str">
        <f>IF(A271="","",IF(T271&gt;0,"Yes","No"))</f>
        <v/>
      </c>
      <c r="L271" s="28" t="str">
        <f>IF(A271="","",A271&amp;"-"&amp;TEXT(B271,"yyyymmdd")&amp;"-R"&amp;ROW())</f>
        <v/>
      </c>
      <c r="M271" s="28" t="str">
        <f>IF(OR(C271="",G271=""),"",C271-G271)</f>
        <v/>
      </c>
      <c r="N271" s="63" t="str">
        <f>IF(OR(M271&lt;=0,J271&gt;=0),"",ABS(J271)/M271)</f>
        <v/>
      </c>
      <c r="O271" s="63" t="str">
        <f>IF(OR(A271="",M271&lt;=0,J271&gt;=0),"",MIN(M271,SUMPRODUCT(($A$18:$A$379=A271)*(IFERROR($B$18:$B$379&gt;=E271-30,0))*(IFERROR($B$18:$B$379&lt;=E271+30,0))*($G$18:$G$379&gt;0)*($L$18:$L$379&lt;&gt;L271)*($G$18:$G$379))+SUMPRODUCT(($A$381:$A$498=A271)*(IFERROR($B$381:$B$498&gt;=E271-30,0))*(IFERROR($B$381:$B$498&lt;=E271+30,0))*($G$381:$G$498&gt;0)*($L$381:$L$498&lt;&gt;L271)*($G$381:$G$498))))</f>
        <v/>
      </c>
      <c r="P271" s="28" t="str">
        <f>IF(OR(A271="",M271&lt;=0,J271&gt;=0),"",SUMPRODUCT(($A$18:$A$379=A271)*(IFERROR($B$18:$B$379&gt;=E271-30,0))*(IFERROR($B$18:$B$379&lt;=E271+30,0))*($G$18:$G$379&gt;0)*($L$18:$L$379&lt;&gt;L271))+SUMPRODUCT(($A$381:$A$498=A271)*(IFERROR($B$381:$B$498&gt;=E271-30,0))*(IFERROR($B$381:$B$498&lt;=E271+30,0))*($G$381:$G$498&gt;0)*($L$381:$L$498&lt;&gt;L271)))</f>
        <v/>
      </c>
      <c r="Q271" s="31" t="str">
        <f>IF(P271=1,IFERROR(INDEX($L$18:$L$379,MATCH(1,INDEX(($A$18:$A$379=A271)*(IFERROR($B$18:$B$379&gt;=E271-30,0))*(IFERROR($B$18:$B$379&lt;=E271+30,0))*($G$18:$G$379&gt;0)*($L$18:$L$379&lt;&gt;L271),0),0)),IFERROR(INDEX($L$381:$L$498,MATCH(1,INDEX(($A$381:$A$498=A271)*(IFERROR($B$381:$B$498&gt;=E271-30,0))*(IFERROR($B$381:$B$498&lt;=E271+30,0))*($G$381:$G$498&gt;0)*($L$381:$L$498&lt;&gt;L271),0),0)),"")),"")</f>
        <v/>
      </c>
      <c r="R271" s="32"/>
      <c r="S271" s="31" t="str">
        <f>IF(R271&lt;&gt;"",R271,Q271)</f>
        <v/>
      </c>
      <c r="T271" s="63">
        <f>IF(OR(N271="",O271=0),0,N271*O271)</f>
        <v>0</v>
      </c>
      <c r="U271" s="63">
        <f>IF(COUNTIF($S$18:$S$498,L271)=0,"",SUMIF($S$18:$S$498,L271,$T$18:$T$498))</f>
        <v>0</v>
      </c>
      <c r="V271" s="63" t="str">
        <f>IF(H271="","",IFERROR(H271+U271,H271))</f>
        <v/>
      </c>
      <c r="W271" s="63" t="str">
        <f>IF(OR(V271="",C271=""),"",V271/C271)</f>
        <v/>
      </c>
      <c r="X271" s="11" t="str">
        <f>IF(A271="","",IF(AND(U271&lt;&gt;"",U271&lt;&gt;0,M271=0),"Replacement lot receiving wash basis",IF(J271="","",IF(J271&gt;=0,"",IF(O271=0,"No replacement buy found",IF(P271&gt;1,"Manual selection needed","Auto matched"))))))</f>
        <v/>
      </c>
      <c r="Z271" t="str">
        <f>IF(K271="Yes",COUNTIF($K$18:K271,"Yes"),"")</f>
        <v/>
      </c>
    </row>
    <row r="272" spans="1:26" ht="34.15" customHeight="1" x14ac:dyDescent="0.2">
      <c r="A272" s="9"/>
      <c r="B272" s="69"/>
      <c r="C272" s="30"/>
      <c r="D272" s="70"/>
      <c r="E272" s="69"/>
      <c r="F272" s="70"/>
      <c r="G272" s="30"/>
      <c r="H272" s="63" t="str">
        <f>IF(OR(C272="",D272=""),"",C272*D272)</f>
        <v/>
      </c>
      <c r="I272" s="63" t="str">
        <f>IF(OR(E272="",F272="",M272&lt;=0),"",M272*F272)</f>
        <v/>
      </c>
      <c r="J272" s="63" t="str">
        <f>IF(I272="","",I272-(M272*D272))</f>
        <v/>
      </c>
      <c r="K272" s="28" t="str">
        <f>IF(A272="","",IF(T272&gt;0,"Yes","No"))</f>
        <v/>
      </c>
      <c r="L272" s="28" t="str">
        <f>IF(A272="","",A272&amp;"-"&amp;TEXT(B272,"yyyymmdd")&amp;"-R"&amp;ROW())</f>
        <v/>
      </c>
      <c r="M272" s="28" t="str">
        <f>IF(OR(C272="",G272=""),"",C272-G272)</f>
        <v/>
      </c>
      <c r="N272" s="63" t="str">
        <f>IF(OR(M272&lt;=0,J272&gt;=0),"",ABS(J272)/M272)</f>
        <v/>
      </c>
      <c r="O272" s="63" t="str">
        <f>IF(OR(A272="",M272&lt;=0,J272&gt;=0),"",MIN(M272,SUMPRODUCT(($A$18:$A$379=A272)*(IFERROR($B$18:$B$379&gt;=E272-30,0))*(IFERROR($B$18:$B$379&lt;=E272+30,0))*($G$18:$G$379&gt;0)*($L$18:$L$379&lt;&gt;L272)*($G$18:$G$379))+SUMPRODUCT(($A$381:$A$498=A272)*(IFERROR($B$381:$B$498&gt;=E272-30,0))*(IFERROR($B$381:$B$498&lt;=E272+30,0))*($G$381:$G$498&gt;0)*($L$381:$L$498&lt;&gt;L272)*($G$381:$G$498))))</f>
        <v/>
      </c>
      <c r="P272" s="28" t="str">
        <f>IF(OR(A272="",M272&lt;=0,J272&gt;=0),"",SUMPRODUCT(($A$18:$A$379=A272)*(IFERROR($B$18:$B$379&gt;=E272-30,0))*(IFERROR($B$18:$B$379&lt;=E272+30,0))*($G$18:$G$379&gt;0)*($L$18:$L$379&lt;&gt;L272))+SUMPRODUCT(($A$381:$A$498=A272)*(IFERROR($B$381:$B$498&gt;=E272-30,0))*(IFERROR($B$381:$B$498&lt;=E272+30,0))*($G$381:$G$498&gt;0)*($L$381:$L$498&lt;&gt;L272)))</f>
        <v/>
      </c>
      <c r="Q272" s="31" t="str">
        <f>IF(P272=1,IFERROR(INDEX($L$18:$L$379,MATCH(1,INDEX(($A$18:$A$379=A272)*(IFERROR($B$18:$B$379&gt;=E272-30,0))*(IFERROR($B$18:$B$379&lt;=E272+30,0))*($G$18:$G$379&gt;0)*($L$18:$L$379&lt;&gt;L272),0),0)),IFERROR(INDEX($L$381:$L$498,MATCH(1,INDEX(($A$381:$A$498=A272)*(IFERROR($B$381:$B$498&gt;=E272-30,0))*(IFERROR($B$381:$B$498&lt;=E272+30,0))*($G$381:$G$498&gt;0)*($L$381:$L$498&lt;&gt;L272),0),0)),"")),"")</f>
        <v/>
      </c>
      <c r="R272" s="32"/>
      <c r="S272" s="31" t="str">
        <f>IF(R272&lt;&gt;"",R272,Q272)</f>
        <v/>
      </c>
      <c r="T272" s="63">
        <f>IF(OR(N272="",O272=0),0,N272*O272)</f>
        <v>0</v>
      </c>
      <c r="U272" s="63">
        <f>IF(COUNTIF($S$18:$S$498,L272)=0,"",SUMIF($S$18:$S$498,L272,$T$18:$T$498))</f>
        <v>0</v>
      </c>
      <c r="V272" s="63" t="str">
        <f>IF(H272="","",IFERROR(H272+U272,H272))</f>
        <v/>
      </c>
      <c r="W272" s="63" t="str">
        <f>IF(OR(V272="",C272=""),"",V272/C272)</f>
        <v/>
      </c>
      <c r="X272" s="11" t="str">
        <f>IF(A272="","",IF(AND(U272&lt;&gt;"",U272&lt;&gt;0,M272=0),"Replacement lot receiving wash basis",IF(J272="","",IF(J272&gt;=0,"",IF(O272=0,"No replacement buy found",IF(P272&gt;1,"Manual selection needed","Auto matched"))))))</f>
        <v/>
      </c>
      <c r="Z272" t="str">
        <f>IF(K272="Yes",COUNTIF($K$18:K272,"Yes"),"")</f>
        <v/>
      </c>
    </row>
    <row r="273" spans="1:26" ht="34.15" customHeight="1" x14ac:dyDescent="0.2">
      <c r="A273" s="9"/>
      <c r="B273" s="69"/>
      <c r="C273" s="30"/>
      <c r="D273" s="70"/>
      <c r="E273" s="69"/>
      <c r="F273" s="70"/>
      <c r="G273" s="30"/>
      <c r="H273" s="63" t="str">
        <f>IF(OR(C273="",D273=""),"",C273*D273)</f>
        <v/>
      </c>
      <c r="I273" s="63" t="str">
        <f>IF(OR(E273="",F273="",M273&lt;=0),"",M273*F273)</f>
        <v/>
      </c>
      <c r="J273" s="63" t="str">
        <f>IF(I273="","",I273-(M273*D273))</f>
        <v/>
      </c>
      <c r="K273" s="28" t="str">
        <f>IF(A273="","",IF(T273&gt;0,"Yes","No"))</f>
        <v/>
      </c>
      <c r="L273" s="28" t="str">
        <f>IF(A273="","",A273&amp;"-"&amp;TEXT(B273,"yyyymmdd")&amp;"-R"&amp;ROW())</f>
        <v/>
      </c>
      <c r="M273" s="28" t="str">
        <f>IF(OR(C273="",G273=""),"",C273-G273)</f>
        <v/>
      </c>
      <c r="N273" s="63" t="str">
        <f>IF(OR(M273&lt;=0,J273&gt;=0),"",ABS(J273)/M273)</f>
        <v/>
      </c>
      <c r="O273" s="63" t="str">
        <f>IF(OR(A273="",M273&lt;=0,J273&gt;=0),"",MIN(M273,SUMPRODUCT(($A$18:$A$379=A273)*(IFERROR($B$18:$B$379&gt;=E273-30,0))*(IFERROR($B$18:$B$379&lt;=E273+30,0))*($G$18:$G$379&gt;0)*($L$18:$L$379&lt;&gt;L273)*($G$18:$G$379))+SUMPRODUCT(($A$381:$A$498=A273)*(IFERROR($B$381:$B$498&gt;=E273-30,0))*(IFERROR($B$381:$B$498&lt;=E273+30,0))*($G$381:$G$498&gt;0)*($L$381:$L$498&lt;&gt;L273)*($G$381:$G$498))))</f>
        <v/>
      </c>
      <c r="P273" s="28" t="str">
        <f>IF(OR(A273="",M273&lt;=0,J273&gt;=0),"",SUMPRODUCT(($A$18:$A$379=A273)*(IFERROR($B$18:$B$379&gt;=E273-30,0))*(IFERROR($B$18:$B$379&lt;=E273+30,0))*($G$18:$G$379&gt;0)*($L$18:$L$379&lt;&gt;L273))+SUMPRODUCT(($A$381:$A$498=A273)*(IFERROR($B$381:$B$498&gt;=E273-30,0))*(IFERROR($B$381:$B$498&lt;=E273+30,0))*($G$381:$G$498&gt;0)*($L$381:$L$498&lt;&gt;L273)))</f>
        <v/>
      </c>
      <c r="Q273" s="31" t="str">
        <f>IF(P273=1,IFERROR(INDEX($L$18:$L$379,MATCH(1,INDEX(($A$18:$A$379=A273)*(IFERROR($B$18:$B$379&gt;=E273-30,0))*(IFERROR($B$18:$B$379&lt;=E273+30,0))*($G$18:$G$379&gt;0)*($L$18:$L$379&lt;&gt;L273),0),0)),IFERROR(INDEX($L$381:$L$498,MATCH(1,INDEX(($A$381:$A$498=A273)*(IFERROR($B$381:$B$498&gt;=E273-30,0))*(IFERROR($B$381:$B$498&lt;=E273+30,0))*($G$381:$G$498&gt;0)*($L$381:$L$498&lt;&gt;L273),0),0)),"")),"")</f>
        <v/>
      </c>
      <c r="R273" s="32"/>
      <c r="S273" s="31" t="str">
        <f>IF(R273&lt;&gt;"",R273,Q273)</f>
        <v/>
      </c>
      <c r="T273" s="63">
        <f>IF(OR(N273="",O273=0),0,N273*O273)</f>
        <v>0</v>
      </c>
      <c r="U273" s="63">
        <f>IF(COUNTIF($S$18:$S$498,L273)=0,"",SUMIF($S$18:$S$498,L273,$T$18:$T$498))</f>
        <v>0</v>
      </c>
      <c r="V273" s="63" t="str">
        <f>IF(H273="","",IFERROR(H273+U273,H273))</f>
        <v/>
      </c>
      <c r="W273" s="63" t="str">
        <f>IF(OR(V273="",C273=""),"",V273/C273)</f>
        <v/>
      </c>
      <c r="X273" s="11" t="str">
        <f>IF(A273="","",IF(AND(U273&lt;&gt;"",U273&lt;&gt;0,M273=0),"Replacement lot receiving wash basis",IF(J273="","",IF(J273&gt;=0,"",IF(O273=0,"No replacement buy found",IF(P273&gt;1,"Manual selection needed","Auto matched"))))))</f>
        <v/>
      </c>
      <c r="Z273" t="str">
        <f>IF(K273="Yes",COUNTIF($K$18:K273,"Yes"),"")</f>
        <v/>
      </c>
    </row>
    <row r="274" spans="1:26" ht="34.15" customHeight="1" x14ac:dyDescent="0.2">
      <c r="A274" s="9"/>
      <c r="B274" s="69"/>
      <c r="C274" s="30"/>
      <c r="D274" s="70"/>
      <c r="E274" s="69"/>
      <c r="F274" s="70"/>
      <c r="G274" s="30"/>
      <c r="H274" s="63" t="str">
        <f>IF(OR(C274="",D274=""),"",C274*D274)</f>
        <v/>
      </c>
      <c r="I274" s="63" t="str">
        <f>IF(OR(E274="",F274="",M274&lt;=0),"",M274*F274)</f>
        <v/>
      </c>
      <c r="J274" s="63" t="str">
        <f>IF(I274="","",I274-(M274*D274))</f>
        <v/>
      </c>
      <c r="K274" s="28" t="str">
        <f>IF(A274="","",IF(T274&gt;0,"Yes","No"))</f>
        <v/>
      </c>
      <c r="L274" s="28" t="str">
        <f>IF(A274="","",A274&amp;"-"&amp;TEXT(B274,"yyyymmdd")&amp;"-R"&amp;ROW())</f>
        <v/>
      </c>
      <c r="M274" s="28" t="str">
        <f>IF(OR(C274="",G274=""),"",C274-G274)</f>
        <v/>
      </c>
      <c r="N274" s="63" t="str">
        <f>IF(OR(M274&lt;=0,J274&gt;=0),"",ABS(J274)/M274)</f>
        <v/>
      </c>
      <c r="O274" s="63" t="str">
        <f>IF(OR(A274="",M274&lt;=0,J274&gt;=0),"",MIN(M274,SUMPRODUCT(($A$18:$A$379=A274)*(IFERROR($B$18:$B$379&gt;=E274-30,0))*(IFERROR($B$18:$B$379&lt;=E274+30,0))*($G$18:$G$379&gt;0)*($L$18:$L$379&lt;&gt;L274)*($G$18:$G$379))+SUMPRODUCT(($A$381:$A$498=A274)*(IFERROR($B$381:$B$498&gt;=E274-30,0))*(IFERROR($B$381:$B$498&lt;=E274+30,0))*($G$381:$G$498&gt;0)*($L$381:$L$498&lt;&gt;L274)*($G$381:$G$498))))</f>
        <v/>
      </c>
      <c r="P274" s="28" t="str">
        <f>IF(OR(A274="",M274&lt;=0,J274&gt;=0),"",SUMPRODUCT(($A$18:$A$379=A274)*(IFERROR($B$18:$B$379&gt;=E274-30,0))*(IFERROR($B$18:$B$379&lt;=E274+30,0))*($G$18:$G$379&gt;0)*($L$18:$L$379&lt;&gt;L274))+SUMPRODUCT(($A$381:$A$498=A274)*(IFERROR($B$381:$B$498&gt;=E274-30,0))*(IFERROR($B$381:$B$498&lt;=E274+30,0))*($G$381:$G$498&gt;0)*($L$381:$L$498&lt;&gt;L274)))</f>
        <v/>
      </c>
      <c r="Q274" s="31" t="str">
        <f>IF(P274=1,IFERROR(INDEX($L$18:$L$379,MATCH(1,INDEX(($A$18:$A$379=A274)*(IFERROR($B$18:$B$379&gt;=E274-30,0))*(IFERROR($B$18:$B$379&lt;=E274+30,0))*($G$18:$G$379&gt;0)*($L$18:$L$379&lt;&gt;L274),0),0)),IFERROR(INDEX($L$381:$L$498,MATCH(1,INDEX(($A$381:$A$498=A274)*(IFERROR($B$381:$B$498&gt;=E274-30,0))*(IFERROR($B$381:$B$498&lt;=E274+30,0))*($G$381:$G$498&gt;0)*($L$381:$L$498&lt;&gt;L274),0),0)),"")),"")</f>
        <v/>
      </c>
      <c r="R274" s="32"/>
      <c r="S274" s="31" t="str">
        <f>IF(R274&lt;&gt;"",R274,Q274)</f>
        <v/>
      </c>
      <c r="T274" s="63">
        <f>IF(OR(N274="",O274=0),0,N274*O274)</f>
        <v>0</v>
      </c>
      <c r="U274" s="63">
        <f>IF(COUNTIF($S$18:$S$498,L274)=0,"",SUMIF($S$18:$S$498,L274,$T$18:$T$498))</f>
        <v>0</v>
      </c>
      <c r="V274" s="63" t="str">
        <f>IF(H274="","",IFERROR(H274+U274,H274))</f>
        <v/>
      </c>
      <c r="W274" s="63" t="str">
        <f>IF(OR(V274="",C274=""),"",V274/C274)</f>
        <v/>
      </c>
      <c r="X274" s="11" t="str">
        <f>IF(A274="","",IF(AND(U274&lt;&gt;"",U274&lt;&gt;0,M274=0),"Replacement lot receiving wash basis",IF(J274="","",IF(J274&gt;=0,"",IF(O274=0,"No replacement buy found",IF(P274&gt;1,"Manual selection needed","Auto matched"))))))</f>
        <v/>
      </c>
      <c r="Z274" t="str">
        <f>IF(K274="Yes",COUNTIF($K$18:K274,"Yes"),"")</f>
        <v/>
      </c>
    </row>
    <row r="275" spans="1:26" ht="34.15" customHeight="1" x14ac:dyDescent="0.2">
      <c r="A275" s="9"/>
      <c r="B275" s="69"/>
      <c r="C275" s="30"/>
      <c r="D275" s="70"/>
      <c r="E275" s="69"/>
      <c r="F275" s="70"/>
      <c r="G275" s="30"/>
      <c r="H275" s="63" t="str">
        <f>IF(OR(C275="",D275=""),"",C275*D275)</f>
        <v/>
      </c>
      <c r="I275" s="63" t="str">
        <f>IF(OR(E275="",F275="",M275&lt;=0),"",M275*F275)</f>
        <v/>
      </c>
      <c r="J275" s="63" t="str">
        <f>IF(I275="","",I275-(M275*D275))</f>
        <v/>
      </c>
      <c r="K275" s="28" t="str">
        <f>IF(A275="","",IF(T275&gt;0,"Yes","No"))</f>
        <v/>
      </c>
      <c r="L275" s="28" t="str">
        <f>IF(A275="","",A275&amp;"-"&amp;TEXT(B275,"yyyymmdd")&amp;"-R"&amp;ROW())</f>
        <v/>
      </c>
      <c r="M275" s="28" t="str">
        <f>IF(OR(C275="",G275=""),"",C275-G275)</f>
        <v/>
      </c>
      <c r="N275" s="63" t="str">
        <f>IF(OR(M275&lt;=0,J275&gt;=0),"",ABS(J275)/M275)</f>
        <v/>
      </c>
      <c r="O275" s="63" t="str">
        <f>IF(OR(A275="",M275&lt;=0,J275&gt;=0),"",MIN(M275,SUMPRODUCT(($A$18:$A$379=A275)*(IFERROR($B$18:$B$379&gt;=E275-30,0))*(IFERROR($B$18:$B$379&lt;=E275+30,0))*($G$18:$G$379&gt;0)*($L$18:$L$379&lt;&gt;L275)*($G$18:$G$379))+SUMPRODUCT(($A$381:$A$498=A275)*(IFERROR($B$381:$B$498&gt;=E275-30,0))*(IFERROR($B$381:$B$498&lt;=E275+30,0))*($G$381:$G$498&gt;0)*($L$381:$L$498&lt;&gt;L275)*($G$381:$G$498))))</f>
        <v/>
      </c>
      <c r="P275" s="28" t="str">
        <f>IF(OR(A275="",M275&lt;=0,J275&gt;=0),"",SUMPRODUCT(($A$18:$A$379=A275)*(IFERROR($B$18:$B$379&gt;=E275-30,0))*(IFERROR($B$18:$B$379&lt;=E275+30,0))*($G$18:$G$379&gt;0)*($L$18:$L$379&lt;&gt;L275))+SUMPRODUCT(($A$381:$A$498=A275)*(IFERROR($B$381:$B$498&gt;=E275-30,0))*(IFERROR($B$381:$B$498&lt;=E275+30,0))*($G$381:$G$498&gt;0)*($L$381:$L$498&lt;&gt;L275)))</f>
        <v/>
      </c>
      <c r="Q275" s="31" t="str">
        <f>IF(P275=1,IFERROR(INDEX($L$18:$L$379,MATCH(1,INDEX(($A$18:$A$379=A275)*(IFERROR($B$18:$B$379&gt;=E275-30,0))*(IFERROR($B$18:$B$379&lt;=E275+30,0))*($G$18:$G$379&gt;0)*($L$18:$L$379&lt;&gt;L275),0),0)),IFERROR(INDEX($L$381:$L$498,MATCH(1,INDEX(($A$381:$A$498=A275)*(IFERROR($B$381:$B$498&gt;=E275-30,0))*(IFERROR($B$381:$B$498&lt;=E275+30,0))*($G$381:$G$498&gt;0)*($L$381:$L$498&lt;&gt;L275),0),0)),"")),"")</f>
        <v/>
      </c>
      <c r="R275" s="32"/>
      <c r="S275" s="31" t="str">
        <f>IF(R275&lt;&gt;"",R275,Q275)</f>
        <v/>
      </c>
      <c r="T275" s="63">
        <f>IF(OR(N275="",O275=0),0,N275*O275)</f>
        <v>0</v>
      </c>
      <c r="U275" s="63">
        <f>IF(COUNTIF($S$18:$S$498,L275)=0,"",SUMIF($S$18:$S$498,L275,$T$18:$T$498))</f>
        <v>0</v>
      </c>
      <c r="V275" s="63" t="str">
        <f>IF(H275="","",IFERROR(H275+U275,H275))</f>
        <v/>
      </c>
      <c r="W275" s="63" t="str">
        <f>IF(OR(V275="",C275=""),"",V275/C275)</f>
        <v/>
      </c>
      <c r="X275" s="11" t="str">
        <f>IF(A275="","",IF(AND(U275&lt;&gt;"",U275&lt;&gt;0,M275=0),"Replacement lot receiving wash basis",IF(J275="","",IF(J275&gt;=0,"",IF(O275=0,"No replacement buy found",IF(P275&gt;1,"Manual selection needed","Auto matched"))))))</f>
        <v/>
      </c>
      <c r="Z275" t="str">
        <f>IF(K275="Yes",COUNTIF($K$18:K275,"Yes"),"")</f>
        <v/>
      </c>
    </row>
    <row r="276" spans="1:26" ht="34.15" customHeight="1" x14ac:dyDescent="0.2">
      <c r="A276" s="9"/>
      <c r="B276" s="69"/>
      <c r="C276" s="30"/>
      <c r="D276" s="70"/>
      <c r="E276" s="69"/>
      <c r="F276" s="70"/>
      <c r="G276" s="30"/>
      <c r="H276" s="63" t="str">
        <f>IF(OR(C276="",D276=""),"",C276*D276)</f>
        <v/>
      </c>
      <c r="I276" s="63" t="str">
        <f>IF(OR(E276="",F276="",M276&lt;=0),"",M276*F276)</f>
        <v/>
      </c>
      <c r="J276" s="63" t="str">
        <f>IF(I276="","",I276-(M276*D276))</f>
        <v/>
      </c>
      <c r="K276" s="28" t="str">
        <f>IF(A276="","",IF(T276&gt;0,"Yes","No"))</f>
        <v/>
      </c>
      <c r="L276" s="28" t="str">
        <f>IF(A276="","",A276&amp;"-"&amp;TEXT(B276,"yyyymmdd")&amp;"-R"&amp;ROW())</f>
        <v/>
      </c>
      <c r="M276" s="28" t="str">
        <f>IF(OR(C276="",G276=""),"",C276-G276)</f>
        <v/>
      </c>
      <c r="N276" s="63" t="str">
        <f>IF(OR(M276&lt;=0,J276&gt;=0),"",ABS(J276)/M276)</f>
        <v/>
      </c>
      <c r="O276" s="63" t="str">
        <f>IF(OR(A276="",M276&lt;=0,J276&gt;=0),"",MIN(M276,SUMPRODUCT(($A$18:$A$379=A276)*(IFERROR($B$18:$B$379&gt;=E276-30,0))*(IFERROR($B$18:$B$379&lt;=E276+30,0))*($G$18:$G$379&gt;0)*($L$18:$L$379&lt;&gt;L276)*($G$18:$G$379))+SUMPRODUCT(($A$381:$A$498=A276)*(IFERROR($B$381:$B$498&gt;=E276-30,0))*(IFERROR($B$381:$B$498&lt;=E276+30,0))*($G$381:$G$498&gt;0)*($L$381:$L$498&lt;&gt;L276)*($G$381:$G$498))))</f>
        <v/>
      </c>
      <c r="P276" s="28" t="str">
        <f>IF(OR(A276="",M276&lt;=0,J276&gt;=0),"",SUMPRODUCT(($A$18:$A$379=A276)*(IFERROR($B$18:$B$379&gt;=E276-30,0))*(IFERROR($B$18:$B$379&lt;=E276+30,0))*($G$18:$G$379&gt;0)*($L$18:$L$379&lt;&gt;L276))+SUMPRODUCT(($A$381:$A$498=A276)*(IFERROR($B$381:$B$498&gt;=E276-30,0))*(IFERROR($B$381:$B$498&lt;=E276+30,0))*($G$381:$G$498&gt;0)*($L$381:$L$498&lt;&gt;L276)))</f>
        <v/>
      </c>
      <c r="Q276" s="31" t="str">
        <f>IF(P276=1,IFERROR(INDEX($L$18:$L$379,MATCH(1,INDEX(($A$18:$A$379=A276)*(IFERROR($B$18:$B$379&gt;=E276-30,0))*(IFERROR($B$18:$B$379&lt;=E276+30,0))*($G$18:$G$379&gt;0)*($L$18:$L$379&lt;&gt;L276),0),0)),IFERROR(INDEX($L$381:$L$498,MATCH(1,INDEX(($A$381:$A$498=A276)*(IFERROR($B$381:$B$498&gt;=E276-30,0))*(IFERROR($B$381:$B$498&lt;=E276+30,0))*($G$381:$G$498&gt;0)*($L$381:$L$498&lt;&gt;L276),0),0)),"")),"")</f>
        <v/>
      </c>
      <c r="R276" s="32"/>
      <c r="S276" s="31" t="str">
        <f>IF(R276&lt;&gt;"",R276,Q276)</f>
        <v/>
      </c>
      <c r="T276" s="63">
        <f>IF(OR(N276="",O276=0),0,N276*O276)</f>
        <v>0</v>
      </c>
      <c r="U276" s="63">
        <f>IF(COUNTIF($S$18:$S$498,L276)=0,"",SUMIF($S$18:$S$498,L276,$T$18:$T$498))</f>
        <v>0</v>
      </c>
      <c r="V276" s="63" t="str">
        <f>IF(H276="","",IFERROR(H276+U276,H276))</f>
        <v/>
      </c>
      <c r="W276" s="63" t="str">
        <f>IF(OR(V276="",C276=""),"",V276/C276)</f>
        <v/>
      </c>
      <c r="X276" s="11" t="str">
        <f>IF(A276="","",IF(AND(U276&lt;&gt;"",U276&lt;&gt;0,M276=0),"Replacement lot receiving wash basis",IF(J276="","",IF(J276&gt;=0,"",IF(O276=0,"No replacement buy found",IF(P276&gt;1,"Manual selection needed","Auto matched"))))))</f>
        <v/>
      </c>
      <c r="Z276" t="str">
        <f>IF(K276="Yes",COUNTIF($K$18:K276,"Yes"),"")</f>
        <v/>
      </c>
    </row>
    <row r="277" spans="1:26" ht="34.15" customHeight="1" x14ac:dyDescent="0.2">
      <c r="A277" s="9"/>
      <c r="B277" s="69"/>
      <c r="C277" s="30"/>
      <c r="D277" s="70"/>
      <c r="E277" s="69"/>
      <c r="F277" s="70"/>
      <c r="G277" s="30"/>
      <c r="H277" s="63" t="str">
        <f>IF(OR(C277="",D277=""),"",C277*D277)</f>
        <v/>
      </c>
      <c r="I277" s="63" t="str">
        <f>IF(OR(E277="",F277="",M277&lt;=0),"",M277*F277)</f>
        <v/>
      </c>
      <c r="J277" s="63" t="str">
        <f>IF(I277="","",I277-(M277*D277))</f>
        <v/>
      </c>
      <c r="K277" s="28" t="str">
        <f>IF(A277="","",IF(T277&gt;0,"Yes","No"))</f>
        <v/>
      </c>
      <c r="L277" s="28" t="str">
        <f>IF(A277="","",A277&amp;"-"&amp;TEXT(B277,"yyyymmdd")&amp;"-R"&amp;ROW())</f>
        <v/>
      </c>
      <c r="M277" s="28" t="str">
        <f>IF(OR(C277="",G277=""),"",C277-G277)</f>
        <v/>
      </c>
      <c r="N277" s="63" t="str">
        <f>IF(OR(M277&lt;=0,J277&gt;=0),"",ABS(J277)/M277)</f>
        <v/>
      </c>
      <c r="O277" s="63" t="str">
        <f>IF(OR(A277="",M277&lt;=0,J277&gt;=0),"",MIN(M277,SUMPRODUCT(($A$18:$A$379=A277)*(IFERROR($B$18:$B$379&gt;=E277-30,0))*(IFERROR($B$18:$B$379&lt;=E277+30,0))*($G$18:$G$379&gt;0)*($L$18:$L$379&lt;&gt;L277)*($G$18:$G$379))+SUMPRODUCT(($A$381:$A$498=A277)*(IFERROR($B$381:$B$498&gt;=E277-30,0))*(IFERROR($B$381:$B$498&lt;=E277+30,0))*($G$381:$G$498&gt;0)*($L$381:$L$498&lt;&gt;L277)*($G$381:$G$498))))</f>
        <v/>
      </c>
      <c r="P277" s="28" t="str">
        <f>IF(OR(A277="",M277&lt;=0,J277&gt;=0),"",SUMPRODUCT(($A$18:$A$379=A277)*(IFERROR($B$18:$B$379&gt;=E277-30,0))*(IFERROR($B$18:$B$379&lt;=E277+30,0))*($G$18:$G$379&gt;0)*($L$18:$L$379&lt;&gt;L277))+SUMPRODUCT(($A$381:$A$498=A277)*(IFERROR($B$381:$B$498&gt;=E277-30,0))*(IFERROR($B$381:$B$498&lt;=E277+30,0))*($G$381:$G$498&gt;0)*($L$381:$L$498&lt;&gt;L277)))</f>
        <v/>
      </c>
      <c r="Q277" s="31" t="str">
        <f>IF(P277=1,IFERROR(INDEX($L$18:$L$379,MATCH(1,INDEX(($A$18:$A$379=A277)*(IFERROR($B$18:$B$379&gt;=E277-30,0))*(IFERROR($B$18:$B$379&lt;=E277+30,0))*($G$18:$G$379&gt;0)*($L$18:$L$379&lt;&gt;L277),0),0)),IFERROR(INDEX($L$381:$L$498,MATCH(1,INDEX(($A$381:$A$498=A277)*(IFERROR($B$381:$B$498&gt;=E277-30,0))*(IFERROR($B$381:$B$498&lt;=E277+30,0))*($G$381:$G$498&gt;0)*($L$381:$L$498&lt;&gt;L277),0),0)),"")),"")</f>
        <v/>
      </c>
      <c r="R277" s="32"/>
      <c r="S277" s="31" t="str">
        <f>IF(R277&lt;&gt;"",R277,Q277)</f>
        <v/>
      </c>
      <c r="T277" s="63">
        <f>IF(OR(N277="",O277=0),0,N277*O277)</f>
        <v>0</v>
      </c>
      <c r="U277" s="63">
        <f>IF(COUNTIF($S$18:$S$498,L277)=0,"",SUMIF($S$18:$S$498,L277,$T$18:$T$498))</f>
        <v>0</v>
      </c>
      <c r="V277" s="63" t="str">
        <f>IF(H277="","",IFERROR(H277+U277,H277))</f>
        <v/>
      </c>
      <c r="W277" s="63" t="str">
        <f>IF(OR(V277="",C277=""),"",V277/C277)</f>
        <v/>
      </c>
      <c r="X277" s="11" t="str">
        <f>IF(A277="","",IF(AND(U277&lt;&gt;"",U277&lt;&gt;0,M277=0),"Replacement lot receiving wash basis",IF(J277="","",IF(J277&gt;=0,"",IF(O277=0,"No replacement buy found",IF(P277&gt;1,"Manual selection needed","Auto matched"))))))</f>
        <v/>
      </c>
      <c r="Z277" t="str">
        <f>IF(K277="Yes",COUNTIF($K$18:K277,"Yes"),"")</f>
        <v/>
      </c>
    </row>
    <row r="278" spans="1:26" ht="34.15" customHeight="1" x14ac:dyDescent="0.2">
      <c r="A278" s="9"/>
      <c r="B278" s="69"/>
      <c r="C278" s="30"/>
      <c r="D278" s="70"/>
      <c r="E278" s="69"/>
      <c r="F278" s="70"/>
      <c r="G278" s="30"/>
      <c r="H278" s="63" t="str">
        <f>IF(OR(C278="",D278=""),"",C278*D278)</f>
        <v/>
      </c>
      <c r="I278" s="63" t="str">
        <f>IF(OR(E278="",F278="",M278&lt;=0),"",M278*F278)</f>
        <v/>
      </c>
      <c r="J278" s="63" t="str">
        <f>IF(I278="","",I278-(M278*D278))</f>
        <v/>
      </c>
      <c r="K278" s="28" t="str">
        <f>IF(A278="","",IF(T278&gt;0,"Yes","No"))</f>
        <v/>
      </c>
      <c r="L278" s="28" t="str">
        <f>IF(A278="","",A278&amp;"-"&amp;TEXT(B278,"yyyymmdd")&amp;"-R"&amp;ROW())</f>
        <v/>
      </c>
      <c r="M278" s="28" t="str">
        <f>IF(OR(C278="",G278=""),"",C278-G278)</f>
        <v/>
      </c>
      <c r="N278" s="63" t="str">
        <f>IF(OR(M278&lt;=0,J278&gt;=0),"",ABS(J278)/M278)</f>
        <v/>
      </c>
      <c r="O278" s="63" t="str">
        <f>IF(OR(A278="",M278&lt;=0,J278&gt;=0),"",MIN(M278,SUMPRODUCT(($A$18:$A$379=A278)*(IFERROR($B$18:$B$379&gt;=E278-30,0))*(IFERROR($B$18:$B$379&lt;=E278+30,0))*($G$18:$G$379&gt;0)*($L$18:$L$379&lt;&gt;L278)*($G$18:$G$379))+SUMPRODUCT(($A$381:$A$498=A278)*(IFERROR($B$381:$B$498&gt;=E278-30,0))*(IFERROR($B$381:$B$498&lt;=E278+30,0))*($G$381:$G$498&gt;0)*($L$381:$L$498&lt;&gt;L278)*($G$381:$G$498))))</f>
        <v/>
      </c>
      <c r="P278" s="28" t="str">
        <f>IF(OR(A278="",M278&lt;=0,J278&gt;=0),"",SUMPRODUCT(($A$18:$A$379=A278)*(IFERROR($B$18:$B$379&gt;=E278-30,0))*(IFERROR($B$18:$B$379&lt;=E278+30,0))*($G$18:$G$379&gt;0)*($L$18:$L$379&lt;&gt;L278))+SUMPRODUCT(($A$381:$A$498=A278)*(IFERROR($B$381:$B$498&gt;=E278-30,0))*(IFERROR($B$381:$B$498&lt;=E278+30,0))*($G$381:$G$498&gt;0)*($L$381:$L$498&lt;&gt;L278)))</f>
        <v/>
      </c>
      <c r="Q278" s="31" t="str">
        <f>IF(P278=1,IFERROR(INDEX($L$18:$L$379,MATCH(1,INDEX(($A$18:$A$379=A278)*(IFERROR($B$18:$B$379&gt;=E278-30,0))*(IFERROR($B$18:$B$379&lt;=E278+30,0))*($G$18:$G$379&gt;0)*($L$18:$L$379&lt;&gt;L278),0),0)),IFERROR(INDEX($L$381:$L$498,MATCH(1,INDEX(($A$381:$A$498=A278)*(IFERROR($B$381:$B$498&gt;=E278-30,0))*(IFERROR($B$381:$B$498&lt;=E278+30,0))*($G$381:$G$498&gt;0)*($L$381:$L$498&lt;&gt;L278),0),0)),"")),"")</f>
        <v/>
      </c>
      <c r="R278" s="32"/>
      <c r="S278" s="31" t="str">
        <f>IF(R278&lt;&gt;"",R278,Q278)</f>
        <v/>
      </c>
      <c r="T278" s="63">
        <f>IF(OR(N278="",O278=0),0,N278*O278)</f>
        <v>0</v>
      </c>
      <c r="U278" s="63">
        <f>IF(COUNTIF($S$18:$S$498,L278)=0,"",SUMIF($S$18:$S$498,L278,$T$18:$T$498))</f>
        <v>0</v>
      </c>
      <c r="V278" s="63" t="str">
        <f>IF(H278="","",IFERROR(H278+U278,H278))</f>
        <v/>
      </c>
      <c r="W278" s="63" t="str">
        <f>IF(OR(V278="",C278=""),"",V278/C278)</f>
        <v/>
      </c>
      <c r="X278" s="11" t="str">
        <f>IF(A278="","",IF(AND(U278&lt;&gt;"",U278&lt;&gt;0,M278=0),"Replacement lot receiving wash basis",IF(J278="","",IF(J278&gt;=0,"",IF(O278=0,"No replacement buy found",IF(P278&gt;1,"Manual selection needed","Auto matched"))))))</f>
        <v/>
      </c>
      <c r="Z278" t="str">
        <f>IF(K278="Yes",COUNTIF($K$18:K278,"Yes"),"")</f>
        <v/>
      </c>
    </row>
    <row r="279" spans="1:26" ht="34.15" customHeight="1" x14ac:dyDescent="0.2">
      <c r="A279" s="9"/>
      <c r="B279" s="69"/>
      <c r="C279" s="30"/>
      <c r="D279" s="70"/>
      <c r="E279" s="69"/>
      <c r="F279" s="70"/>
      <c r="G279" s="30"/>
      <c r="H279" s="63" t="str">
        <f>IF(OR(C279="",D279=""),"",C279*D279)</f>
        <v/>
      </c>
      <c r="I279" s="63" t="str">
        <f>IF(OR(E279="",F279="",M279&lt;=0),"",M279*F279)</f>
        <v/>
      </c>
      <c r="J279" s="63" t="str">
        <f>IF(I279="","",I279-(M279*D279))</f>
        <v/>
      </c>
      <c r="K279" s="28" t="str">
        <f>IF(A279="","",IF(T279&gt;0,"Yes","No"))</f>
        <v/>
      </c>
      <c r="L279" s="28" t="str">
        <f>IF(A279="","",A279&amp;"-"&amp;TEXT(B279,"yyyymmdd")&amp;"-R"&amp;ROW())</f>
        <v/>
      </c>
      <c r="M279" s="28" t="str">
        <f>IF(OR(C279="",G279=""),"",C279-G279)</f>
        <v/>
      </c>
      <c r="N279" s="63" t="str">
        <f>IF(OR(M279&lt;=0,J279&gt;=0),"",ABS(J279)/M279)</f>
        <v/>
      </c>
      <c r="O279" s="63" t="str">
        <f>IF(OR(A279="",M279&lt;=0,J279&gt;=0),"",MIN(M279,SUMPRODUCT(($A$18:$A$379=A279)*(IFERROR($B$18:$B$379&gt;=E279-30,0))*(IFERROR($B$18:$B$379&lt;=E279+30,0))*($G$18:$G$379&gt;0)*($L$18:$L$379&lt;&gt;L279)*($G$18:$G$379))+SUMPRODUCT(($A$381:$A$498=A279)*(IFERROR($B$381:$B$498&gt;=E279-30,0))*(IFERROR($B$381:$B$498&lt;=E279+30,0))*($G$381:$G$498&gt;0)*($L$381:$L$498&lt;&gt;L279)*($G$381:$G$498))))</f>
        <v/>
      </c>
      <c r="P279" s="28" t="str">
        <f>IF(OR(A279="",M279&lt;=0,J279&gt;=0),"",SUMPRODUCT(($A$18:$A$379=A279)*(IFERROR($B$18:$B$379&gt;=E279-30,0))*(IFERROR($B$18:$B$379&lt;=E279+30,0))*($G$18:$G$379&gt;0)*($L$18:$L$379&lt;&gt;L279))+SUMPRODUCT(($A$381:$A$498=A279)*(IFERROR($B$381:$B$498&gt;=E279-30,0))*(IFERROR($B$381:$B$498&lt;=E279+30,0))*($G$381:$G$498&gt;0)*($L$381:$L$498&lt;&gt;L279)))</f>
        <v/>
      </c>
      <c r="Q279" s="31" t="str">
        <f>IF(P279=1,IFERROR(INDEX($L$18:$L$379,MATCH(1,INDEX(($A$18:$A$379=A279)*(IFERROR($B$18:$B$379&gt;=E279-30,0))*(IFERROR($B$18:$B$379&lt;=E279+30,0))*($G$18:$G$379&gt;0)*($L$18:$L$379&lt;&gt;L279),0),0)),IFERROR(INDEX($L$381:$L$498,MATCH(1,INDEX(($A$381:$A$498=A279)*(IFERROR($B$381:$B$498&gt;=E279-30,0))*(IFERROR($B$381:$B$498&lt;=E279+30,0))*($G$381:$G$498&gt;0)*($L$381:$L$498&lt;&gt;L279),0),0)),"")),"")</f>
        <v/>
      </c>
      <c r="R279" s="32"/>
      <c r="S279" s="31" t="str">
        <f>IF(R279&lt;&gt;"",R279,Q279)</f>
        <v/>
      </c>
      <c r="T279" s="63">
        <f>IF(OR(N279="",O279=0),0,N279*O279)</f>
        <v>0</v>
      </c>
      <c r="U279" s="63">
        <f>IF(COUNTIF($S$18:$S$498,L279)=0,"",SUMIF($S$18:$S$498,L279,$T$18:$T$498))</f>
        <v>0</v>
      </c>
      <c r="V279" s="63" t="str">
        <f>IF(H279="","",IFERROR(H279+U279,H279))</f>
        <v/>
      </c>
      <c r="W279" s="63" t="str">
        <f>IF(OR(V279="",C279=""),"",V279/C279)</f>
        <v/>
      </c>
      <c r="X279" s="11" t="str">
        <f>IF(A279="","",IF(AND(U279&lt;&gt;"",U279&lt;&gt;0,M279=0),"Replacement lot receiving wash basis",IF(J279="","",IF(J279&gt;=0,"",IF(O279=0,"No replacement buy found",IF(P279&gt;1,"Manual selection needed","Auto matched"))))))</f>
        <v/>
      </c>
      <c r="Z279" t="str">
        <f>IF(K279="Yes",COUNTIF($K$18:K279,"Yes"),"")</f>
        <v/>
      </c>
    </row>
    <row r="280" spans="1:26" ht="34.15" customHeight="1" x14ac:dyDescent="0.2">
      <c r="A280" s="9"/>
      <c r="B280" s="69"/>
      <c r="C280" s="30"/>
      <c r="D280" s="70"/>
      <c r="E280" s="69"/>
      <c r="F280" s="70"/>
      <c r="G280" s="30"/>
      <c r="H280" s="63" t="str">
        <f>IF(OR(C280="",D280=""),"",C280*D280)</f>
        <v/>
      </c>
      <c r="I280" s="63" t="str">
        <f>IF(OR(E280="",F280="",M280&lt;=0),"",M280*F280)</f>
        <v/>
      </c>
      <c r="J280" s="63" t="str">
        <f>IF(I280="","",I280-(M280*D280))</f>
        <v/>
      </c>
      <c r="K280" s="28" t="str">
        <f>IF(A280="","",IF(T280&gt;0,"Yes","No"))</f>
        <v/>
      </c>
      <c r="L280" s="28" t="str">
        <f>IF(A280="","",A280&amp;"-"&amp;TEXT(B280,"yyyymmdd")&amp;"-R"&amp;ROW())</f>
        <v/>
      </c>
      <c r="M280" s="28" t="str">
        <f>IF(OR(C280="",G280=""),"",C280-G280)</f>
        <v/>
      </c>
      <c r="N280" s="63" t="str">
        <f>IF(OR(M280&lt;=0,J280&gt;=0),"",ABS(J280)/M280)</f>
        <v/>
      </c>
      <c r="O280" s="63" t="str">
        <f>IF(OR(A280="",M280&lt;=0,J280&gt;=0),"",MIN(M280,SUMPRODUCT(($A$18:$A$379=A280)*(IFERROR($B$18:$B$379&gt;=E280-30,0))*(IFERROR($B$18:$B$379&lt;=E280+30,0))*($G$18:$G$379&gt;0)*($L$18:$L$379&lt;&gt;L280)*($G$18:$G$379))+SUMPRODUCT(($A$381:$A$498=A280)*(IFERROR($B$381:$B$498&gt;=E280-30,0))*(IFERROR($B$381:$B$498&lt;=E280+30,0))*($G$381:$G$498&gt;0)*($L$381:$L$498&lt;&gt;L280)*($G$381:$G$498))))</f>
        <v/>
      </c>
      <c r="P280" s="28" t="str">
        <f>IF(OR(A280="",M280&lt;=0,J280&gt;=0),"",SUMPRODUCT(($A$18:$A$379=A280)*(IFERROR($B$18:$B$379&gt;=E280-30,0))*(IFERROR($B$18:$B$379&lt;=E280+30,0))*($G$18:$G$379&gt;0)*($L$18:$L$379&lt;&gt;L280))+SUMPRODUCT(($A$381:$A$498=A280)*(IFERROR($B$381:$B$498&gt;=E280-30,0))*(IFERROR($B$381:$B$498&lt;=E280+30,0))*($G$381:$G$498&gt;0)*($L$381:$L$498&lt;&gt;L280)))</f>
        <v/>
      </c>
      <c r="Q280" s="31" t="str">
        <f>IF(P280=1,IFERROR(INDEX($L$18:$L$379,MATCH(1,INDEX(($A$18:$A$379=A280)*(IFERROR($B$18:$B$379&gt;=E280-30,0))*(IFERROR($B$18:$B$379&lt;=E280+30,0))*($G$18:$G$379&gt;0)*($L$18:$L$379&lt;&gt;L280),0),0)),IFERROR(INDEX($L$381:$L$498,MATCH(1,INDEX(($A$381:$A$498=A280)*(IFERROR($B$381:$B$498&gt;=E280-30,0))*(IFERROR($B$381:$B$498&lt;=E280+30,0))*($G$381:$G$498&gt;0)*($L$381:$L$498&lt;&gt;L280),0),0)),"")),"")</f>
        <v/>
      </c>
      <c r="R280" s="32"/>
      <c r="S280" s="31" t="str">
        <f>IF(R280&lt;&gt;"",R280,Q280)</f>
        <v/>
      </c>
      <c r="T280" s="63">
        <f>IF(OR(N280="",O280=0),0,N280*O280)</f>
        <v>0</v>
      </c>
      <c r="U280" s="63">
        <f>IF(COUNTIF($S$18:$S$498,L280)=0,"",SUMIF($S$18:$S$498,L280,$T$18:$T$498))</f>
        <v>0</v>
      </c>
      <c r="V280" s="63" t="str">
        <f>IF(H280="","",IFERROR(H280+U280,H280))</f>
        <v/>
      </c>
      <c r="W280" s="63" t="str">
        <f>IF(OR(V280="",C280=""),"",V280/C280)</f>
        <v/>
      </c>
      <c r="X280" s="11" t="str">
        <f>IF(A280="","",IF(AND(U280&lt;&gt;"",U280&lt;&gt;0,M280=0),"Replacement lot receiving wash basis",IF(J280="","",IF(J280&gt;=0,"",IF(O280=0,"No replacement buy found",IF(P280&gt;1,"Manual selection needed","Auto matched"))))))</f>
        <v/>
      </c>
      <c r="Z280" t="str">
        <f>IF(K280="Yes",COUNTIF($K$18:K280,"Yes"),"")</f>
        <v/>
      </c>
    </row>
    <row r="281" spans="1:26" ht="34.15" customHeight="1" x14ac:dyDescent="0.2">
      <c r="A281" s="9"/>
      <c r="B281" s="69"/>
      <c r="C281" s="30"/>
      <c r="D281" s="70"/>
      <c r="E281" s="69"/>
      <c r="F281" s="70"/>
      <c r="G281" s="30"/>
      <c r="H281" s="63" t="str">
        <f>IF(OR(C281="",D281=""),"",C281*D281)</f>
        <v/>
      </c>
      <c r="I281" s="63" t="str">
        <f>IF(OR(E281="",F281="",M281&lt;=0),"",M281*F281)</f>
        <v/>
      </c>
      <c r="J281" s="63" t="str">
        <f>IF(I281="","",I281-(M281*D281))</f>
        <v/>
      </c>
      <c r="K281" s="28" t="str">
        <f>IF(A281="","",IF(T281&gt;0,"Yes","No"))</f>
        <v/>
      </c>
      <c r="L281" s="28" t="str">
        <f>IF(A281="","",A281&amp;"-"&amp;TEXT(B281,"yyyymmdd")&amp;"-R"&amp;ROW())</f>
        <v/>
      </c>
      <c r="M281" s="28" t="str">
        <f>IF(OR(C281="",G281=""),"",C281-G281)</f>
        <v/>
      </c>
      <c r="N281" s="63" t="str">
        <f>IF(OR(M281&lt;=0,J281&gt;=0),"",ABS(J281)/M281)</f>
        <v/>
      </c>
      <c r="O281" s="63" t="str">
        <f>IF(OR(A281="",M281&lt;=0,J281&gt;=0),"",MIN(M281,SUMPRODUCT(($A$18:$A$379=A281)*(IFERROR($B$18:$B$379&gt;=E281-30,0))*(IFERROR($B$18:$B$379&lt;=E281+30,0))*($G$18:$G$379&gt;0)*($L$18:$L$379&lt;&gt;L281)*($G$18:$G$379))+SUMPRODUCT(($A$381:$A$498=A281)*(IFERROR($B$381:$B$498&gt;=E281-30,0))*(IFERROR($B$381:$B$498&lt;=E281+30,0))*($G$381:$G$498&gt;0)*($L$381:$L$498&lt;&gt;L281)*($G$381:$G$498))))</f>
        <v/>
      </c>
      <c r="P281" s="28" t="str">
        <f>IF(OR(A281="",M281&lt;=0,J281&gt;=0),"",SUMPRODUCT(($A$18:$A$379=A281)*(IFERROR($B$18:$B$379&gt;=E281-30,0))*(IFERROR($B$18:$B$379&lt;=E281+30,0))*($G$18:$G$379&gt;0)*($L$18:$L$379&lt;&gt;L281))+SUMPRODUCT(($A$381:$A$498=A281)*(IFERROR($B$381:$B$498&gt;=E281-30,0))*(IFERROR($B$381:$B$498&lt;=E281+30,0))*($G$381:$G$498&gt;0)*($L$381:$L$498&lt;&gt;L281)))</f>
        <v/>
      </c>
      <c r="Q281" s="31" t="str">
        <f>IF(P281=1,IFERROR(INDEX($L$18:$L$379,MATCH(1,INDEX(($A$18:$A$379=A281)*(IFERROR($B$18:$B$379&gt;=E281-30,0))*(IFERROR($B$18:$B$379&lt;=E281+30,0))*($G$18:$G$379&gt;0)*($L$18:$L$379&lt;&gt;L281),0),0)),IFERROR(INDEX($L$381:$L$498,MATCH(1,INDEX(($A$381:$A$498=A281)*(IFERROR($B$381:$B$498&gt;=E281-30,0))*(IFERROR($B$381:$B$498&lt;=E281+30,0))*($G$381:$G$498&gt;0)*($L$381:$L$498&lt;&gt;L281),0),0)),"")),"")</f>
        <v/>
      </c>
      <c r="R281" s="32"/>
      <c r="S281" s="31" t="str">
        <f>IF(R281&lt;&gt;"",R281,Q281)</f>
        <v/>
      </c>
      <c r="T281" s="63">
        <f>IF(OR(N281="",O281=0),0,N281*O281)</f>
        <v>0</v>
      </c>
      <c r="U281" s="63">
        <f>IF(COUNTIF($S$18:$S$498,L281)=0,"",SUMIF($S$18:$S$498,L281,$T$18:$T$498))</f>
        <v>0</v>
      </c>
      <c r="V281" s="63" t="str">
        <f>IF(H281="","",IFERROR(H281+U281,H281))</f>
        <v/>
      </c>
      <c r="W281" s="63" t="str">
        <f>IF(OR(V281="",C281=""),"",V281/C281)</f>
        <v/>
      </c>
      <c r="X281" s="11" t="str">
        <f>IF(A281="","",IF(AND(U281&lt;&gt;"",U281&lt;&gt;0,M281=0),"Replacement lot receiving wash basis",IF(J281="","",IF(J281&gt;=0,"",IF(O281=0,"No replacement buy found",IF(P281&gt;1,"Manual selection needed","Auto matched"))))))</f>
        <v/>
      </c>
      <c r="Z281" t="str">
        <f>IF(K281="Yes",COUNTIF($K$18:K281,"Yes"),"")</f>
        <v/>
      </c>
    </row>
    <row r="282" spans="1:26" ht="34.15" customHeight="1" x14ac:dyDescent="0.2">
      <c r="A282" s="9"/>
      <c r="B282" s="69"/>
      <c r="C282" s="30"/>
      <c r="D282" s="70"/>
      <c r="E282" s="69"/>
      <c r="F282" s="70"/>
      <c r="G282" s="30"/>
      <c r="H282" s="63" t="str">
        <f>IF(OR(C282="",D282=""),"",C282*D282)</f>
        <v/>
      </c>
      <c r="I282" s="63" t="str">
        <f>IF(OR(E282="",F282="",M282&lt;=0),"",M282*F282)</f>
        <v/>
      </c>
      <c r="J282" s="63" t="str">
        <f>IF(I282="","",I282-(M282*D282))</f>
        <v/>
      </c>
      <c r="K282" s="28" t="str">
        <f>IF(A282="","",IF(T282&gt;0,"Yes","No"))</f>
        <v/>
      </c>
      <c r="L282" s="28" t="str">
        <f>IF(A282="","",A282&amp;"-"&amp;TEXT(B282,"yyyymmdd")&amp;"-R"&amp;ROW())</f>
        <v/>
      </c>
      <c r="M282" s="28" t="str">
        <f>IF(OR(C282="",G282=""),"",C282-G282)</f>
        <v/>
      </c>
      <c r="N282" s="63" t="str">
        <f>IF(OR(M282&lt;=0,J282&gt;=0),"",ABS(J282)/M282)</f>
        <v/>
      </c>
      <c r="O282" s="63" t="str">
        <f>IF(OR(A282="",M282&lt;=0,J282&gt;=0),"",MIN(M282,SUMPRODUCT(($A$18:$A$379=A282)*(IFERROR($B$18:$B$379&gt;=E282-30,0))*(IFERROR($B$18:$B$379&lt;=E282+30,0))*($G$18:$G$379&gt;0)*($L$18:$L$379&lt;&gt;L282)*($G$18:$G$379))+SUMPRODUCT(($A$381:$A$498=A282)*(IFERROR($B$381:$B$498&gt;=E282-30,0))*(IFERROR($B$381:$B$498&lt;=E282+30,0))*($G$381:$G$498&gt;0)*($L$381:$L$498&lt;&gt;L282)*($G$381:$G$498))))</f>
        <v/>
      </c>
      <c r="P282" s="28" t="str">
        <f>IF(OR(A282="",M282&lt;=0,J282&gt;=0),"",SUMPRODUCT(($A$18:$A$379=A282)*(IFERROR($B$18:$B$379&gt;=E282-30,0))*(IFERROR($B$18:$B$379&lt;=E282+30,0))*($G$18:$G$379&gt;0)*($L$18:$L$379&lt;&gt;L282))+SUMPRODUCT(($A$381:$A$498=A282)*(IFERROR($B$381:$B$498&gt;=E282-30,0))*(IFERROR($B$381:$B$498&lt;=E282+30,0))*($G$381:$G$498&gt;0)*($L$381:$L$498&lt;&gt;L282)))</f>
        <v/>
      </c>
      <c r="Q282" s="31" t="str">
        <f>IF(P282=1,IFERROR(INDEX($L$18:$L$379,MATCH(1,INDEX(($A$18:$A$379=A282)*(IFERROR($B$18:$B$379&gt;=E282-30,0))*(IFERROR($B$18:$B$379&lt;=E282+30,0))*($G$18:$G$379&gt;0)*($L$18:$L$379&lt;&gt;L282),0),0)),IFERROR(INDEX($L$381:$L$498,MATCH(1,INDEX(($A$381:$A$498=A282)*(IFERROR($B$381:$B$498&gt;=E282-30,0))*(IFERROR($B$381:$B$498&lt;=E282+30,0))*($G$381:$G$498&gt;0)*($L$381:$L$498&lt;&gt;L282),0),0)),"")),"")</f>
        <v/>
      </c>
      <c r="R282" s="32"/>
      <c r="S282" s="31" t="str">
        <f>IF(R282&lt;&gt;"",R282,Q282)</f>
        <v/>
      </c>
      <c r="T282" s="63">
        <f>IF(OR(N282="",O282=0),0,N282*O282)</f>
        <v>0</v>
      </c>
      <c r="U282" s="63">
        <f>IF(COUNTIF($S$18:$S$498,L282)=0,"",SUMIF($S$18:$S$498,L282,$T$18:$T$498))</f>
        <v>0</v>
      </c>
      <c r="V282" s="63" t="str">
        <f>IF(H282="","",IFERROR(H282+U282,H282))</f>
        <v/>
      </c>
      <c r="W282" s="63" t="str">
        <f>IF(OR(V282="",C282=""),"",V282/C282)</f>
        <v/>
      </c>
      <c r="X282" s="11" t="str">
        <f>IF(A282="","",IF(AND(U282&lt;&gt;"",U282&lt;&gt;0,M282=0),"Replacement lot receiving wash basis",IF(J282="","",IF(J282&gt;=0,"",IF(O282=0,"No replacement buy found",IF(P282&gt;1,"Manual selection needed","Auto matched"))))))</f>
        <v/>
      </c>
      <c r="Z282" t="str">
        <f>IF(K282="Yes",COUNTIF($K$18:K282,"Yes"),"")</f>
        <v/>
      </c>
    </row>
    <row r="283" spans="1:26" ht="34.15" customHeight="1" x14ac:dyDescent="0.2">
      <c r="A283" s="9"/>
      <c r="B283" s="69"/>
      <c r="C283" s="30"/>
      <c r="D283" s="70"/>
      <c r="E283" s="69"/>
      <c r="F283" s="70"/>
      <c r="G283" s="30"/>
      <c r="H283" s="63" t="str">
        <f>IF(OR(C283="",D283=""),"",C283*D283)</f>
        <v/>
      </c>
      <c r="I283" s="63" t="str">
        <f>IF(OR(E283="",F283="",M283&lt;=0),"",M283*F283)</f>
        <v/>
      </c>
      <c r="J283" s="63" t="str">
        <f>IF(I283="","",I283-(M283*D283))</f>
        <v/>
      </c>
      <c r="K283" s="28" t="str">
        <f>IF(A283="","",IF(T283&gt;0,"Yes","No"))</f>
        <v/>
      </c>
      <c r="L283" s="28" t="str">
        <f>IF(A283="","",A283&amp;"-"&amp;TEXT(B283,"yyyymmdd")&amp;"-R"&amp;ROW())</f>
        <v/>
      </c>
      <c r="M283" s="28" t="str">
        <f>IF(OR(C283="",G283=""),"",C283-G283)</f>
        <v/>
      </c>
      <c r="N283" s="63" t="str">
        <f>IF(OR(M283&lt;=0,J283&gt;=0),"",ABS(J283)/M283)</f>
        <v/>
      </c>
      <c r="O283" s="63" t="str">
        <f>IF(OR(A283="",M283&lt;=0,J283&gt;=0),"",MIN(M283,SUMPRODUCT(($A$18:$A$379=A283)*(IFERROR($B$18:$B$379&gt;=E283-30,0))*(IFERROR($B$18:$B$379&lt;=E283+30,0))*($G$18:$G$379&gt;0)*($L$18:$L$379&lt;&gt;L283)*($G$18:$G$379))+SUMPRODUCT(($A$381:$A$498=A283)*(IFERROR($B$381:$B$498&gt;=E283-30,0))*(IFERROR($B$381:$B$498&lt;=E283+30,0))*($G$381:$G$498&gt;0)*($L$381:$L$498&lt;&gt;L283)*($G$381:$G$498))))</f>
        <v/>
      </c>
      <c r="P283" s="28" t="str">
        <f>IF(OR(A283="",M283&lt;=0,J283&gt;=0),"",SUMPRODUCT(($A$18:$A$379=A283)*(IFERROR($B$18:$B$379&gt;=E283-30,0))*(IFERROR($B$18:$B$379&lt;=E283+30,0))*($G$18:$G$379&gt;0)*($L$18:$L$379&lt;&gt;L283))+SUMPRODUCT(($A$381:$A$498=A283)*(IFERROR($B$381:$B$498&gt;=E283-30,0))*(IFERROR($B$381:$B$498&lt;=E283+30,0))*($G$381:$G$498&gt;0)*($L$381:$L$498&lt;&gt;L283)))</f>
        <v/>
      </c>
      <c r="Q283" s="31" t="str">
        <f>IF(P283=1,IFERROR(INDEX($L$18:$L$379,MATCH(1,INDEX(($A$18:$A$379=A283)*(IFERROR($B$18:$B$379&gt;=E283-30,0))*(IFERROR($B$18:$B$379&lt;=E283+30,0))*($G$18:$G$379&gt;0)*($L$18:$L$379&lt;&gt;L283),0),0)),IFERROR(INDEX($L$381:$L$498,MATCH(1,INDEX(($A$381:$A$498=A283)*(IFERROR($B$381:$B$498&gt;=E283-30,0))*(IFERROR($B$381:$B$498&lt;=E283+30,0))*($G$381:$G$498&gt;0)*($L$381:$L$498&lt;&gt;L283),0),0)),"")),"")</f>
        <v/>
      </c>
      <c r="R283" s="32"/>
      <c r="S283" s="31" t="str">
        <f>IF(R283&lt;&gt;"",R283,Q283)</f>
        <v/>
      </c>
      <c r="T283" s="63">
        <f>IF(OR(N283="",O283=0),0,N283*O283)</f>
        <v>0</v>
      </c>
      <c r="U283" s="63">
        <f>IF(COUNTIF($S$18:$S$498,L283)=0,"",SUMIF($S$18:$S$498,L283,$T$18:$T$498))</f>
        <v>0</v>
      </c>
      <c r="V283" s="63" t="str">
        <f>IF(H283="","",IFERROR(H283+U283,H283))</f>
        <v/>
      </c>
      <c r="W283" s="63" t="str">
        <f>IF(OR(V283="",C283=""),"",V283/C283)</f>
        <v/>
      </c>
      <c r="X283" s="11" t="str">
        <f>IF(A283="","",IF(AND(U283&lt;&gt;"",U283&lt;&gt;0,M283=0),"Replacement lot receiving wash basis",IF(J283="","",IF(J283&gt;=0,"",IF(O283=0,"No replacement buy found",IF(P283&gt;1,"Manual selection needed","Auto matched"))))))</f>
        <v/>
      </c>
      <c r="Z283" t="str">
        <f>IF(K283="Yes",COUNTIF($K$18:K283,"Yes"),"")</f>
        <v/>
      </c>
    </row>
    <row r="284" spans="1:26" ht="34.15" customHeight="1" x14ac:dyDescent="0.2">
      <c r="A284" s="9"/>
      <c r="B284" s="69"/>
      <c r="C284" s="30"/>
      <c r="D284" s="70"/>
      <c r="E284" s="69"/>
      <c r="F284" s="70"/>
      <c r="G284" s="30"/>
      <c r="H284" s="63" t="str">
        <f>IF(OR(C284="",D284=""),"",C284*D284)</f>
        <v/>
      </c>
      <c r="I284" s="63" t="str">
        <f>IF(OR(E284="",F284="",M284&lt;=0),"",M284*F284)</f>
        <v/>
      </c>
      <c r="J284" s="63" t="str">
        <f>IF(I284="","",I284-(M284*D284))</f>
        <v/>
      </c>
      <c r="K284" s="28" t="str">
        <f>IF(A284="","",IF(T284&gt;0,"Yes","No"))</f>
        <v/>
      </c>
      <c r="L284" s="28" t="str">
        <f>IF(A284="","",A284&amp;"-"&amp;TEXT(B284,"yyyymmdd")&amp;"-R"&amp;ROW())</f>
        <v/>
      </c>
      <c r="M284" s="28" t="str">
        <f>IF(OR(C284="",G284=""),"",C284-G284)</f>
        <v/>
      </c>
      <c r="N284" s="63" t="str">
        <f>IF(OR(M284&lt;=0,J284&gt;=0),"",ABS(J284)/M284)</f>
        <v/>
      </c>
      <c r="O284" s="63" t="str">
        <f>IF(OR(A284="",M284&lt;=0,J284&gt;=0),"",MIN(M284,SUMPRODUCT(($A$18:$A$379=A284)*(IFERROR($B$18:$B$379&gt;=E284-30,0))*(IFERROR($B$18:$B$379&lt;=E284+30,0))*($G$18:$G$379&gt;0)*($L$18:$L$379&lt;&gt;L284)*($G$18:$G$379))+SUMPRODUCT(($A$381:$A$498=A284)*(IFERROR($B$381:$B$498&gt;=E284-30,0))*(IFERROR($B$381:$B$498&lt;=E284+30,0))*($G$381:$G$498&gt;0)*($L$381:$L$498&lt;&gt;L284)*($G$381:$G$498))))</f>
        <v/>
      </c>
      <c r="P284" s="28" t="str">
        <f>IF(OR(A284="",M284&lt;=0,J284&gt;=0),"",SUMPRODUCT(($A$18:$A$379=A284)*(IFERROR($B$18:$B$379&gt;=E284-30,0))*(IFERROR($B$18:$B$379&lt;=E284+30,0))*($G$18:$G$379&gt;0)*($L$18:$L$379&lt;&gt;L284))+SUMPRODUCT(($A$381:$A$498=A284)*(IFERROR($B$381:$B$498&gt;=E284-30,0))*(IFERROR($B$381:$B$498&lt;=E284+30,0))*($G$381:$G$498&gt;0)*($L$381:$L$498&lt;&gt;L284)))</f>
        <v/>
      </c>
      <c r="Q284" s="31" t="str">
        <f>IF(P284=1,IFERROR(INDEX($L$18:$L$379,MATCH(1,INDEX(($A$18:$A$379=A284)*(IFERROR($B$18:$B$379&gt;=E284-30,0))*(IFERROR($B$18:$B$379&lt;=E284+30,0))*($G$18:$G$379&gt;0)*($L$18:$L$379&lt;&gt;L284),0),0)),IFERROR(INDEX($L$381:$L$498,MATCH(1,INDEX(($A$381:$A$498=A284)*(IFERROR($B$381:$B$498&gt;=E284-30,0))*(IFERROR($B$381:$B$498&lt;=E284+30,0))*($G$381:$G$498&gt;0)*($L$381:$L$498&lt;&gt;L284),0),0)),"")),"")</f>
        <v/>
      </c>
      <c r="R284" s="32"/>
      <c r="S284" s="31" t="str">
        <f>IF(R284&lt;&gt;"",R284,Q284)</f>
        <v/>
      </c>
      <c r="T284" s="63">
        <f>IF(OR(N284="",O284=0),0,N284*O284)</f>
        <v>0</v>
      </c>
      <c r="U284" s="63">
        <f>IF(COUNTIF($S$18:$S$498,L284)=0,"",SUMIF($S$18:$S$498,L284,$T$18:$T$498))</f>
        <v>0</v>
      </c>
      <c r="V284" s="63" t="str">
        <f>IF(H284="","",IFERROR(H284+U284,H284))</f>
        <v/>
      </c>
      <c r="W284" s="63" t="str">
        <f>IF(OR(V284="",C284=""),"",V284/C284)</f>
        <v/>
      </c>
      <c r="X284" s="11" t="str">
        <f>IF(A284="","",IF(AND(U284&lt;&gt;"",U284&lt;&gt;0,M284=0),"Replacement lot receiving wash basis",IF(J284="","",IF(J284&gt;=0,"",IF(O284=0,"No replacement buy found",IF(P284&gt;1,"Manual selection needed","Auto matched"))))))</f>
        <v/>
      </c>
      <c r="Z284" t="str">
        <f>IF(K284="Yes",COUNTIF($K$18:K284,"Yes"),"")</f>
        <v/>
      </c>
    </row>
    <row r="285" spans="1:26" ht="34.15" customHeight="1" x14ac:dyDescent="0.2">
      <c r="A285" s="9"/>
      <c r="B285" s="69"/>
      <c r="C285" s="30"/>
      <c r="D285" s="70"/>
      <c r="E285" s="69"/>
      <c r="F285" s="70"/>
      <c r="G285" s="30"/>
      <c r="H285" s="63" t="str">
        <f>IF(OR(C285="",D285=""),"",C285*D285)</f>
        <v/>
      </c>
      <c r="I285" s="63" t="str">
        <f>IF(OR(E285="",F285="",M285&lt;=0),"",M285*F285)</f>
        <v/>
      </c>
      <c r="J285" s="63" t="str">
        <f>IF(I285="","",I285-(M285*D285))</f>
        <v/>
      </c>
      <c r="K285" s="28" t="str">
        <f>IF(A285="","",IF(T285&gt;0,"Yes","No"))</f>
        <v/>
      </c>
      <c r="L285" s="28" t="str">
        <f>IF(A285="","",A285&amp;"-"&amp;TEXT(B285,"yyyymmdd")&amp;"-R"&amp;ROW())</f>
        <v/>
      </c>
      <c r="M285" s="28" t="str">
        <f>IF(OR(C285="",G285=""),"",C285-G285)</f>
        <v/>
      </c>
      <c r="N285" s="63" t="str">
        <f>IF(OR(M285&lt;=0,J285&gt;=0),"",ABS(J285)/M285)</f>
        <v/>
      </c>
      <c r="O285" s="63" t="str">
        <f>IF(OR(A285="",M285&lt;=0,J285&gt;=0),"",MIN(M285,SUMPRODUCT(($A$18:$A$379=A285)*(IFERROR($B$18:$B$379&gt;=E285-30,0))*(IFERROR($B$18:$B$379&lt;=E285+30,0))*($G$18:$G$379&gt;0)*($L$18:$L$379&lt;&gt;L285)*($G$18:$G$379))+SUMPRODUCT(($A$381:$A$498=A285)*(IFERROR($B$381:$B$498&gt;=E285-30,0))*(IFERROR($B$381:$B$498&lt;=E285+30,0))*($G$381:$G$498&gt;0)*($L$381:$L$498&lt;&gt;L285)*($G$381:$G$498))))</f>
        <v/>
      </c>
      <c r="P285" s="28" t="str">
        <f>IF(OR(A285="",M285&lt;=0,J285&gt;=0),"",SUMPRODUCT(($A$18:$A$379=A285)*(IFERROR($B$18:$B$379&gt;=E285-30,0))*(IFERROR($B$18:$B$379&lt;=E285+30,0))*($G$18:$G$379&gt;0)*($L$18:$L$379&lt;&gt;L285))+SUMPRODUCT(($A$381:$A$498=A285)*(IFERROR($B$381:$B$498&gt;=E285-30,0))*(IFERROR($B$381:$B$498&lt;=E285+30,0))*($G$381:$G$498&gt;0)*($L$381:$L$498&lt;&gt;L285)))</f>
        <v/>
      </c>
      <c r="Q285" s="31" t="str">
        <f>IF(P285=1,IFERROR(INDEX($L$18:$L$379,MATCH(1,INDEX(($A$18:$A$379=A285)*(IFERROR($B$18:$B$379&gt;=E285-30,0))*(IFERROR($B$18:$B$379&lt;=E285+30,0))*($G$18:$G$379&gt;0)*($L$18:$L$379&lt;&gt;L285),0),0)),IFERROR(INDEX($L$381:$L$498,MATCH(1,INDEX(($A$381:$A$498=A285)*(IFERROR($B$381:$B$498&gt;=E285-30,0))*(IFERROR($B$381:$B$498&lt;=E285+30,0))*($G$381:$G$498&gt;0)*($L$381:$L$498&lt;&gt;L285),0),0)),"")),"")</f>
        <v/>
      </c>
      <c r="R285" s="32"/>
      <c r="S285" s="31" t="str">
        <f>IF(R285&lt;&gt;"",R285,Q285)</f>
        <v/>
      </c>
      <c r="T285" s="63">
        <f>IF(OR(N285="",O285=0),0,N285*O285)</f>
        <v>0</v>
      </c>
      <c r="U285" s="63">
        <f>IF(COUNTIF($S$18:$S$498,L285)=0,"",SUMIF($S$18:$S$498,L285,$T$18:$T$498))</f>
        <v>0</v>
      </c>
      <c r="V285" s="63" t="str">
        <f>IF(H285="","",IFERROR(H285+U285,H285))</f>
        <v/>
      </c>
      <c r="W285" s="63" t="str">
        <f>IF(OR(V285="",C285=""),"",V285/C285)</f>
        <v/>
      </c>
      <c r="X285" s="11" t="str">
        <f>IF(A285="","",IF(AND(U285&lt;&gt;"",U285&lt;&gt;0,M285=0),"Replacement lot receiving wash basis",IF(J285="","",IF(J285&gt;=0,"",IF(O285=0,"No replacement buy found",IF(P285&gt;1,"Manual selection needed","Auto matched"))))))</f>
        <v/>
      </c>
      <c r="Z285" t="str">
        <f>IF(K285="Yes",COUNTIF($K$18:K285,"Yes"),"")</f>
        <v/>
      </c>
    </row>
    <row r="286" spans="1:26" ht="34.15" customHeight="1" x14ac:dyDescent="0.2">
      <c r="A286" s="9"/>
      <c r="B286" s="69"/>
      <c r="C286" s="30"/>
      <c r="D286" s="70"/>
      <c r="E286" s="69"/>
      <c r="F286" s="70"/>
      <c r="G286" s="30"/>
      <c r="H286" s="63" t="str">
        <f>IF(OR(C286="",D286=""),"",C286*D286)</f>
        <v/>
      </c>
      <c r="I286" s="63" t="str">
        <f>IF(OR(E286="",F286="",M286&lt;=0),"",M286*F286)</f>
        <v/>
      </c>
      <c r="J286" s="63" t="str">
        <f>IF(I286="","",I286-(M286*D286))</f>
        <v/>
      </c>
      <c r="K286" s="28" t="str">
        <f>IF(A286="","",IF(T286&gt;0,"Yes","No"))</f>
        <v/>
      </c>
      <c r="L286" s="28" t="str">
        <f>IF(A286="","",A286&amp;"-"&amp;TEXT(B286,"yyyymmdd")&amp;"-R"&amp;ROW())</f>
        <v/>
      </c>
      <c r="M286" s="28" t="str">
        <f>IF(OR(C286="",G286=""),"",C286-G286)</f>
        <v/>
      </c>
      <c r="N286" s="63" t="str">
        <f>IF(OR(M286&lt;=0,J286&gt;=0),"",ABS(J286)/M286)</f>
        <v/>
      </c>
      <c r="O286" s="63" t="str">
        <f>IF(OR(A286="",M286&lt;=0,J286&gt;=0),"",MIN(M286,SUMPRODUCT(($A$18:$A$379=A286)*(IFERROR($B$18:$B$379&gt;=E286-30,0))*(IFERROR($B$18:$B$379&lt;=E286+30,0))*($G$18:$G$379&gt;0)*($L$18:$L$379&lt;&gt;L286)*($G$18:$G$379))+SUMPRODUCT(($A$381:$A$498=A286)*(IFERROR($B$381:$B$498&gt;=E286-30,0))*(IFERROR($B$381:$B$498&lt;=E286+30,0))*($G$381:$G$498&gt;0)*($L$381:$L$498&lt;&gt;L286)*($G$381:$G$498))))</f>
        <v/>
      </c>
      <c r="P286" s="28" t="str">
        <f>IF(OR(A286="",M286&lt;=0,J286&gt;=0),"",SUMPRODUCT(($A$18:$A$379=A286)*(IFERROR($B$18:$B$379&gt;=E286-30,0))*(IFERROR($B$18:$B$379&lt;=E286+30,0))*($G$18:$G$379&gt;0)*($L$18:$L$379&lt;&gt;L286))+SUMPRODUCT(($A$381:$A$498=A286)*(IFERROR($B$381:$B$498&gt;=E286-30,0))*(IFERROR($B$381:$B$498&lt;=E286+30,0))*($G$381:$G$498&gt;0)*($L$381:$L$498&lt;&gt;L286)))</f>
        <v/>
      </c>
      <c r="Q286" s="31" t="str">
        <f>IF(P286=1,IFERROR(INDEX($L$18:$L$379,MATCH(1,INDEX(($A$18:$A$379=A286)*(IFERROR($B$18:$B$379&gt;=E286-30,0))*(IFERROR($B$18:$B$379&lt;=E286+30,0))*($G$18:$G$379&gt;0)*($L$18:$L$379&lt;&gt;L286),0),0)),IFERROR(INDEX($L$381:$L$498,MATCH(1,INDEX(($A$381:$A$498=A286)*(IFERROR($B$381:$B$498&gt;=E286-30,0))*(IFERROR($B$381:$B$498&lt;=E286+30,0))*($G$381:$G$498&gt;0)*($L$381:$L$498&lt;&gt;L286),0),0)),"")),"")</f>
        <v/>
      </c>
      <c r="R286" s="32"/>
      <c r="S286" s="31" t="str">
        <f>IF(R286&lt;&gt;"",R286,Q286)</f>
        <v/>
      </c>
      <c r="T286" s="63">
        <f>IF(OR(N286="",O286=0),0,N286*O286)</f>
        <v>0</v>
      </c>
      <c r="U286" s="63">
        <f>IF(COUNTIF($S$18:$S$498,L286)=0,"",SUMIF($S$18:$S$498,L286,$T$18:$T$498))</f>
        <v>0</v>
      </c>
      <c r="V286" s="63" t="str">
        <f>IF(H286="","",IFERROR(H286+U286,H286))</f>
        <v/>
      </c>
      <c r="W286" s="63" t="str">
        <f>IF(OR(V286="",C286=""),"",V286/C286)</f>
        <v/>
      </c>
      <c r="X286" s="11" t="str">
        <f>IF(A286="","",IF(AND(U286&lt;&gt;"",U286&lt;&gt;0,M286=0),"Replacement lot receiving wash basis",IF(J286="","",IF(J286&gt;=0,"",IF(O286=0,"No replacement buy found",IF(P286&gt;1,"Manual selection needed","Auto matched"))))))</f>
        <v/>
      </c>
      <c r="Z286" t="str">
        <f>IF(K286="Yes",COUNTIF($K$18:K286,"Yes"),"")</f>
        <v/>
      </c>
    </row>
    <row r="287" spans="1:26" ht="34.15" customHeight="1" x14ac:dyDescent="0.2">
      <c r="A287" s="9"/>
      <c r="B287" s="69"/>
      <c r="C287" s="30"/>
      <c r="D287" s="70"/>
      <c r="E287" s="69"/>
      <c r="F287" s="70"/>
      <c r="G287" s="30"/>
      <c r="H287" s="63" t="str">
        <f>IF(OR(C287="",D287=""),"",C287*D287)</f>
        <v/>
      </c>
      <c r="I287" s="63" t="str">
        <f>IF(OR(E287="",F287="",M287&lt;=0),"",M287*F287)</f>
        <v/>
      </c>
      <c r="J287" s="63" t="str">
        <f>IF(I287="","",I287-(M287*D287))</f>
        <v/>
      </c>
      <c r="K287" s="28" t="str">
        <f>IF(A287="","",IF(T287&gt;0,"Yes","No"))</f>
        <v/>
      </c>
      <c r="L287" s="28" t="str">
        <f>IF(A287="","",A287&amp;"-"&amp;TEXT(B287,"yyyymmdd")&amp;"-R"&amp;ROW())</f>
        <v/>
      </c>
      <c r="M287" s="28" t="str">
        <f>IF(OR(C287="",G287=""),"",C287-G287)</f>
        <v/>
      </c>
      <c r="N287" s="63" t="str">
        <f>IF(OR(M287&lt;=0,J287&gt;=0),"",ABS(J287)/M287)</f>
        <v/>
      </c>
      <c r="O287" s="63" t="str">
        <f>IF(OR(A287="",M287&lt;=0,J287&gt;=0),"",MIN(M287,SUMPRODUCT(($A$18:$A$379=A287)*(IFERROR($B$18:$B$379&gt;=E287-30,0))*(IFERROR($B$18:$B$379&lt;=E287+30,0))*($G$18:$G$379&gt;0)*($L$18:$L$379&lt;&gt;L287)*($G$18:$G$379))+SUMPRODUCT(($A$381:$A$498=A287)*(IFERROR($B$381:$B$498&gt;=E287-30,0))*(IFERROR($B$381:$B$498&lt;=E287+30,0))*($G$381:$G$498&gt;0)*($L$381:$L$498&lt;&gt;L287)*($G$381:$G$498))))</f>
        <v/>
      </c>
      <c r="P287" s="28" t="str">
        <f>IF(OR(A287="",M287&lt;=0,J287&gt;=0),"",SUMPRODUCT(($A$18:$A$379=A287)*(IFERROR($B$18:$B$379&gt;=E287-30,0))*(IFERROR($B$18:$B$379&lt;=E287+30,0))*($G$18:$G$379&gt;0)*($L$18:$L$379&lt;&gt;L287))+SUMPRODUCT(($A$381:$A$498=A287)*(IFERROR($B$381:$B$498&gt;=E287-30,0))*(IFERROR($B$381:$B$498&lt;=E287+30,0))*($G$381:$G$498&gt;0)*($L$381:$L$498&lt;&gt;L287)))</f>
        <v/>
      </c>
      <c r="Q287" s="31" t="str">
        <f>IF(P287=1,IFERROR(INDEX($L$18:$L$379,MATCH(1,INDEX(($A$18:$A$379=A287)*(IFERROR($B$18:$B$379&gt;=E287-30,0))*(IFERROR($B$18:$B$379&lt;=E287+30,0))*($G$18:$G$379&gt;0)*($L$18:$L$379&lt;&gt;L287),0),0)),IFERROR(INDEX($L$381:$L$498,MATCH(1,INDEX(($A$381:$A$498=A287)*(IFERROR($B$381:$B$498&gt;=E287-30,0))*(IFERROR($B$381:$B$498&lt;=E287+30,0))*($G$381:$G$498&gt;0)*($L$381:$L$498&lt;&gt;L287),0),0)),"")),"")</f>
        <v/>
      </c>
      <c r="R287" s="32"/>
      <c r="S287" s="31" t="str">
        <f>IF(R287&lt;&gt;"",R287,Q287)</f>
        <v/>
      </c>
      <c r="T287" s="63">
        <f>IF(OR(N287="",O287=0),0,N287*O287)</f>
        <v>0</v>
      </c>
      <c r="U287" s="63">
        <f>IF(COUNTIF($S$18:$S$498,L287)=0,"",SUMIF($S$18:$S$498,L287,$T$18:$T$498))</f>
        <v>0</v>
      </c>
      <c r="V287" s="63" t="str">
        <f>IF(H287="","",IFERROR(H287+U287,H287))</f>
        <v/>
      </c>
      <c r="W287" s="63" t="str">
        <f>IF(OR(V287="",C287=""),"",V287/C287)</f>
        <v/>
      </c>
      <c r="X287" s="11" t="str">
        <f>IF(A287="","",IF(AND(U287&lt;&gt;"",U287&lt;&gt;0,M287=0),"Replacement lot receiving wash basis",IF(J287="","",IF(J287&gt;=0,"",IF(O287=0,"No replacement buy found",IF(P287&gt;1,"Manual selection needed","Auto matched"))))))</f>
        <v/>
      </c>
      <c r="Z287" t="str">
        <f>IF(K287="Yes",COUNTIF($K$18:K287,"Yes"),"")</f>
        <v/>
      </c>
    </row>
    <row r="288" spans="1:26" ht="34.15" customHeight="1" x14ac:dyDescent="0.2">
      <c r="A288" s="9"/>
      <c r="B288" s="69"/>
      <c r="C288" s="30"/>
      <c r="D288" s="70"/>
      <c r="E288" s="69"/>
      <c r="F288" s="70"/>
      <c r="G288" s="30"/>
      <c r="H288" s="63" t="str">
        <f>IF(OR(C288="",D288=""),"",C288*D288)</f>
        <v/>
      </c>
      <c r="I288" s="63" t="str">
        <f>IF(OR(E288="",F288="",M288&lt;=0),"",M288*F288)</f>
        <v/>
      </c>
      <c r="J288" s="63" t="str">
        <f>IF(I288="","",I288-(M288*D288))</f>
        <v/>
      </c>
      <c r="K288" s="28" t="str">
        <f>IF(A288="","",IF(T288&gt;0,"Yes","No"))</f>
        <v/>
      </c>
      <c r="L288" s="28" t="str">
        <f>IF(A288="","",A288&amp;"-"&amp;TEXT(B288,"yyyymmdd")&amp;"-R"&amp;ROW())</f>
        <v/>
      </c>
      <c r="M288" s="28" t="str">
        <f>IF(OR(C288="",G288=""),"",C288-G288)</f>
        <v/>
      </c>
      <c r="N288" s="63" t="str">
        <f>IF(OR(M288&lt;=0,J288&gt;=0),"",ABS(J288)/M288)</f>
        <v/>
      </c>
      <c r="O288" s="63" t="str">
        <f>IF(OR(A288="",M288&lt;=0,J288&gt;=0),"",MIN(M288,SUMPRODUCT(($A$18:$A$379=A288)*(IFERROR($B$18:$B$379&gt;=E288-30,0))*(IFERROR($B$18:$B$379&lt;=E288+30,0))*($G$18:$G$379&gt;0)*($L$18:$L$379&lt;&gt;L288)*($G$18:$G$379))+SUMPRODUCT(($A$381:$A$498=A288)*(IFERROR($B$381:$B$498&gt;=E288-30,0))*(IFERROR($B$381:$B$498&lt;=E288+30,0))*($G$381:$G$498&gt;0)*($L$381:$L$498&lt;&gt;L288)*($G$381:$G$498))))</f>
        <v/>
      </c>
      <c r="P288" s="28" t="str">
        <f>IF(OR(A288="",M288&lt;=0,J288&gt;=0),"",SUMPRODUCT(($A$18:$A$379=A288)*(IFERROR($B$18:$B$379&gt;=E288-30,0))*(IFERROR($B$18:$B$379&lt;=E288+30,0))*($G$18:$G$379&gt;0)*($L$18:$L$379&lt;&gt;L288))+SUMPRODUCT(($A$381:$A$498=A288)*(IFERROR($B$381:$B$498&gt;=E288-30,0))*(IFERROR($B$381:$B$498&lt;=E288+30,0))*($G$381:$G$498&gt;0)*($L$381:$L$498&lt;&gt;L288)))</f>
        <v/>
      </c>
      <c r="Q288" s="31" t="str">
        <f>IF(P288=1,IFERROR(INDEX($L$18:$L$379,MATCH(1,INDEX(($A$18:$A$379=A288)*(IFERROR($B$18:$B$379&gt;=E288-30,0))*(IFERROR($B$18:$B$379&lt;=E288+30,0))*($G$18:$G$379&gt;0)*($L$18:$L$379&lt;&gt;L288),0),0)),IFERROR(INDEX($L$381:$L$498,MATCH(1,INDEX(($A$381:$A$498=A288)*(IFERROR($B$381:$B$498&gt;=E288-30,0))*(IFERROR($B$381:$B$498&lt;=E288+30,0))*($G$381:$G$498&gt;0)*($L$381:$L$498&lt;&gt;L288),0),0)),"")),"")</f>
        <v/>
      </c>
      <c r="R288" s="32"/>
      <c r="S288" s="31" t="str">
        <f>IF(R288&lt;&gt;"",R288,Q288)</f>
        <v/>
      </c>
      <c r="T288" s="63">
        <f>IF(OR(N288="",O288=0),0,N288*O288)</f>
        <v>0</v>
      </c>
      <c r="U288" s="63">
        <f>IF(COUNTIF($S$18:$S$498,L288)=0,"",SUMIF($S$18:$S$498,L288,$T$18:$T$498))</f>
        <v>0</v>
      </c>
      <c r="V288" s="63" t="str">
        <f>IF(H288="","",IFERROR(H288+U288,H288))</f>
        <v/>
      </c>
      <c r="W288" s="63" t="str">
        <f>IF(OR(V288="",C288=""),"",V288/C288)</f>
        <v/>
      </c>
      <c r="X288" s="11" t="str">
        <f>IF(A288="","",IF(AND(U288&lt;&gt;"",U288&lt;&gt;0,M288=0),"Replacement lot receiving wash basis",IF(J288="","",IF(J288&gt;=0,"",IF(O288=0,"No replacement buy found",IF(P288&gt;1,"Manual selection needed","Auto matched"))))))</f>
        <v/>
      </c>
      <c r="Z288" t="str">
        <f>IF(K288="Yes",COUNTIF($K$18:K288,"Yes"),"")</f>
        <v/>
      </c>
    </row>
    <row r="289" spans="1:26" ht="34.15" customHeight="1" x14ac:dyDescent="0.2">
      <c r="A289" s="9"/>
      <c r="B289" s="69"/>
      <c r="C289" s="30"/>
      <c r="D289" s="70"/>
      <c r="E289" s="69"/>
      <c r="F289" s="70"/>
      <c r="G289" s="30"/>
      <c r="H289" s="63" t="str">
        <f>IF(OR(C289="",D289=""),"",C289*D289)</f>
        <v/>
      </c>
      <c r="I289" s="63" t="str">
        <f>IF(OR(E289="",F289="",M289&lt;=0),"",M289*F289)</f>
        <v/>
      </c>
      <c r="J289" s="63" t="str">
        <f>IF(I289="","",I289-(M289*D289))</f>
        <v/>
      </c>
      <c r="K289" s="28" t="str">
        <f>IF(A289="","",IF(T289&gt;0,"Yes","No"))</f>
        <v/>
      </c>
      <c r="L289" s="28" t="str">
        <f>IF(A289="","",A289&amp;"-"&amp;TEXT(B289,"yyyymmdd")&amp;"-R"&amp;ROW())</f>
        <v/>
      </c>
      <c r="M289" s="28" t="str">
        <f>IF(OR(C289="",G289=""),"",C289-G289)</f>
        <v/>
      </c>
      <c r="N289" s="63" t="str">
        <f>IF(OR(M289&lt;=0,J289&gt;=0),"",ABS(J289)/M289)</f>
        <v/>
      </c>
      <c r="O289" s="63" t="str">
        <f>IF(OR(A289="",M289&lt;=0,J289&gt;=0),"",MIN(M289,SUMPRODUCT(($A$18:$A$379=A289)*(IFERROR($B$18:$B$379&gt;=E289-30,0))*(IFERROR($B$18:$B$379&lt;=E289+30,0))*($G$18:$G$379&gt;0)*($L$18:$L$379&lt;&gt;L289)*($G$18:$G$379))+SUMPRODUCT(($A$381:$A$498=A289)*(IFERROR($B$381:$B$498&gt;=E289-30,0))*(IFERROR($B$381:$B$498&lt;=E289+30,0))*($G$381:$G$498&gt;0)*($L$381:$L$498&lt;&gt;L289)*($G$381:$G$498))))</f>
        <v/>
      </c>
      <c r="P289" s="28" t="str">
        <f>IF(OR(A289="",M289&lt;=0,J289&gt;=0),"",SUMPRODUCT(($A$18:$A$379=A289)*(IFERROR($B$18:$B$379&gt;=E289-30,0))*(IFERROR($B$18:$B$379&lt;=E289+30,0))*($G$18:$G$379&gt;0)*($L$18:$L$379&lt;&gt;L289))+SUMPRODUCT(($A$381:$A$498=A289)*(IFERROR($B$381:$B$498&gt;=E289-30,0))*(IFERROR($B$381:$B$498&lt;=E289+30,0))*($G$381:$G$498&gt;0)*($L$381:$L$498&lt;&gt;L289)))</f>
        <v/>
      </c>
      <c r="Q289" s="31" t="str">
        <f>IF(P289=1,IFERROR(INDEX($L$18:$L$379,MATCH(1,INDEX(($A$18:$A$379=A289)*(IFERROR($B$18:$B$379&gt;=E289-30,0))*(IFERROR($B$18:$B$379&lt;=E289+30,0))*($G$18:$G$379&gt;0)*($L$18:$L$379&lt;&gt;L289),0),0)),IFERROR(INDEX($L$381:$L$498,MATCH(1,INDEX(($A$381:$A$498=A289)*(IFERROR($B$381:$B$498&gt;=E289-30,0))*(IFERROR($B$381:$B$498&lt;=E289+30,0))*($G$381:$G$498&gt;0)*($L$381:$L$498&lt;&gt;L289),0),0)),"")),"")</f>
        <v/>
      </c>
      <c r="R289" s="32"/>
      <c r="S289" s="31" t="str">
        <f>IF(R289&lt;&gt;"",R289,Q289)</f>
        <v/>
      </c>
      <c r="T289" s="63">
        <f>IF(OR(N289="",O289=0),0,N289*O289)</f>
        <v>0</v>
      </c>
      <c r="U289" s="63">
        <f>IF(COUNTIF($S$18:$S$498,L289)=0,"",SUMIF($S$18:$S$498,L289,$T$18:$T$498))</f>
        <v>0</v>
      </c>
      <c r="V289" s="63" t="str">
        <f>IF(H289="","",IFERROR(H289+U289,H289))</f>
        <v/>
      </c>
      <c r="W289" s="63" t="str">
        <f>IF(OR(V289="",C289=""),"",V289/C289)</f>
        <v/>
      </c>
      <c r="X289" s="11" t="str">
        <f>IF(A289="","",IF(AND(U289&lt;&gt;"",U289&lt;&gt;0,M289=0),"Replacement lot receiving wash basis",IF(J289="","",IF(J289&gt;=0,"",IF(O289=0,"No replacement buy found",IF(P289&gt;1,"Manual selection needed","Auto matched"))))))</f>
        <v/>
      </c>
      <c r="Z289" t="str">
        <f>IF(K289="Yes",COUNTIF($K$18:K289,"Yes"),"")</f>
        <v/>
      </c>
    </row>
    <row r="290" spans="1:26" ht="34.15" customHeight="1" x14ac:dyDescent="0.2">
      <c r="A290" s="9"/>
      <c r="B290" s="69"/>
      <c r="C290" s="30"/>
      <c r="D290" s="70"/>
      <c r="E290" s="69"/>
      <c r="F290" s="70"/>
      <c r="G290" s="30"/>
      <c r="H290" s="63" t="str">
        <f>IF(OR(C290="",D290=""),"",C290*D290)</f>
        <v/>
      </c>
      <c r="I290" s="63" t="str">
        <f>IF(OR(E290="",F290="",M290&lt;=0),"",M290*F290)</f>
        <v/>
      </c>
      <c r="J290" s="63" t="str">
        <f>IF(I290="","",I290-(M290*D290))</f>
        <v/>
      </c>
      <c r="K290" s="28" t="str">
        <f>IF(A290="","",IF(T290&gt;0,"Yes","No"))</f>
        <v/>
      </c>
      <c r="L290" s="28" t="str">
        <f>IF(A290="","",A290&amp;"-"&amp;TEXT(B290,"yyyymmdd")&amp;"-R"&amp;ROW())</f>
        <v/>
      </c>
      <c r="M290" s="28" t="str">
        <f>IF(OR(C290="",G290=""),"",C290-G290)</f>
        <v/>
      </c>
      <c r="N290" s="63" t="str">
        <f>IF(OR(M290&lt;=0,J290&gt;=0),"",ABS(J290)/M290)</f>
        <v/>
      </c>
      <c r="O290" s="63" t="str">
        <f>IF(OR(A290="",M290&lt;=0,J290&gt;=0),"",MIN(M290,SUMPRODUCT(($A$18:$A$379=A290)*(IFERROR($B$18:$B$379&gt;=E290-30,0))*(IFERROR($B$18:$B$379&lt;=E290+30,0))*($G$18:$G$379&gt;0)*($L$18:$L$379&lt;&gt;L290)*($G$18:$G$379))+SUMPRODUCT(($A$381:$A$498=A290)*(IFERROR($B$381:$B$498&gt;=E290-30,0))*(IFERROR($B$381:$B$498&lt;=E290+30,0))*($G$381:$G$498&gt;0)*($L$381:$L$498&lt;&gt;L290)*($G$381:$G$498))))</f>
        <v/>
      </c>
      <c r="P290" s="28" t="str">
        <f>IF(OR(A290="",M290&lt;=0,J290&gt;=0),"",SUMPRODUCT(($A$18:$A$379=A290)*(IFERROR($B$18:$B$379&gt;=E290-30,0))*(IFERROR($B$18:$B$379&lt;=E290+30,0))*($G$18:$G$379&gt;0)*($L$18:$L$379&lt;&gt;L290))+SUMPRODUCT(($A$381:$A$498=A290)*(IFERROR($B$381:$B$498&gt;=E290-30,0))*(IFERROR($B$381:$B$498&lt;=E290+30,0))*($G$381:$G$498&gt;0)*($L$381:$L$498&lt;&gt;L290)))</f>
        <v/>
      </c>
      <c r="Q290" s="31" t="str">
        <f>IF(P290=1,IFERROR(INDEX($L$18:$L$379,MATCH(1,INDEX(($A$18:$A$379=A290)*(IFERROR($B$18:$B$379&gt;=E290-30,0))*(IFERROR($B$18:$B$379&lt;=E290+30,0))*($G$18:$G$379&gt;0)*($L$18:$L$379&lt;&gt;L290),0),0)),IFERROR(INDEX($L$381:$L$498,MATCH(1,INDEX(($A$381:$A$498=A290)*(IFERROR($B$381:$B$498&gt;=E290-30,0))*(IFERROR($B$381:$B$498&lt;=E290+30,0))*($G$381:$G$498&gt;0)*($L$381:$L$498&lt;&gt;L290),0),0)),"")),"")</f>
        <v/>
      </c>
      <c r="R290" s="32"/>
      <c r="S290" s="31" t="str">
        <f>IF(R290&lt;&gt;"",R290,Q290)</f>
        <v/>
      </c>
      <c r="T290" s="63">
        <f>IF(OR(N290="",O290=0),0,N290*O290)</f>
        <v>0</v>
      </c>
      <c r="U290" s="63">
        <f>IF(COUNTIF($S$18:$S$498,L290)=0,"",SUMIF($S$18:$S$498,L290,$T$18:$T$498))</f>
        <v>0</v>
      </c>
      <c r="V290" s="63" t="str">
        <f>IF(H290="","",IFERROR(H290+U290,H290))</f>
        <v/>
      </c>
      <c r="W290" s="63" t="str">
        <f>IF(OR(V290="",C290=""),"",V290/C290)</f>
        <v/>
      </c>
      <c r="X290" s="11" t="str">
        <f>IF(A290="","",IF(AND(U290&lt;&gt;"",U290&lt;&gt;0,M290=0),"Replacement lot receiving wash basis",IF(J290="","",IF(J290&gt;=0,"",IF(O290=0,"No replacement buy found",IF(P290&gt;1,"Manual selection needed","Auto matched"))))))</f>
        <v/>
      </c>
      <c r="Z290" t="str">
        <f>IF(K290="Yes",COUNTIF($K$18:K290,"Yes"),"")</f>
        <v/>
      </c>
    </row>
    <row r="291" spans="1:26" ht="34.15" customHeight="1" x14ac:dyDescent="0.2">
      <c r="A291" s="9"/>
      <c r="B291" s="69"/>
      <c r="C291" s="30"/>
      <c r="D291" s="70"/>
      <c r="E291" s="69"/>
      <c r="F291" s="70"/>
      <c r="G291" s="30"/>
      <c r="H291" s="63" t="str">
        <f>IF(OR(C291="",D291=""),"",C291*D291)</f>
        <v/>
      </c>
      <c r="I291" s="63" t="str">
        <f>IF(OR(E291="",F291="",M291&lt;=0),"",M291*F291)</f>
        <v/>
      </c>
      <c r="J291" s="63" t="str">
        <f>IF(I291="","",I291-(M291*D291))</f>
        <v/>
      </c>
      <c r="K291" s="28" t="str">
        <f>IF(A291="","",IF(T291&gt;0,"Yes","No"))</f>
        <v/>
      </c>
      <c r="L291" s="28" t="str">
        <f>IF(A291="","",A291&amp;"-"&amp;TEXT(B291,"yyyymmdd")&amp;"-R"&amp;ROW())</f>
        <v/>
      </c>
      <c r="M291" s="28" t="str">
        <f>IF(OR(C291="",G291=""),"",C291-G291)</f>
        <v/>
      </c>
      <c r="N291" s="63" t="str">
        <f>IF(OR(M291&lt;=0,J291&gt;=0),"",ABS(J291)/M291)</f>
        <v/>
      </c>
      <c r="O291" s="63" t="str">
        <f>IF(OR(A291="",M291&lt;=0,J291&gt;=0),"",MIN(M291,SUMPRODUCT(($A$18:$A$379=A291)*(IFERROR($B$18:$B$379&gt;=E291-30,0))*(IFERROR($B$18:$B$379&lt;=E291+30,0))*($G$18:$G$379&gt;0)*($L$18:$L$379&lt;&gt;L291)*($G$18:$G$379))+SUMPRODUCT(($A$381:$A$498=A291)*(IFERROR($B$381:$B$498&gt;=E291-30,0))*(IFERROR($B$381:$B$498&lt;=E291+30,0))*($G$381:$G$498&gt;0)*($L$381:$L$498&lt;&gt;L291)*($G$381:$G$498))))</f>
        <v/>
      </c>
      <c r="P291" s="28" t="str">
        <f>IF(OR(A291="",M291&lt;=0,J291&gt;=0),"",SUMPRODUCT(($A$18:$A$379=A291)*(IFERROR($B$18:$B$379&gt;=E291-30,0))*(IFERROR($B$18:$B$379&lt;=E291+30,0))*($G$18:$G$379&gt;0)*($L$18:$L$379&lt;&gt;L291))+SUMPRODUCT(($A$381:$A$498=A291)*(IFERROR($B$381:$B$498&gt;=E291-30,0))*(IFERROR($B$381:$B$498&lt;=E291+30,0))*($G$381:$G$498&gt;0)*($L$381:$L$498&lt;&gt;L291)))</f>
        <v/>
      </c>
      <c r="Q291" s="31" t="str">
        <f>IF(P291=1,IFERROR(INDEX($L$18:$L$379,MATCH(1,INDEX(($A$18:$A$379=A291)*(IFERROR($B$18:$B$379&gt;=E291-30,0))*(IFERROR($B$18:$B$379&lt;=E291+30,0))*($G$18:$G$379&gt;0)*($L$18:$L$379&lt;&gt;L291),0),0)),IFERROR(INDEX($L$381:$L$498,MATCH(1,INDEX(($A$381:$A$498=A291)*(IFERROR($B$381:$B$498&gt;=E291-30,0))*(IFERROR($B$381:$B$498&lt;=E291+30,0))*($G$381:$G$498&gt;0)*($L$381:$L$498&lt;&gt;L291),0),0)),"")),"")</f>
        <v/>
      </c>
      <c r="R291" s="32"/>
      <c r="S291" s="31" t="str">
        <f>IF(R291&lt;&gt;"",R291,Q291)</f>
        <v/>
      </c>
      <c r="T291" s="63">
        <f>IF(OR(N291="",O291=0),0,N291*O291)</f>
        <v>0</v>
      </c>
      <c r="U291" s="63">
        <f>IF(COUNTIF($S$18:$S$498,L291)=0,"",SUMIF($S$18:$S$498,L291,$T$18:$T$498))</f>
        <v>0</v>
      </c>
      <c r="V291" s="63" t="str">
        <f>IF(H291="","",IFERROR(H291+U291,H291))</f>
        <v/>
      </c>
      <c r="W291" s="63" t="str">
        <f>IF(OR(V291="",C291=""),"",V291/C291)</f>
        <v/>
      </c>
      <c r="X291" s="11" t="str">
        <f>IF(A291="","",IF(AND(U291&lt;&gt;"",U291&lt;&gt;0,M291=0),"Replacement lot receiving wash basis",IF(J291="","",IF(J291&gt;=0,"",IF(O291=0,"No replacement buy found",IF(P291&gt;1,"Manual selection needed","Auto matched"))))))</f>
        <v/>
      </c>
      <c r="Z291" t="str">
        <f>IF(K291="Yes",COUNTIF($K$18:K291,"Yes"),"")</f>
        <v/>
      </c>
    </row>
    <row r="292" spans="1:26" ht="34.15" customHeight="1" x14ac:dyDescent="0.2">
      <c r="A292" s="9"/>
      <c r="B292" s="69"/>
      <c r="C292" s="30"/>
      <c r="D292" s="70"/>
      <c r="E292" s="69"/>
      <c r="F292" s="70"/>
      <c r="G292" s="30"/>
      <c r="H292" s="63" t="str">
        <f>IF(OR(C292="",D292=""),"",C292*D292)</f>
        <v/>
      </c>
      <c r="I292" s="63" t="str">
        <f>IF(OR(E292="",F292="",M292&lt;=0),"",M292*F292)</f>
        <v/>
      </c>
      <c r="J292" s="63" t="str">
        <f>IF(I292="","",I292-(M292*D292))</f>
        <v/>
      </c>
      <c r="K292" s="28" t="str">
        <f>IF(A292="","",IF(T292&gt;0,"Yes","No"))</f>
        <v/>
      </c>
      <c r="L292" s="28" t="str">
        <f>IF(A292="","",A292&amp;"-"&amp;TEXT(B292,"yyyymmdd")&amp;"-R"&amp;ROW())</f>
        <v/>
      </c>
      <c r="M292" s="28" t="str">
        <f>IF(OR(C292="",G292=""),"",C292-G292)</f>
        <v/>
      </c>
      <c r="N292" s="63" t="str">
        <f>IF(OR(M292&lt;=0,J292&gt;=0),"",ABS(J292)/M292)</f>
        <v/>
      </c>
      <c r="O292" s="63" t="str">
        <f>IF(OR(A292="",M292&lt;=0,J292&gt;=0),"",MIN(M292,SUMPRODUCT(($A$18:$A$379=A292)*(IFERROR($B$18:$B$379&gt;=E292-30,0))*(IFERROR($B$18:$B$379&lt;=E292+30,0))*($G$18:$G$379&gt;0)*($L$18:$L$379&lt;&gt;L292)*($G$18:$G$379))+SUMPRODUCT(($A$381:$A$498=A292)*(IFERROR($B$381:$B$498&gt;=E292-30,0))*(IFERROR($B$381:$B$498&lt;=E292+30,0))*($G$381:$G$498&gt;0)*($L$381:$L$498&lt;&gt;L292)*($G$381:$G$498))))</f>
        <v/>
      </c>
      <c r="P292" s="28" t="str">
        <f>IF(OR(A292="",M292&lt;=0,J292&gt;=0),"",SUMPRODUCT(($A$18:$A$379=A292)*(IFERROR($B$18:$B$379&gt;=E292-30,0))*(IFERROR($B$18:$B$379&lt;=E292+30,0))*($G$18:$G$379&gt;0)*($L$18:$L$379&lt;&gt;L292))+SUMPRODUCT(($A$381:$A$498=A292)*(IFERROR($B$381:$B$498&gt;=E292-30,0))*(IFERROR($B$381:$B$498&lt;=E292+30,0))*($G$381:$G$498&gt;0)*($L$381:$L$498&lt;&gt;L292)))</f>
        <v/>
      </c>
      <c r="Q292" s="31" t="str">
        <f>IF(P292=1,IFERROR(INDEX($L$18:$L$379,MATCH(1,INDEX(($A$18:$A$379=A292)*(IFERROR($B$18:$B$379&gt;=E292-30,0))*(IFERROR($B$18:$B$379&lt;=E292+30,0))*($G$18:$G$379&gt;0)*($L$18:$L$379&lt;&gt;L292),0),0)),IFERROR(INDEX($L$381:$L$498,MATCH(1,INDEX(($A$381:$A$498=A292)*(IFERROR($B$381:$B$498&gt;=E292-30,0))*(IFERROR($B$381:$B$498&lt;=E292+30,0))*($G$381:$G$498&gt;0)*($L$381:$L$498&lt;&gt;L292),0),0)),"")),"")</f>
        <v/>
      </c>
      <c r="R292" s="32"/>
      <c r="S292" s="31" t="str">
        <f>IF(R292&lt;&gt;"",R292,Q292)</f>
        <v/>
      </c>
      <c r="T292" s="63">
        <f>IF(OR(N292="",O292=0),0,N292*O292)</f>
        <v>0</v>
      </c>
      <c r="U292" s="63">
        <f>IF(COUNTIF($S$18:$S$498,L292)=0,"",SUMIF($S$18:$S$498,L292,$T$18:$T$498))</f>
        <v>0</v>
      </c>
      <c r="V292" s="63" t="str">
        <f>IF(H292="","",IFERROR(H292+U292,H292))</f>
        <v/>
      </c>
      <c r="W292" s="63" t="str">
        <f>IF(OR(V292="",C292=""),"",V292/C292)</f>
        <v/>
      </c>
      <c r="X292" s="11" t="str">
        <f>IF(A292="","",IF(AND(U292&lt;&gt;"",U292&lt;&gt;0,M292=0),"Replacement lot receiving wash basis",IF(J292="","",IF(J292&gt;=0,"",IF(O292=0,"No replacement buy found",IF(P292&gt;1,"Manual selection needed","Auto matched"))))))</f>
        <v/>
      </c>
      <c r="Z292" t="str">
        <f>IF(K292="Yes",COUNTIF($K$18:K292,"Yes"),"")</f>
        <v/>
      </c>
    </row>
    <row r="293" spans="1:26" ht="34.15" customHeight="1" x14ac:dyDescent="0.2">
      <c r="A293" s="9"/>
      <c r="B293" s="69"/>
      <c r="C293" s="30"/>
      <c r="D293" s="70"/>
      <c r="E293" s="69"/>
      <c r="F293" s="70"/>
      <c r="G293" s="30"/>
      <c r="H293" s="63" t="str">
        <f>IF(OR(C293="",D293=""),"",C293*D293)</f>
        <v/>
      </c>
      <c r="I293" s="63" t="str">
        <f>IF(OR(E293="",F293="",M293&lt;=0),"",M293*F293)</f>
        <v/>
      </c>
      <c r="J293" s="63" t="str">
        <f>IF(I293="","",I293-(M293*D293))</f>
        <v/>
      </c>
      <c r="K293" s="28" t="str">
        <f>IF(A293="","",IF(T293&gt;0,"Yes","No"))</f>
        <v/>
      </c>
      <c r="L293" s="28" t="str">
        <f>IF(A293="","",A293&amp;"-"&amp;TEXT(B293,"yyyymmdd")&amp;"-R"&amp;ROW())</f>
        <v/>
      </c>
      <c r="M293" s="28" t="str">
        <f>IF(OR(C293="",G293=""),"",C293-G293)</f>
        <v/>
      </c>
      <c r="N293" s="63" t="str">
        <f>IF(OR(M293&lt;=0,J293&gt;=0),"",ABS(J293)/M293)</f>
        <v/>
      </c>
      <c r="O293" s="63" t="str">
        <f>IF(OR(A293="",M293&lt;=0,J293&gt;=0),"",MIN(M293,SUMPRODUCT(($A$18:$A$379=A293)*(IFERROR($B$18:$B$379&gt;=E293-30,0))*(IFERROR($B$18:$B$379&lt;=E293+30,0))*($G$18:$G$379&gt;0)*($L$18:$L$379&lt;&gt;L293)*($G$18:$G$379))+SUMPRODUCT(($A$381:$A$498=A293)*(IFERROR($B$381:$B$498&gt;=E293-30,0))*(IFERROR($B$381:$B$498&lt;=E293+30,0))*($G$381:$G$498&gt;0)*($L$381:$L$498&lt;&gt;L293)*($G$381:$G$498))))</f>
        <v/>
      </c>
      <c r="P293" s="28" t="str">
        <f>IF(OR(A293="",M293&lt;=0,J293&gt;=0),"",SUMPRODUCT(($A$18:$A$379=A293)*(IFERROR($B$18:$B$379&gt;=E293-30,0))*(IFERROR($B$18:$B$379&lt;=E293+30,0))*($G$18:$G$379&gt;0)*($L$18:$L$379&lt;&gt;L293))+SUMPRODUCT(($A$381:$A$498=A293)*(IFERROR($B$381:$B$498&gt;=E293-30,0))*(IFERROR($B$381:$B$498&lt;=E293+30,0))*($G$381:$G$498&gt;0)*($L$381:$L$498&lt;&gt;L293)))</f>
        <v/>
      </c>
      <c r="Q293" s="31" t="str">
        <f>IF(P293=1,IFERROR(INDEX($L$18:$L$379,MATCH(1,INDEX(($A$18:$A$379=A293)*(IFERROR($B$18:$B$379&gt;=E293-30,0))*(IFERROR($B$18:$B$379&lt;=E293+30,0))*($G$18:$G$379&gt;0)*($L$18:$L$379&lt;&gt;L293),0),0)),IFERROR(INDEX($L$381:$L$498,MATCH(1,INDEX(($A$381:$A$498=A293)*(IFERROR($B$381:$B$498&gt;=E293-30,0))*(IFERROR($B$381:$B$498&lt;=E293+30,0))*($G$381:$G$498&gt;0)*($L$381:$L$498&lt;&gt;L293),0),0)),"")),"")</f>
        <v/>
      </c>
      <c r="R293" s="32"/>
      <c r="S293" s="31" t="str">
        <f>IF(R293&lt;&gt;"",R293,Q293)</f>
        <v/>
      </c>
      <c r="T293" s="63">
        <f>IF(OR(N293="",O293=0),0,N293*O293)</f>
        <v>0</v>
      </c>
      <c r="U293" s="63">
        <f>IF(COUNTIF($S$18:$S$498,L293)=0,"",SUMIF($S$18:$S$498,L293,$T$18:$T$498))</f>
        <v>0</v>
      </c>
      <c r="V293" s="63" t="str">
        <f>IF(H293="","",IFERROR(H293+U293,H293))</f>
        <v/>
      </c>
      <c r="W293" s="63" t="str">
        <f>IF(OR(V293="",C293=""),"",V293/C293)</f>
        <v/>
      </c>
      <c r="X293" s="11" t="str">
        <f>IF(A293="","",IF(AND(U293&lt;&gt;"",U293&lt;&gt;0,M293=0),"Replacement lot receiving wash basis",IF(J293="","",IF(J293&gt;=0,"",IF(O293=0,"No replacement buy found",IF(P293&gt;1,"Manual selection needed","Auto matched"))))))</f>
        <v/>
      </c>
      <c r="Z293" t="str">
        <f>IF(K293="Yes",COUNTIF($K$18:K293,"Yes"),"")</f>
        <v/>
      </c>
    </row>
    <row r="294" spans="1:26" ht="34.15" customHeight="1" x14ac:dyDescent="0.2">
      <c r="A294" s="9"/>
      <c r="B294" s="69"/>
      <c r="C294" s="30"/>
      <c r="D294" s="70"/>
      <c r="E294" s="69"/>
      <c r="F294" s="70"/>
      <c r="G294" s="30"/>
      <c r="H294" s="63" t="str">
        <f>IF(OR(C294="",D294=""),"",C294*D294)</f>
        <v/>
      </c>
      <c r="I294" s="63" t="str">
        <f>IF(OR(E294="",F294="",M294&lt;=0),"",M294*F294)</f>
        <v/>
      </c>
      <c r="J294" s="63" t="str">
        <f>IF(I294="","",I294-(M294*D294))</f>
        <v/>
      </c>
      <c r="K294" s="28" t="str">
        <f>IF(A294="","",IF(T294&gt;0,"Yes","No"))</f>
        <v/>
      </c>
      <c r="L294" s="28" t="str">
        <f>IF(A294="","",A294&amp;"-"&amp;TEXT(B294,"yyyymmdd")&amp;"-R"&amp;ROW())</f>
        <v/>
      </c>
      <c r="M294" s="28" t="str">
        <f>IF(OR(C294="",G294=""),"",C294-G294)</f>
        <v/>
      </c>
      <c r="N294" s="63" t="str">
        <f>IF(OR(M294&lt;=0,J294&gt;=0),"",ABS(J294)/M294)</f>
        <v/>
      </c>
      <c r="O294" s="63" t="str">
        <f>IF(OR(A294="",M294&lt;=0,J294&gt;=0),"",MIN(M294,SUMPRODUCT(($A$18:$A$379=A294)*(IFERROR($B$18:$B$379&gt;=E294-30,0))*(IFERROR($B$18:$B$379&lt;=E294+30,0))*($G$18:$G$379&gt;0)*($L$18:$L$379&lt;&gt;L294)*($G$18:$G$379))+SUMPRODUCT(($A$381:$A$498=A294)*(IFERROR($B$381:$B$498&gt;=E294-30,0))*(IFERROR($B$381:$B$498&lt;=E294+30,0))*($G$381:$G$498&gt;0)*($L$381:$L$498&lt;&gt;L294)*($G$381:$G$498))))</f>
        <v/>
      </c>
      <c r="P294" s="28" t="str">
        <f>IF(OR(A294="",M294&lt;=0,J294&gt;=0),"",SUMPRODUCT(($A$18:$A$379=A294)*(IFERROR($B$18:$B$379&gt;=E294-30,0))*(IFERROR($B$18:$B$379&lt;=E294+30,0))*($G$18:$G$379&gt;0)*($L$18:$L$379&lt;&gt;L294))+SUMPRODUCT(($A$381:$A$498=A294)*(IFERROR($B$381:$B$498&gt;=E294-30,0))*(IFERROR($B$381:$B$498&lt;=E294+30,0))*($G$381:$G$498&gt;0)*($L$381:$L$498&lt;&gt;L294)))</f>
        <v/>
      </c>
      <c r="Q294" s="31" t="str">
        <f>IF(P294=1,IFERROR(INDEX($L$18:$L$379,MATCH(1,INDEX(($A$18:$A$379=A294)*(IFERROR($B$18:$B$379&gt;=E294-30,0))*(IFERROR($B$18:$B$379&lt;=E294+30,0))*($G$18:$G$379&gt;0)*($L$18:$L$379&lt;&gt;L294),0),0)),IFERROR(INDEX($L$381:$L$498,MATCH(1,INDEX(($A$381:$A$498=A294)*(IFERROR($B$381:$B$498&gt;=E294-30,0))*(IFERROR($B$381:$B$498&lt;=E294+30,0))*($G$381:$G$498&gt;0)*($L$381:$L$498&lt;&gt;L294),0),0)),"")),"")</f>
        <v/>
      </c>
      <c r="R294" s="32"/>
      <c r="S294" s="31" t="str">
        <f>IF(R294&lt;&gt;"",R294,Q294)</f>
        <v/>
      </c>
      <c r="T294" s="63">
        <f>IF(OR(N294="",O294=0),0,N294*O294)</f>
        <v>0</v>
      </c>
      <c r="U294" s="63">
        <f>IF(COUNTIF($S$18:$S$498,L294)=0,"",SUMIF($S$18:$S$498,L294,$T$18:$T$498))</f>
        <v>0</v>
      </c>
      <c r="V294" s="63" t="str">
        <f>IF(H294="","",IFERROR(H294+U294,H294))</f>
        <v/>
      </c>
      <c r="W294" s="63" t="str">
        <f>IF(OR(V294="",C294=""),"",V294/C294)</f>
        <v/>
      </c>
      <c r="X294" s="11" t="str">
        <f>IF(A294="","",IF(AND(U294&lt;&gt;"",U294&lt;&gt;0,M294=0),"Replacement lot receiving wash basis",IF(J294="","",IF(J294&gt;=0,"",IF(O294=0,"No replacement buy found",IF(P294&gt;1,"Manual selection needed","Auto matched"))))))</f>
        <v/>
      </c>
      <c r="Z294" t="str">
        <f>IF(K294="Yes",COUNTIF($K$18:K294,"Yes"),"")</f>
        <v/>
      </c>
    </row>
    <row r="295" spans="1:26" ht="34.15" customHeight="1" x14ac:dyDescent="0.2">
      <c r="A295" s="9"/>
      <c r="B295" s="69"/>
      <c r="C295" s="30"/>
      <c r="D295" s="70"/>
      <c r="E295" s="69"/>
      <c r="F295" s="70"/>
      <c r="G295" s="30"/>
      <c r="H295" s="63" t="str">
        <f>IF(OR(C295="",D295=""),"",C295*D295)</f>
        <v/>
      </c>
      <c r="I295" s="63" t="str">
        <f>IF(OR(E295="",F295="",M295&lt;=0),"",M295*F295)</f>
        <v/>
      </c>
      <c r="J295" s="63" t="str">
        <f>IF(I295="","",I295-(M295*D295))</f>
        <v/>
      </c>
      <c r="K295" s="28" t="str">
        <f>IF(A295="","",IF(T295&gt;0,"Yes","No"))</f>
        <v/>
      </c>
      <c r="L295" s="28" t="str">
        <f>IF(A295="","",A295&amp;"-"&amp;TEXT(B295,"yyyymmdd")&amp;"-R"&amp;ROW())</f>
        <v/>
      </c>
      <c r="M295" s="28" t="str">
        <f>IF(OR(C295="",G295=""),"",C295-G295)</f>
        <v/>
      </c>
      <c r="N295" s="63" t="str">
        <f>IF(OR(M295&lt;=0,J295&gt;=0),"",ABS(J295)/M295)</f>
        <v/>
      </c>
      <c r="O295" s="63" t="str">
        <f>IF(OR(A295="",M295&lt;=0,J295&gt;=0),"",MIN(M295,SUMPRODUCT(($A$18:$A$379=A295)*(IFERROR($B$18:$B$379&gt;=E295-30,0))*(IFERROR($B$18:$B$379&lt;=E295+30,0))*($G$18:$G$379&gt;0)*($L$18:$L$379&lt;&gt;L295)*($G$18:$G$379))+SUMPRODUCT(($A$381:$A$498=A295)*(IFERROR($B$381:$B$498&gt;=E295-30,0))*(IFERROR($B$381:$B$498&lt;=E295+30,0))*($G$381:$G$498&gt;0)*($L$381:$L$498&lt;&gt;L295)*($G$381:$G$498))))</f>
        <v/>
      </c>
      <c r="P295" s="28" t="str">
        <f>IF(OR(A295="",M295&lt;=0,J295&gt;=0),"",SUMPRODUCT(($A$18:$A$379=A295)*(IFERROR($B$18:$B$379&gt;=E295-30,0))*(IFERROR($B$18:$B$379&lt;=E295+30,0))*($G$18:$G$379&gt;0)*($L$18:$L$379&lt;&gt;L295))+SUMPRODUCT(($A$381:$A$498=A295)*(IFERROR($B$381:$B$498&gt;=E295-30,0))*(IFERROR($B$381:$B$498&lt;=E295+30,0))*($G$381:$G$498&gt;0)*($L$381:$L$498&lt;&gt;L295)))</f>
        <v/>
      </c>
      <c r="Q295" s="31" t="str">
        <f>IF(P295=1,IFERROR(INDEX($L$18:$L$379,MATCH(1,INDEX(($A$18:$A$379=A295)*(IFERROR($B$18:$B$379&gt;=E295-30,0))*(IFERROR($B$18:$B$379&lt;=E295+30,0))*($G$18:$G$379&gt;0)*($L$18:$L$379&lt;&gt;L295),0),0)),IFERROR(INDEX($L$381:$L$498,MATCH(1,INDEX(($A$381:$A$498=A295)*(IFERROR($B$381:$B$498&gt;=E295-30,0))*(IFERROR($B$381:$B$498&lt;=E295+30,0))*($G$381:$G$498&gt;0)*($L$381:$L$498&lt;&gt;L295),0),0)),"")),"")</f>
        <v/>
      </c>
      <c r="R295" s="32"/>
      <c r="S295" s="31" t="str">
        <f>IF(R295&lt;&gt;"",R295,Q295)</f>
        <v/>
      </c>
      <c r="T295" s="63">
        <f>IF(OR(N295="",O295=0),0,N295*O295)</f>
        <v>0</v>
      </c>
      <c r="U295" s="63">
        <f>IF(COUNTIF($S$18:$S$498,L295)=0,"",SUMIF($S$18:$S$498,L295,$T$18:$T$498))</f>
        <v>0</v>
      </c>
      <c r="V295" s="63" t="str">
        <f>IF(H295="","",IFERROR(H295+U295,H295))</f>
        <v/>
      </c>
      <c r="W295" s="63" t="str">
        <f>IF(OR(V295="",C295=""),"",V295/C295)</f>
        <v/>
      </c>
      <c r="X295" s="11" t="str">
        <f>IF(A295="","",IF(AND(U295&lt;&gt;"",U295&lt;&gt;0,M295=0),"Replacement lot receiving wash basis",IF(J295="","",IF(J295&gt;=0,"",IF(O295=0,"No replacement buy found",IF(P295&gt;1,"Manual selection needed","Auto matched"))))))</f>
        <v/>
      </c>
      <c r="Z295" t="str">
        <f>IF(K295="Yes",COUNTIF($K$18:K295,"Yes"),"")</f>
        <v/>
      </c>
    </row>
    <row r="296" spans="1:26" ht="34.15" customHeight="1" x14ac:dyDescent="0.2">
      <c r="A296" s="9"/>
      <c r="B296" s="69"/>
      <c r="C296" s="30"/>
      <c r="D296" s="70"/>
      <c r="E296" s="69"/>
      <c r="F296" s="70"/>
      <c r="G296" s="30"/>
      <c r="H296" s="63" t="str">
        <f>IF(OR(C296="",D296=""),"",C296*D296)</f>
        <v/>
      </c>
      <c r="I296" s="63" t="str">
        <f>IF(OR(E296="",F296="",M296&lt;=0),"",M296*F296)</f>
        <v/>
      </c>
      <c r="J296" s="63" t="str">
        <f>IF(I296="","",I296-(M296*D296))</f>
        <v/>
      </c>
      <c r="K296" s="28" t="str">
        <f>IF(A296="","",IF(T296&gt;0,"Yes","No"))</f>
        <v/>
      </c>
      <c r="L296" s="28" t="str">
        <f>IF(A296="","",A296&amp;"-"&amp;TEXT(B296,"yyyymmdd")&amp;"-R"&amp;ROW())</f>
        <v/>
      </c>
      <c r="M296" s="28" t="str">
        <f>IF(OR(C296="",G296=""),"",C296-G296)</f>
        <v/>
      </c>
      <c r="N296" s="63" t="str">
        <f>IF(OR(M296&lt;=0,J296&gt;=0),"",ABS(J296)/M296)</f>
        <v/>
      </c>
      <c r="O296" s="63" t="str">
        <f>IF(OR(A296="",M296&lt;=0,J296&gt;=0),"",MIN(M296,SUMPRODUCT(($A$18:$A$379=A296)*(IFERROR($B$18:$B$379&gt;=E296-30,0))*(IFERROR($B$18:$B$379&lt;=E296+30,0))*($G$18:$G$379&gt;0)*($L$18:$L$379&lt;&gt;L296)*($G$18:$G$379))+SUMPRODUCT(($A$381:$A$498=A296)*(IFERROR($B$381:$B$498&gt;=E296-30,0))*(IFERROR($B$381:$B$498&lt;=E296+30,0))*($G$381:$G$498&gt;0)*($L$381:$L$498&lt;&gt;L296)*($G$381:$G$498))))</f>
        <v/>
      </c>
      <c r="P296" s="28" t="str">
        <f>IF(OR(A296="",M296&lt;=0,J296&gt;=0),"",SUMPRODUCT(($A$18:$A$379=A296)*(IFERROR($B$18:$B$379&gt;=E296-30,0))*(IFERROR($B$18:$B$379&lt;=E296+30,0))*($G$18:$G$379&gt;0)*($L$18:$L$379&lt;&gt;L296))+SUMPRODUCT(($A$381:$A$498=A296)*(IFERROR($B$381:$B$498&gt;=E296-30,0))*(IFERROR($B$381:$B$498&lt;=E296+30,0))*($G$381:$G$498&gt;0)*($L$381:$L$498&lt;&gt;L296)))</f>
        <v/>
      </c>
      <c r="Q296" s="31" t="str">
        <f>IF(P296=1,IFERROR(INDEX($L$18:$L$379,MATCH(1,INDEX(($A$18:$A$379=A296)*(IFERROR($B$18:$B$379&gt;=E296-30,0))*(IFERROR($B$18:$B$379&lt;=E296+30,0))*($G$18:$G$379&gt;0)*($L$18:$L$379&lt;&gt;L296),0),0)),IFERROR(INDEX($L$381:$L$498,MATCH(1,INDEX(($A$381:$A$498=A296)*(IFERROR($B$381:$B$498&gt;=E296-30,0))*(IFERROR($B$381:$B$498&lt;=E296+30,0))*($G$381:$G$498&gt;0)*($L$381:$L$498&lt;&gt;L296),0),0)),"")),"")</f>
        <v/>
      </c>
      <c r="R296" s="32"/>
      <c r="S296" s="31" t="str">
        <f>IF(R296&lt;&gt;"",R296,Q296)</f>
        <v/>
      </c>
      <c r="T296" s="63">
        <f>IF(OR(N296="",O296=0),0,N296*O296)</f>
        <v>0</v>
      </c>
      <c r="U296" s="63">
        <f>IF(COUNTIF($S$18:$S$498,L296)=0,"",SUMIF($S$18:$S$498,L296,$T$18:$T$498))</f>
        <v>0</v>
      </c>
      <c r="V296" s="63" t="str">
        <f>IF(H296="","",IFERROR(H296+U296,H296))</f>
        <v/>
      </c>
      <c r="W296" s="63" t="str">
        <f>IF(OR(V296="",C296=""),"",V296/C296)</f>
        <v/>
      </c>
      <c r="X296" s="11" t="str">
        <f>IF(A296="","",IF(AND(U296&lt;&gt;"",U296&lt;&gt;0,M296=0),"Replacement lot receiving wash basis",IF(J296="","",IF(J296&gt;=0,"",IF(O296=0,"No replacement buy found",IF(P296&gt;1,"Manual selection needed","Auto matched"))))))</f>
        <v/>
      </c>
      <c r="Z296" t="str">
        <f>IF(K296="Yes",COUNTIF($K$18:K296,"Yes"),"")</f>
        <v/>
      </c>
    </row>
    <row r="297" spans="1:26" ht="34.15" customHeight="1" x14ac:dyDescent="0.2">
      <c r="A297" s="9"/>
      <c r="B297" s="69"/>
      <c r="C297" s="30"/>
      <c r="D297" s="70"/>
      <c r="E297" s="69"/>
      <c r="F297" s="70"/>
      <c r="G297" s="30"/>
      <c r="H297" s="63" t="str">
        <f>IF(OR(C297="",D297=""),"",C297*D297)</f>
        <v/>
      </c>
      <c r="I297" s="63" t="str">
        <f>IF(OR(E297="",F297="",M297&lt;=0),"",M297*F297)</f>
        <v/>
      </c>
      <c r="J297" s="63" t="str">
        <f>IF(I297="","",I297-(M297*D297))</f>
        <v/>
      </c>
      <c r="K297" s="28" t="str">
        <f>IF(A297="","",IF(T297&gt;0,"Yes","No"))</f>
        <v/>
      </c>
      <c r="L297" s="28" t="str">
        <f>IF(A297="","",A297&amp;"-"&amp;TEXT(B297,"yyyymmdd")&amp;"-R"&amp;ROW())</f>
        <v/>
      </c>
      <c r="M297" s="28" t="str">
        <f>IF(OR(C297="",G297=""),"",C297-G297)</f>
        <v/>
      </c>
      <c r="N297" s="63" t="str">
        <f>IF(OR(M297&lt;=0,J297&gt;=0),"",ABS(J297)/M297)</f>
        <v/>
      </c>
      <c r="O297" s="63" t="str">
        <f>IF(OR(A297="",M297&lt;=0,J297&gt;=0),"",MIN(M297,SUMPRODUCT(($A$18:$A$379=A297)*(IFERROR($B$18:$B$379&gt;=E297-30,0))*(IFERROR($B$18:$B$379&lt;=E297+30,0))*($G$18:$G$379&gt;0)*($L$18:$L$379&lt;&gt;L297)*($G$18:$G$379))+SUMPRODUCT(($A$381:$A$498=A297)*(IFERROR($B$381:$B$498&gt;=E297-30,0))*(IFERROR($B$381:$B$498&lt;=E297+30,0))*($G$381:$G$498&gt;0)*($L$381:$L$498&lt;&gt;L297)*($G$381:$G$498))))</f>
        <v/>
      </c>
      <c r="P297" s="28" t="str">
        <f>IF(OR(A297="",M297&lt;=0,J297&gt;=0),"",SUMPRODUCT(($A$18:$A$379=A297)*(IFERROR($B$18:$B$379&gt;=E297-30,0))*(IFERROR($B$18:$B$379&lt;=E297+30,0))*($G$18:$G$379&gt;0)*($L$18:$L$379&lt;&gt;L297))+SUMPRODUCT(($A$381:$A$498=A297)*(IFERROR($B$381:$B$498&gt;=E297-30,0))*(IFERROR($B$381:$B$498&lt;=E297+30,0))*($G$381:$G$498&gt;0)*($L$381:$L$498&lt;&gt;L297)))</f>
        <v/>
      </c>
      <c r="Q297" s="31" t="str">
        <f>IF(P297=1,IFERROR(INDEX($L$18:$L$379,MATCH(1,INDEX(($A$18:$A$379=A297)*(IFERROR($B$18:$B$379&gt;=E297-30,0))*(IFERROR($B$18:$B$379&lt;=E297+30,0))*($G$18:$G$379&gt;0)*($L$18:$L$379&lt;&gt;L297),0),0)),IFERROR(INDEX($L$381:$L$498,MATCH(1,INDEX(($A$381:$A$498=A297)*(IFERROR($B$381:$B$498&gt;=E297-30,0))*(IFERROR($B$381:$B$498&lt;=E297+30,0))*($G$381:$G$498&gt;0)*($L$381:$L$498&lt;&gt;L297),0),0)),"")),"")</f>
        <v/>
      </c>
      <c r="R297" s="32"/>
      <c r="S297" s="31" t="str">
        <f>IF(R297&lt;&gt;"",R297,Q297)</f>
        <v/>
      </c>
      <c r="T297" s="63">
        <f>IF(OR(N297="",O297=0),0,N297*O297)</f>
        <v>0</v>
      </c>
      <c r="U297" s="63">
        <f>IF(COUNTIF($S$18:$S$498,L297)=0,"",SUMIF($S$18:$S$498,L297,$T$18:$T$498))</f>
        <v>0</v>
      </c>
      <c r="V297" s="63" t="str">
        <f>IF(H297="","",IFERROR(H297+U297,H297))</f>
        <v/>
      </c>
      <c r="W297" s="63" t="str">
        <f>IF(OR(V297="",C297=""),"",V297/C297)</f>
        <v/>
      </c>
      <c r="X297" s="11" t="str">
        <f>IF(A297="","",IF(AND(U297&lt;&gt;"",U297&lt;&gt;0,M297=0),"Replacement lot receiving wash basis",IF(J297="","",IF(J297&gt;=0,"",IF(O297=0,"No replacement buy found",IF(P297&gt;1,"Manual selection needed","Auto matched"))))))</f>
        <v/>
      </c>
      <c r="Z297" t="str">
        <f>IF(K297="Yes",COUNTIF($K$18:K297,"Yes"),"")</f>
        <v/>
      </c>
    </row>
    <row r="298" spans="1:26" ht="34.15" customHeight="1" x14ac:dyDescent="0.2">
      <c r="A298" s="9"/>
      <c r="B298" s="69"/>
      <c r="C298" s="30"/>
      <c r="D298" s="70"/>
      <c r="E298" s="69"/>
      <c r="F298" s="70"/>
      <c r="G298" s="30"/>
      <c r="H298" s="63" t="str">
        <f>IF(OR(C298="",D298=""),"",C298*D298)</f>
        <v/>
      </c>
      <c r="I298" s="63" t="str">
        <f>IF(OR(E298="",F298="",M298&lt;=0),"",M298*F298)</f>
        <v/>
      </c>
      <c r="J298" s="63" t="str">
        <f>IF(I298="","",I298-(M298*D298))</f>
        <v/>
      </c>
      <c r="K298" s="28" t="str">
        <f>IF(A298="","",IF(T298&gt;0,"Yes","No"))</f>
        <v/>
      </c>
      <c r="L298" s="28" t="str">
        <f>IF(A298="","",A298&amp;"-"&amp;TEXT(B298,"yyyymmdd")&amp;"-R"&amp;ROW())</f>
        <v/>
      </c>
      <c r="M298" s="28" t="str">
        <f>IF(OR(C298="",G298=""),"",C298-G298)</f>
        <v/>
      </c>
      <c r="N298" s="63" t="str">
        <f>IF(OR(M298&lt;=0,J298&gt;=0),"",ABS(J298)/M298)</f>
        <v/>
      </c>
      <c r="O298" s="63" t="str">
        <f>IF(OR(A298="",M298&lt;=0,J298&gt;=0),"",MIN(M298,SUMPRODUCT(($A$18:$A$379=A298)*(IFERROR($B$18:$B$379&gt;=E298-30,0))*(IFERROR($B$18:$B$379&lt;=E298+30,0))*($G$18:$G$379&gt;0)*($L$18:$L$379&lt;&gt;L298)*($G$18:$G$379))+SUMPRODUCT(($A$381:$A$498=A298)*(IFERROR($B$381:$B$498&gt;=E298-30,0))*(IFERROR($B$381:$B$498&lt;=E298+30,0))*($G$381:$G$498&gt;0)*($L$381:$L$498&lt;&gt;L298)*($G$381:$G$498))))</f>
        <v/>
      </c>
      <c r="P298" s="28" t="str">
        <f>IF(OR(A298="",M298&lt;=0,J298&gt;=0),"",SUMPRODUCT(($A$18:$A$379=A298)*(IFERROR($B$18:$B$379&gt;=E298-30,0))*(IFERROR($B$18:$B$379&lt;=E298+30,0))*($G$18:$G$379&gt;0)*($L$18:$L$379&lt;&gt;L298))+SUMPRODUCT(($A$381:$A$498=A298)*(IFERROR($B$381:$B$498&gt;=E298-30,0))*(IFERROR($B$381:$B$498&lt;=E298+30,0))*($G$381:$G$498&gt;0)*($L$381:$L$498&lt;&gt;L298)))</f>
        <v/>
      </c>
      <c r="Q298" s="31" t="str">
        <f>IF(P298=1,IFERROR(INDEX($L$18:$L$379,MATCH(1,INDEX(($A$18:$A$379=A298)*(IFERROR($B$18:$B$379&gt;=E298-30,0))*(IFERROR($B$18:$B$379&lt;=E298+30,0))*($G$18:$G$379&gt;0)*($L$18:$L$379&lt;&gt;L298),0),0)),IFERROR(INDEX($L$381:$L$498,MATCH(1,INDEX(($A$381:$A$498=A298)*(IFERROR($B$381:$B$498&gt;=E298-30,0))*(IFERROR($B$381:$B$498&lt;=E298+30,0))*($G$381:$G$498&gt;0)*($L$381:$L$498&lt;&gt;L298),0),0)),"")),"")</f>
        <v/>
      </c>
      <c r="R298" s="32"/>
      <c r="S298" s="31" t="str">
        <f>IF(R298&lt;&gt;"",R298,Q298)</f>
        <v/>
      </c>
      <c r="T298" s="63">
        <f>IF(OR(N298="",O298=0),0,N298*O298)</f>
        <v>0</v>
      </c>
      <c r="U298" s="63">
        <f>IF(COUNTIF($S$18:$S$498,L298)=0,"",SUMIF($S$18:$S$498,L298,$T$18:$T$498))</f>
        <v>0</v>
      </c>
      <c r="V298" s="63" t="str">
        <f>IF(H298="","",IFERROR(H298+U298,H298))</f>
        <v/>
      </c>
      <c r="W298" s="63" t="str">
        <f>IF(OR(V298="",C298=""),"",V298/C298)</f>
        <v/>
      </c>
      <c r="X298" s="11" t="str">
        <f>IF(A298="","",IF(AND(U298&lt;&gt;"",U298&lt;&gt;0,M298=0),"Replacement lot receiving wash basis",IF(J298="","",IF(J298&gt;=0,"",IF(O298=0,"No replacement buy found",IF(P298&gt;1,"Manual selection needed","Auto matched"))))))</f>
        <v/>
      </c>
      <c r="Z298" t="str">
        <f>IF(K298="Yes",COUNTIF($K$18:K298,"Yes"),"")</f>
        <v/>
      </c>
    </row>
    <row r="299" spans="1:26" ht="34.15" customHeight="1" x14ac:dyDescent="0.2">
      <c r="A299" s="9"/>
      <c r="B299" s="69"/>
      <c r="C299" s="30"/>
      <c r="D299" s="70"/>
      <c r="E299" s="69"/>
      <c r="F299" s="70"/>
      <c r="G299" s="30"/>
      <c r="H299" s="63" t="str">
        <f>IF(OR(C299="",D299=""),"",C299*D299)</f>
        <v/>
      </c>
      <c r="I299" s="63" t="str">
        <f>IF(OR(E299="",F299="",M299&lt;=0),"",M299*F299)</f>
        <v/>
      </c>
      <c r="J299" s="63" t="str">
        <f>IF(I299="","",I299-(M299*D299))</f>
        <v/>
      </c>
      <c r="K299" s="28" t="str">
        <f>IF(A299="","",IF(T299&gt;0,"Yes","No"))</f>
        <v/>
      </c>
      <c r="L299" s="28" t="str">
        <f>IF(A299="","",A299&amp;"-"&amp;TEXT(B299,"yyyymmdd")&amp;"-R"&amp;ROW())</f>
        <v/>
      </c>
      <c r="M299" s="28" t="str">
        <f>IF(OR(C299="",G299=""),"",C299-G299)</f>
        <v/>
      </c>
      <c r="N299" s="63" t="str">
        <f>IF(OR(M299&lt;=0,J299&gt;=0),"",ABS(J299)/M299)</f>
        <v/>
      </c>
      <c r="O299" s="63" t="str">
        <f>IF(OR(A299="",M299&lt;=0,J299&gt;=0),"",MIN(M299,SUMPRODUCT(($A$18:$A$379=A299)*(IFERROR($B$18:$B$379&gt;=E299-30,0))*(IFERROR($B$18:$B$379&lt;=E299+30,0))*($G$18:$G$379&gt;0)*($L$18:$L$379&lt;&gt;L299)*($G$18:$G$379))+SUMPRODUCT(($A$381:$A$498=A299)*(IFERROR($B$381:$B$498&gt;=E299-30,0))*(IFERROR($B$381:$B$498&lt;=E299+30,0))*($G$381:$G$498&gt;0)*($L$381:$L$498&lt;&gt;L299)*($G$381:$G$498))))</f>
        <v/>
      </c>
      <c r="P299" s="28" t="str">
        <f>IF(OR(A299="",M299&lt;=0,J299&gt;=0),"",SUMPRODUCT(($A$18:$A$379=A299)*(IFERROR($B$18:$B$379&gt;=E299-30,0))*(IFERROR($B$18:$B$379&lt;=E299+30,0))*($G$18:$G$379&gt;0)*($L$18:$L$379&lt;&gt;L299))+SUMPRODUCT(($A$381:$A$498=A299)*(IFERROR($B$381:$B$498&gt;=E299-30,0))*(IFERROR($B$381:$B$498&lt;=E299+30,0))*($G$381:$G$498&gt;0)*($L$381:$L$498&lt;&gt;L299)))</f>
        <v/>
      </c>
      <c r="Q299" s="31" t="str">
        <f>IF(P299=1,IFERROR(INDEX($L$18:$L$379,MATCH(1,INDEX(($A$18:$A$379=A299)*(IFERROR($B$18:$B$379&gt;=E299-30,0))*(IFERROR($B$18:$B$379&lt;=E299+30,0))*($G$18:$G$379&gt;0)*($L$18:$L$379&lt;&gt;L299),0),0)),IFERROR(INDEX($L$381:$L$498,MATCH(1,INDEX(($A$381:$A$498=A299)*(IFERROR($B$381:$B$498&gt;=E299-30,0))*(IFERROR($B$381:$B$498&lt;=E299+30,0))*($G$381:$G$498&gt;0)*($L$381:$L$498&lt;&gt;L299),0),0)),"")),"")</f>
        <v/>
      </c>
      <c r="R299" s="32"/>
      <c r="S299" s="31" t="str">
        <f>IF(R299&lt;&gt;"",R299,Q299)</f>
        <v/>
      </c>
      <c r="T299" s="63">
        <f>IF(OR(N299="",O299=0),0,N299*O299)</f>
        <v>0</v>
      </c>
      <c r="U299" s="63">
        <f>IF(COUNTIF($S$18:$S$498,L299)=0,"",SUMIF($S$18:$S$498,L299,$T$18:$T$498))</f>
        <v>0</v>
      </c>
      <c r="V299" s="63" t="str">
        <f>IF(H299="","",IFERROR(H299+U299,H299))</f>
        <v/>
      </c>
      <c r="W299" s="63" t="str">
        <f>IF(OR(V299="",C299=""),"",V299/C299)</f>
        <v/>
      </c>
      <c r="X299" s="11" t="str">
        <f>IF(A299="","",IF(AND(U299&lt;&gt;"",U299&lt;&gt;0,M299=0),"Replacement lot receiving wash basis",IF(J299="","",IF(J299&gt;=0,"",IF(O299=0,"No replacement buy found",IF(P299&gt;1,"Manual selection needed","Auto matched"))))))</f>
        <v/>
      </c>
      <c r="Z299" t="str">
        <f>IF(K299="Yes",COUNTIF($K$18:K299,"Yes"),"")</f>
        <v/>
      </c>
    </row>
    <row r="300" spans="1:26" ht="34.15" customHeight="1" x14ac:dyDescent="0.2">
      <c r="A300" s="9"/>
      <c r="B300" s="69"/>
      <c r="C300" s="30"/>
      <c r="D300" s="70"/>
      <c r="E300" s="69"/>
      <c r="F300" s="70"/>
      <c r="G300" s="30"/>
      <c r="H300" s="63" t="str">
        <f>IF(OR(C300="",D300=""),"",C300*D300)</f>
        <v/>
      </c>
      <c r="I300" s="63" t="str">
        <f>IF(OR(E300="",F300="",M300&lt;=0),"",M300*F300)</f>
        <v/>
      </c>
      <c r="J300" s="63" t="str">
        <f>IF(I300="","",I300-(M300*D300))</f>
        <v/>
      </c>
      <c r="K300" s="28" t="str">
        <f>IF(A300="","",IF(T300&gt;0,"Yes","No"))</f>
        <v/>
      </c>
      <c r="L300" s="28" t="str">
        <f>IF(A300="","",A300&amp;"-"&amp;TEXT(B300,"yyyymmdd")&amp;"-R"&amp;ROW())</f>
        <v/>
      </c>
      <c r="M300" s="28" t="str">
        <f>IF(OR(C300="",G300=""),"",C300-G300)</f>
        <v/>
      </c>
      <c r="N300" s="63" t="str">
        <f>IF(OR(M300&lt;=0,J300&gt;=0),"",ABS(J300)/M300)</f>
        <v/>
      </c>
      <c r="O300" s="63" t="str">
        <f>IF(OR(A300="",M300&lt;=0,J300&gt;=0),"",MIN(M300,SUMPRODUCT(($A$18:$A$379=A300)*(IFERROR($B$18:$B$379&gt;=E300-30,0))*(IFERROR($B$18:$B$379&lt;=E300+30,0))*($G$18:$G$379&gt;0)*($L$18:$L$379&lt;&gt;L300)*($G$18:$G$379))+SUMPRODUCT(($A$381:$A$498=A300)*(IFERROR($B$381:$B$498&gt;=E300-30,0))*(IFERROR($B$381:$B$498&lt;=E300+30,0))*($G$381:$G$498&gt;0)*($L$381:$L$498&lt;&gt;L300)*($G$381:$G$498))))</f>
        <v/>
      </c>
      <c r="P300" s="28" t="str">
        <f>IF(OR(A300="",M300&lt;=0,J300&gt;=0),"",SUMPRODUCT(($A$18:$A$379=A300)*(IFERROR($B$18:$B$379&gt;=E300-30,0))*(IFERROR($B$18:$B$379&lt;=E300+30,0))*($G$18:$G$379&gt;0)*($L$18:$L$379&lt;&gt;L300))+SUMPRODUCT(($A$381:$A$498=A300)*(IFERROR($B$381:$B$498&gt;=E300-30,0))*(IFERROR($B$381:$B$498&lt;=E300+30,0))*($G$381:$G$498&gt;0)*($L$381:$L$498&lt;&gt;L300)))</f>
        <v/>
      </c>
      <c r="Q300" s="31" t="str">
        <f>IF(P300=1,IFERROR(INDEX($L$18:$L$379,MATCH(1,INDEX(($A$18:$A$379=A300)*(IFERROR($B$18:$B$379&gt;=E300-30,0))*(IFERROR($B$18:$B$379&lt;=E300+30,0))*($G$18:$G$379&gt;0)*($L$18:$L$379&lt;&gt;L300),0),0)),IFERROR(INDEX($L$381:$L$498,MATCH(1,INDEX(($A$381:$A$498=A300)*(IFERROR($B$381:$B$498&gt;=E300-30,0))*(IFERROR($B$381:$B$498&lt;=E300+30,0))*($G$381:$G$498&gt;0)*($L$381:$L$498&lt;&gt;L300),0),0)),"")),"")</f>
        <v/>
      </c>
      <c r="R300" s="32"/>
      <c r="S300" s="31" t="str">
        <f>IF(R300&lt;&gt;"",R300,Q300)</f>
        <v/>
      </c>
      <c r="T300" s="63">
        <f>IF(OR(N300="",O300=0),0,N300*O300)</f>
        <v>0</v>
      </c>
      <c r="U300" s="63">
        <f>IF(COUNTIF($S$18:$S$498,L300)=0,"",SUMIF($S$18:$S$498,L300,$T$18:$T$498))</f>
        <v>0</v>
      </c>
      <c r="V300" s="63" t="str">
        <f>IF(H300="","",IFERROR(H300+U300,H300))</f>
        <v/>
      </c>
      <c r="W300" s="63" t="str">
        <f>IF(OR(V300="",C300=""),"",V300/C300)</f>
        <v/>
      </c>
      <c r="X300" s="11" t="str">
        <f>IF(A300="","",IF(AND(U300&lt;&gt;"",U300&lt;&gt;0,M300=0),"Replacement lot receiving wash basis",IF(J300="","",IF(J300&gt;=0,"",IF(O300=0,"No replacement buy found",IF(P300&gt;1,"Manual selection needed","Auto matched"))))))</f>
        <v/>
      </c>
      <c r="Z300" t="str">
        <f>IF(K300="Yes",COUNTIF($K$18:K300,"Yes"),"")</f>
        <v/>
      </c>
    </row>
    <row r="301" spans="1:26" ht="34.15" customHeight="1" x14ac:dyDescent="0.2">
      <c r="A301" s="9"/>
      <c r="B301" s="69"/>
      <c r="C301" s="30"/>
      <c r="D301" s="70"/>
      <c r="E301" s="69"/>
      <c r="F301" s="70"/>
      <c r="G301" s="30"/>
      <c r="H301" s="63" t="str">
        <f>IF(OR(C301="",D301=""),"",C301*D301)</f>
        <v/>
      </c>
      <c r="I301" s="63" t="str">
        <f>IF(OR(E301="",F301="",M301&lt;=0),"",M301*F301)</f>
        <v/>
      </c>
      <c r="J301" s="63" t="str">
        <f>IF(I301="","",I301-(M301*D301))</f>
        <v/>
      </c>
      <c r="K301" s="28" t="str">
        <f>IF(A301="","",IF(T301&gt;0,"Yes","No"))</f>
        <v/>
      </c>
      <c r="L301" s="28" t="str">
        <f>IF(A301="","",A301&amp;"-"&amp;TEXT(B301,"yyyymmdd")&amp;"-R"&amp;ROW())</f>
        <v/>
      </c>
      <c r="M301" s="28" t="str">
        <f>IF(OR(C301="",G301=""),"",C301-G301)</f>
        <v/>
      </c>
      <c r="N301" s="63" t="str">
        <f>IF(OR(M301&lt;=0,J301&gt;=0),"",ABS(J301)/M301)</f>
        <v/>
      </c>
      <c r="O301" s="63" t="str">
        <f>IF(OR(A301="",M301&lt;=0,J301&gt;=0),"",MIN(M301,SUMPRODUCT(($A$18:$A$379=A301)*(IFERROR($B$18:$B$379&gt;=E301-30,0))*(IFERROR($B$18:$B$379&lt;=E301+30,0))*($G$18:$G$379&gt;0)*($L$18:$L$379&lt;&gt;L301)*($G$18:$G$379))+SUMPRODUCT(($A$381:$A$498=A301)*(IFERROR($B$381:$B$498&gt;=E301-30,0))*(IFERROR($B$381:$B$498&lt;=E301+30,0))*($G$381:$G$498&gt;0)*($L$381:$L$498&lt;&gt;L301)*($G$381:$G$498))))</f>
        <v/>
      </c>
      <c r="P301" s="28" t="str">
        <f>IF(OR(A301="",M301&lt;=0,J301&gt;=0),"",SUMPRODUCT(($A$18:$A$379=A301)*(IFERROR($B$18:$B$379&gt;=E301-30,0))*(IFERROR($B$18:$B$379&lt;=E301+30,0))*($G$18:$G$379&gt;0)*($L$18:$L$379&lt;&gt;L301))+SUMPRODUCT(($A$381:$A$498=A301)*(IFERROR($B$381:$B$498&gt;=E301-30,0))*(IFERROR($B$381:$B$498&lt;=E301+30,0))*($G$381:$G$498&gt;0)*($L$381:$L$498&lt;&gt;L301)))</f>
        <v/>
      </c>
      <c r="Q301" s="31" t="str">
        <f>IF(P301=1,IFERROR(INDEX($L$18:$L$379,MATCH(1,INDEX(($A$18:$A$379=A301)*(IFERROR($B$18:$B$379&gt;=E301-30,0))*(IFERROR($B$18:$B$379&lt;=E301+30,0))*($G$18:$G$379&gt;0)*($L$18:$L$379&lt;&gt;L301),0),0)),IFERROR(INDEX($L$381:$L$498,MATCH(1,INDEX(($A$381:$A$498=A301)*(IFERROR($B$381:$B$498&gt;=E301-30,0))*(IFERROR($B$381:$B$498&lt;=E301+30,0))*($G$381:$G$498&gt;0)*($L$381:$L$498&lt;&gt;L301),0),0)),"")),"")</f>
        <v/>
      </c>
      <c r="R301" s="32"/>
      <c r="S301" s="31" t="str">
        <f>IF(R301&lt;&gt;"",R301,Q301)</f>
        <v/>
      </c>
      <c r="T301" s="63">
        <f>IF(OR(N301="",O301=0),0,N301*O301)</f>
        <v>0</v>
      </c>
      <c r="U301" s="63">
        <f>IF(COUNTIF($S$18:$S$498,L301)=0,"",SUMIF($S$18:$S$498,L301,$T$18:$T$498))</f>
        <v>0</v>
      </c>
      <c r="V301" s="63" t="str">
        <f>IF(H301="","",IFERROR(H301+U301,H301))</f>
        <v/>
      </c>
      <c r="W301" s="63" t="str">
        <f>IF(OR(V301="",C301=""),"",V301/C301)</f>
        <v/>
      </c>
      <c r="X301" s="11" t="str">
        <f>IF(A301="","",IF(AND(U301&lt;&gt;"",U301&lt;&gt;0,M301=0),"Replacement lot receiving wash basis",IF(J301="","",IF(J301&gt;=0,"",IF(O301=0,"No replacement buy found",IF(P301&gt;1,"Manual selection needed","Auto matched"))))))</f>
        <v/>
      </c>
      <c r="Z301" t="str">
        <f>IF(K301="Yes",COUNTIF($K$18:K301,"Yes"),"")</f>
        <v/>
      </c>
    </row>
    <row r="302" spans="1:26" ht="34.15" customHeight="1" x14ac:dyDescent="0.2">
      <c r="A302" s="9"/>
      <c r="B302" s="69"/>
      <c r="C302" s="30"/>
      <c r="D302" s="70"/>
      <c r="E302" s="69"/>
      <c r="F302" s="70"/>
      <c r="G302" s="30"/>
      <c r="H302" s="63" t="str">
        <f>IF(OR(C302="",D302=""),"",C302*D302)</f>
        <v/>
      </c>
      <c r="I302" s="63" t="str">
        <f>IF(OR(E302="",F302="",M302&lt;=0),"",M302*F302)</f>
        <v/>
      </c>
      <c r="J302" s="63" t="str">
        <f>IF(I302="","",I302-(M302*D302))</f>
        <v/>
      </c>
      <c r="K302" s="28" t="str">
        <f>IF(A302="","",IF(T302&gt;0,"Yes","No"))</f>
        <v/>
      </c>
      <c r="L302" s="28" t="str">
        <f>IF(A302="","",A302&amp;"-"&amp;TEXT(B302,"yyyymmdd")&amp;"-R"&amp;ROW())</f>
        <v/>
      </c>
      <c r="M302" s="28" t="str">
        <f>IF(OR(C302="",G302=""),"",C302-G302)</f>
        <v/>
      </c>
      <c r="N302" s="63" t="str">
        <f>IF(OR(M302&lt;=0,J302&gt;=0),"",ABS(J302)/M302)</f>
        <v/>
      </c>
      <c r="O302" s="63" t="str">
        <f>IF(OR(A302="",M302&lt;=0,J302&gt;=0),"",MIN(M302,SUMPRODUCT(($A$18:$A$379=A302)*(IFERROR($B$18:$B$379&gt;=E302-30,0))*(IFERROR($B$18:$B$379&lt;=E302+30,0))*($G$18:$G$379&gt;0)*($L$18:$L$379&lt;&gt;L302)*($G$18:$G$379))+SUMPRODUCT(($A$381:$A$498=A302)*(IFERROR($B$381:$B$498&gt;=E302-30,0))*(IFERROR($B$381:$B$498&lt;=E302+30,0))*($G$381:$G$498&gt;0)*($L$381:$L$498&lt;&gt;L302)*($G$381:$G$498))))</f>
        <v/>
      </c>
      <c r="P302" s="28" t="str">
        <f>IF(OR(A302="",M302&lt;=0,J302&gt;=0),"",SUMPRODUCT(($A$18:$A$379=A302)*(IFERROR($B$18:$B$379&gt;=E302-30,0))*(IFERROR($B$18:$B$379&lt;=E302+30,0))*($G$18:$G$379&gt;0)*($L$18:$L$379&lt;&gt;L302))+SUMPRODUCT(($A$381:$A$498=A302)*(IFERROR($B$381:$B$498&gt;=E302-30,0))*(IFERROR($B$381:$B$498&lt;=E302+30,0))*($G$381:$G$498&gt;0)*($L$381:$L$498&lt;&gt;L302)))</f>
        <v/>
      </c>
      <c r="Q302" s="31" t="str">
        <f>IF(P302=1,IFERROR(INDEX($L$18:$L$379,MATCH(1,INDEX(($A$18:$A$379=A302)*(IFERROR($B$18:$B$379&gt;=E302-30,0))*(IFERROR($B$18:$B$379&lt;=E302+30,0))*($G$18:$G$379&gt;0)*($L$18:$L$379&lt;&gt;L302),0),0)),IFERROR(INDEX($L$381:$L$498,MATCH(1,INDEX(($A$381:$A$498=A302)*(IFERROR($B$381:$B$498&gt;=E302-30,0))*(IFERROR($B$381:$B$498&lt;=E302+30,0))*($G$381:$G$498&gt;0)*($L$381:$L$498&lt;&gt;L302),0),0)),"")),"")</f>
        <v/>
      </c>
      <c r="R302" s="32"/>
      <c r="S302" s="31" t="str">
        <f>IF(R302&lt;&gt;"",R302,Q302)</f>
        <v/>
      </c>
      <c r="T302" s="63">
        <f>IF(OR(N302="",O302=0),0,N302*O302)</f>
        <v>0</v>
      </c>
      <c r="U302" s="63">
        <f>IF(COUNTIF($S$18:$S$498,L302)=0,"",SUMIF($S$18:$S$498,L302,$T$18:$T$498))</f>
        <v>0</v>
      </c>
      <c r="V302" s="63" t="str">
        <f>IF(H302="","",IFERROR(H302+U302,H302))</f>
        <v/>
      </c>
      <c r="W302" s="63" t="str">
        <f>IF(OR(V302="",C302=""),"",V302/C302)</f>
        <v/>
      </c>
      <c r="X302" s="11" t="str">
        <f>IF(A302="","",IF(AND(U302&lt;&gt;"",U302&lt;&gt;0,M302=0),"Replacement lot receiving wash basis",IF(J302="","",IF(J302&gt;=0,"",IF(O302=0,"No replacement buy found",IF(P302&gt;1,"Manual selection needed","Auto matched"))))))</f>
        <v/>
      </c>
      <c r="Z302" t="str">
        <f>IF(K302="Yes",COUNTIF($K$18:K302,"Yes"),"")</f>
        <v/>
      </c>
    </row>
    <row r="303" spans="1:26" ht="34.15" customHeight="1" x14ac:dyDescent="0.2">
      <c r="A303" s="9"/>
      <c r="B303" s="69"/>
      <c r="C303" s="30"/>
      <c r="D303" s="70"/>
      <c r="E303" s="69"/>
      <c r="F303" s="70"/>
      <c r="G303" s="30"/>
      <c r="H303" s="63" t="str">
        <f>IF(OR(C303="",D303=""),"",C303*D303)</f>
        <v/>
      </c>
      <c r="I303" s="63" t="str">
        <f>IF(OR(E303="",F303="",M303&lt;=0),"",M303*F303)</f>
        <v/>
      </c>
      <c r="J303" s="63" t="str">
        <f>IF(I303="","",I303-(M303*D303))</f>
        <v/>
      </c>
      <c r="K303" s="28" t="str">
        <f>IF(A303="","",IF(T303&gt;0,"Yes","No"))</f>
        <v/>
      </c>
      <c r="L303" s="28" t="str">
        <f>IF(A303="","",A303&amp;"-"&amp;TEXT(B303,"yyyymmdd")&amp;"-R"&amp;ROW())</f>
        <v/>
      </c>
      <c r="M303" s="28" t="str">
        <f>IF(OR(C303="",G303=""),"",C303-G303)</f>
        <v/>
      </c>
      <c r="N303" s="63" t="str">
        <f>IF(OR(M303&lt;=0,J303&gt;=0),"",ABS(J303)/M303)</f>
        <v/>
      </c>
      <c r="O303" s="63" t="str">
        <f>IF(OR(A303="",M303&lt;=0,J303&gt;=0),"",MIN(M303,SUMPRODUCT(($A$18:$A$379=A303)*(IFERROR($B$18:$B$379&gt;=E303-30,0))*(IFERROR($B$18:$B$379&lt;=E303+30,0))*($G$18:$G$379&gt;0)*($L$18:$L$379&lt;&gt;L303)*($G$18:$G$379))+SUMPRODUCT(($A$381:$A$498=A303)*(IFERROR($B$381:$B$498&gt;=E303-30,0))*(IFERROR($B$381:$B$498&lt;=E303+30,0))*($G$381:$G$498&gt;0)*($L$381:$L$498&lt;&gt;L303)*($G$381:$G$498))))</f>
        <v/>
      </c>
      <c r="P303" s="28" t="str">
        <f>IF(OR(A303="",M303&lt;=0,J303&gt;=0),"",SUMPRODUCT(($A$18:$A$379=A303)*(IFERROR($B$18:$B$379&gt;=E303-30,0))*(IFERROR($B$18:$B$379&lt;=E303+30,0))*($G$18:$G$379&gt;0)*($L$18:$L$379&lt;&gt;L303))+SUMPRODUCT(($A$381:$A$498=A303)*(IFERROR($B$381:$B$498&gt;=E303-30,0))*(IFERROR($B$381:$B$498&lt;=E303+30,0))*($G$381:$G$498&gt;0)*($L$381:$L$498&lt;&gt;L303)))</f>
        <v/>
      </c>
      <c r="Q303" s="31" t="str">
        <f>IF(P303=1,IFERROR(INDEX($L$18:$L$379,MATCH(1,INDEX(($A$18:$A$379=A303)*(IFERROR($B$18:$B$379&gt;=E303-30,0))*(IFERROR($B$18:$B$379&lt;=E303+30,0))*($G$18:$G$379&gt;0)*($L$18:$L$379&lt;&gt;L303),0),0)),IFERROR(INDEX($L$381:$L$498,MATCH(1,INDEX(($A$381:$A$498=A303)*(IFERROR($B$381:$B$498&gt;=E303-30,0))*(IFERROR($B$381:$B$498&lt;=E303+30,0))*($G$381:$G$498&gt;0)*($L$381:$L$498&lt;&gt;L303),0),0)),"")),"")</f>
        <v/>
      </c>
      <c r="R303" s="32"/>
      <c r="S303" s="31" t="str">
        <f>IF(R303&lt;&gt;"",R303,Q303)</f>
        <v/>
      </c>
      <c r="T303" s="63">
        <f>IF(OR(N303="",O303=0),0,N303*O303)</f>
        <v>0</v>
      </c>
      <c r="U303" s="63">
        <f>IF(COUNTIF($S$18:$S$498,L303)=0,"",SUMIF($S$18:$S$498,L303,$T$18:$T$498))</f>
        <v>0</v>
      </c>
      <c r="V303" s="63" t="str">
        <f>IF(H303="","",IFERROR(H303+U303,H303))</f>
        <v/>
      </c>
      <c r="W303" s="63" t="str">
        <f>IF(OR(V303="",C303=""),"",V303/C303)</f>
        <v/>
      </c>
      <c r="X303" s="11" t="str">
        <f>IF(A303="","",IF(AND(U303&lt;&gt;"",U303&lt;&gt;0,M303=0),"Replacement lot receiving wash basis",IF(J303="","",IF(J303&gt;=0,"",IF(O303=0,"No replacement buy found",IF(P303&gt;1,"Manual selection needed","Auto matched"))))))</f>
        <v/>
      </c>
      <c r="Z303" t="str">
        <f>IF(K303="Yes",COUNTIF($K$18:K303,"Yes"),"")</f>
        <v/>
      </c>
    </row>
    <row r="304" spans="1:26" ht="34.15" customHeight="1" x14ac:dyDescent="0.2">
      <c r="A304" s="9"/>
      <c r="B304" s="69"/>
      <c r="C304" s="30"/>
      <c r="D304" s="70"/>
      <c r="E304" s="69"/>
      <c r="F304" s="70"/>
      <c r="G304" s="30"/>
      <c r="H304" s="63" t="str">
        <f>IF(OR(C304="",D304=""),"",C304*D304)</f>
        <v/>
      </c>
      <c r="I304" s="63" t="str">
        <f>IF(OR(E304="",F304="",M304&lt;=0),"",M304*F304)</f>
        <v/>
      </c>
      <c r="J304" s="63" t="str">
        <f>IF(I304="","",I304-(M304*D304))</f>
        <v/>
      </c>
      <c r="K304" s="28" t="str">
        <f>IF(A304="","",IF(T304&gt;0,"Yes","No"))</f>
        <v/>
      </c>
      <c r="L304" s="28" t="str">
        <f>IF(A304="","",A304&amp;"-"&amp;TEXT(B304,"yyyymmdd")&amp;"-R"&amp;ROW())</f>
        <v/>
      </c>
      <c r="M304" s="28" t="str">
        <f>IF(OR(C304="",G304=""),"",C304-G304)</f>
        <v/>
      </c>
      <c r="N304" s="63" t="str">
        <f>IF(OR(M304&lt;=0,J304&gt;=0),"",ABS(J304)/M304)</f>
        <v/>
      </c>
      <c r="O304" s="63" t="str">
        <f>IF(OR(A304="",M304&lt;=0,J304&gt;=0),"",MIN(M304,SUMPRODUCT(($A$18:$A$379=A304)*(IFERROR($B$18:$B$379&gt;=E304-30,0))*(IFERROR($B$18:$B$379&lt;=E304+30,0))*($G$18:$G$379&gt;0)*($L$18:$L$379&lt;&gt;L304)*($G$18:$G$379))+SUMPRODUCT(($A$381:$A$498=A304)*(IFERROR($B$381:$B$498&gt;=E304-30,0))*(IFERROR($B$381:$B$498&lt;=E304+30,0))*($G$381:$G$498&gt;0)*($L$381:$L$498&lt;&gt;L304)*($G$381:$G$498))))</f>
        <v/>
      </c>
      <c r="P304" s="28" t="str">
        <f>IF(OR(A304="",M304&lt;=0,J304&gt;=0),"",SUMPRODUCT(($A$18:$A$379=A304)*(IFERROR($B$18:$B$379&gt;=E304-30,0))*(IFERROR($B$18:$B$379&lt;=E304+30,0))*($G$18:$G$379&gt;0)*($L$18:$L$379&lt;&gt;L304))+SUMPRODUCT(($A$381:$A$498=A304)*(IFERROR($B$381:$B$498&gt;=E304-30,0))*(IFERROR($B$381:$B$498&lt;=E304+30,0))*($G$381:$G$498&gt;0)*($L$381:$L$498&lt;&gt;L304)))</f>
        <v/>
      </c>
      <c r="Q304" s="31" t="str">
        <f>IF(P304=1,IFERROR(INDEX($L$18:$L$379,MATCH(1,INDEX(($A$18:$A$379=A304)*(IFERROR($B$18:$B$379&gt;=E304-30,0))*(IFERROR($B$18:$B$379&lt;=E304+30,0))*($G$18:$G$379&gt;0)*($L$18:$L$379&lt;&gt;L304),0),0)),IFERROR(INDEX($L$381:$L$498,MATCH(1,INDEX(($A$381:$A$498=A304)*(IFERROR($B$381:$B$498&gt;=E304-30,0))*(IFERROR($B$381:$B$498&lt;=E304+30,0))*($G$381:$G$498&gt;0)*($L$381:$L$498&lt;&gt;L304),0),0)),"")),"")</f>
        <v/>
      </c>
      <c r="R304" s="32"/>
      <c r="S304" s="31" t="str">
        <f>IF(R304&lt;&gt;"",R304,Q304)</f>
        <v/>
      </c>
      <c r="T304" s="63">
        <f>IF(OR(N304="",O304=0),0,N304*O304)</f>
        <v>0</v>
      </c>
      <c r="U304" s="63">
        <f>IF(COUNTIF($S$18:$S$498,L304)=0,"",SUMIF($S$18:$S$498,L304,$T$18:$T$498))</f>
        <v>0</v>
      </c>
      <c r="V304" s="63" t="str">
        <f>IF(H304="","",IFERROR(H304+U304,H304))</f>
        <v/>
      </c>
      <c r="W304" s="63" t="str">
        <f>IF(OR(V304="",C304=""),"",V304/C304)</f>
        <v/>
      </c>
      <c r="X304" s="11" t="str">
        <f>IF(A304="","",IF(AND(U304&lt;&gt;"",U304&lt;&gt;0,M304=0),"Replacement lot receiving wash basis",IF(J304="","",IF(J304&gt;=0,"",IF(O304=0,"No replacement buy found",IF(P304&gt;1,"Manual selection needed","Auto matched"))))))</f>
        <v/>
      </c>
      <c r="Z304" t="str">
        <f>IF(K304="Yes",COUNTIF($K$18:K304,"Yes"),"")</f>
        <v/>
      </c>
    </row>
    <row r="305" spans="1:26" ht="34.15" customHeight="1" x14ac:dyDescent="0.2">
      <c r="A305" s="9"/>
      <c r="B305" s="69"/>
      <c r="C305" s="30"/>
      <c r="D305" s="70"/>
      <c r="E305" s="69"/>
      <c r="F305" s="70"/>
      <c r="G305" s="30"/>
      <c r="H305" s="63" t="str">
        <f>IF(OR(C305="",D305=""),"",C305*D305)</f>
        <v/>
      </c>
      <c r="I305" s="63" t="str">
        <f>IF(OR(E305="",F305="",M305&lt;=0),"",M305*F305)</f>
        <v/>
      </c>
      <c r="J305" s="63" t="str">
        <f>IF(I305="","",I305-(M305*D305))</f>
        <v/>
      </c>
      <c r="K305" s="28" t="str">
        <f>IF(A305="","",IF(T305&gt;0,"Yes","No"))</f>
        <v/>
      </c>
      <c r="L305" s="28" t="str">
        <f>IF(A305="","",A305&amp;"-"&amp;TEXT(B305,"yyyymmdd")&amp;"-R"&amp;ROW())</f>
        <v/>
      </c>
      <c r="M305" s="28" t="str">
        <f>IF(OR(C305="",G305=""),"",C305-G305)</f>
        <v/>
      </c>
      <c r="N305" s="63" t="str">
        <f>IF(OR(M305&lt;=0,J305&gt;=0),"",ABS(J305)/M305)</f>
        <v/>
      </c>
      <c r="O305" s="63" t="str">
        <f>IF(OR(A305="",M305&lt;=0,J305&gt;=0),"",MIN(M305,SUMPRODUCT(($A$18:$A$379=A305)*(IFERROR($B$18:$B$379&gt;=E305-30,0))*(IFERROR($B$18:$B$379&lt;=E305+30,0))*($G$18:$G$379&gt;0)*($L$18:$L$379&lt;&gt;L305)*($G$18:$G$379))+SUMPRODUCT(($A$381:$A$498=A305)*(IFERROR($B$381:$B$498&gt;=E305-30,0))*(IFERROR($B$381:$B$498&lt;=E305+30,0))*($G$381:$G$498&gt;0)*($L$381:$L$498&lt;&gt;L305)*($G$381:$G$498))))</f>
        <v/>
      </c>
      <c r="P305" s="28" t="str">
        <f>IF(OR(A305="",M305&lt;=0,J305&gt;=0),"",SUMPRODUCT(($A$18:$A$379=A305)*(IFERROR($B$18:$B$379&gt;=E305-30,0))*(IFERROR($B$18:$B$379&lt;=E305+30,0))*($G$18:$G$379&gt;0)*($L$18:$L$379&lt;&gt;L305))+SUMPRODUCT(($A$381:$A$498=A305)*(IFERROR($B$381:$B$498&gt;=E305-30,0))*(IFERROR($B$381:$B$498&lt;=E305+30,0))*($G$381:$G$498&gt;0)*($L$381:$L$498&lt;&gt;L305)))</f>
        <v/>
      </c>
      <c r="Q305" s="31" t="str">
        <f>IF(P305=1,IFERROR(INDEX($L$18:$L$379,MATCH(1,INDEX(($A$18:$A$379=A305)*(IFERROR($B$18:$B$379&gt;=E305-30,0))*(IFERROR($B$18:$B$379&lt;=E305+30,0))*($G$18:$G$379&gt;0)*($L$18:$L$379&lt;&gt;L305),0),0)),IFERROR(INDEX($L$381:$L$498,MATCH(1,INDEX(($A$381:$A$498=A305)*(IFERROR($B$381:$B$498&gt;=E305-30,0))*(IFERROR($B$381:$B$498&lt;=E305+30,0))*($G$381:$G$498&gt;0)*($L$381:$L$498&lt;&gt;L305),0),0)),"")),"")</f>
        <v/>
      </c>
      <c r="R305" s="32"/>
      <c r="S305" s="31" t="str">
        <f>IF(R305&lt;&gt;"",R305,Q305)</f>
        <v/>
      </c>
      <c r="T305" s="63">
        <f>IF(OR(N305="",O305=0),0,N305*O305)</f>
        <v>0</v>
      </c>
      <c r="U305" s="63">
        <f>IF(COUNTIF($S$18:$S$498,L305)=0,"",SUMIF($S$18:$S$498,L305,$T$18:$T$498))</f>
        <v>0</v>
      </c>
      <c r="V305" s="63" t="str">
        <f>IF(H305="","",IFERROR(H305+U305,H305))</f>
        <v/>
      </c>
      <c r="W305" s="63" t="str">
        <f>IF(OR(V305="",C305=""),"",V305/C305)</f>
        <v/>
      </c>
      <c r="X305" s="11" t="str">
        <f>IF(A305="","",IF(AND(U305&lt;&gt;"",U305&lt;&gt;0,M305=0),"Replacement lot receiving wash basis",IF(J305="","",IF(J305&gt;=0,"",IF(O305=0,"No replacement buy found",IF(P305&gt;1,"Manual selection needed","Auto matched"))))))</f>
        <v/>
      </c>
      <c r="Z305" t="str">
        <f>IF(K305="Yes",COUNTIF($K$18:K305,"Yes"),"")</f>
        <v/>
      </c>
    </row>
    <row r="306" spans="1:26" ht="34.15" customHeight="1" x14ac:dyDescent="0.2">
      <c r="A306" s="9"/>
      <c r="B306" s="69"/>
      <c r="C306" s="30"/>
      <c r="D306" s="70"/>
      <c r="E306" s="69"/>
      <c r="F306" s="70"/>
      <c r="G306" s="30"/>
      <c r="H306" s="63" t="str">
        <f>IF(OR(C306="",D306=""),"",C306*D306)</f>
        <v/>
      </c>
      <c r="I306" s="63" t="str">
        <f>IF(OR(E306="",F306="",M306&lt;=0),"",M306*F306)</f>
        <v/>
      </c>
      <c r="J306" s="63" t="str">
        <f>IF(I306="","",I306-(M306*D306))</f>
        <v/>
      </c>
      <c r="K306" s="28" t="str">
        <f>IF(A306="","",IF(T306&gt;0,"Yes","No"))</f>
        <v/>
      </c>
      <c r="L306" s="28" t="str">
        <f>IF(A306="","",A306&amp;"-"&amp;TEXT(B306,"yyyymmdd")&amp;"-R"&amp;ROW())</f>
        <v/>
      </c>
      <c r="M306" s="28" t="str">
        <f>IF(OR(C306="",G306=""),"",C306-G306)</f>
        <v/>
      </c>
      <c r="N306" s="63" t="str">
        <f>IF(OR(M306&lt;=0,J306&gt;=0),"",ABS(J306)/M306)</f>
        <v/>
      </c>
      <c r="O306" s="63" t="str">
        <f>IF(OR(A306="",M306&lt;=0,J306&gt;=0),"",MIN(M306,SUMPRODUCT(($A$18:$A$379=A306)*(IFERROR($B$18:$B$379&gt;=E306-30,0))*(IFERROR($B$18:$B$379&lt;=E306+30,0))*($G$18:$G$379&gt;0)*($L$18:$L$379&lt;&gt;L306)*($G$18:$G$379))+SUMPRODUCT(($A$381:$A$498=A306)*(IFERROR($B$381:$B$498&gt;=E306-30,0))*(IFERROR($B$381:$B$498&lt;=E306+30,0))*($G$381:$G$498&gt;0)*($L$381:$L$498&lt;&gt;L306)*($G$381:$G$498))))</f>
        <v/>
      </c>
      <c r="P306" s="28" t="str">
        <f>IF(OR(A306="",M306&lt;=0,J306&gt;=0),"",SUMPRODUCT(($A$18:$A$379=A306)*(IFERROR($B$18:$B$379&gt;=E306-30,0))*(IFERROR($B$18:$B$379&lt;=E306+30,0))*($G$18:$G$379&gt;0)*($L$18:$L$379&lt;&gt;L306))+SUMPRODUCT(($A$381:$A$498=A306)*(IFERROR($B$381:$B$498&gt;=E306-30,0))*(IFERROR($B$381:$B$498&lt;=E306+30,0))*($G$381:$G$498&gt;0)*($L$381:$L$498&lt;&gt;L306)))</f>
        <v/>
      </c>
      <c r="Q306" s="31" t="str">
        <f>IF(P306=1,IFERROR(INDEX($L$18:$L$379,MATCH(1,INDEX(($A$18:$A$379=A306)*(IFERROR($B$18:$B$379&gt;=E306-30,0))*(IFERROR($B$18:$B$379&lt;=E306+30,0))*($G$18:$G$379&gt;0)*($L$18:$L$379&lt;&gt;L306),0),0)),IFERROR(INDEX($L$381:$L$498,MATCH(1,INDEX(($A$381:$A$498=A306)*(IFERROR($B$381:$B$498&gt;=E306-30,0))*(IFERROR($B$381:$B$498&lt;=E306+30,0))*($G$381:$G$498&gt;0)*($L$381:$L$498&lt;&gt;L306),0),0)),"")),"")</f>
        <v/>
      </c>
      <c r="R306" s="32"/>
      <c r="S306" s="31" t="str">
        <f>IF(R306&lt;&gt;"",R306,Q306)</f>
        <v/>
      </c>
      <c r="T306" s="63">
        <f>IF(OR(N306="",O306=0),0,N306*O306)</f>
        <v>0</v>
      </c>
      <c r="U306" s="63">
        <f>IF(COUNTIF($S$18:$S$498,L306)=0,"",SUMIF($S$18:$S$498,L306,$T$18:$T$498))</f>
        <v>0</v>
      </c>
      <c r="V306" s="63" t="str">
        <f>IF(H306="","",IFERROR(H306+U306,H306))</f>
        <v/>
      </c>
      <c r="W306" s="63" t="str">
        <f>IF(OR(V306="",C306=""),"",V306/C306)</f>
        <v/>
      </c>
      <c r="X306" s="11" t="str">
        <f>IF(A306="","",IF(AND(U306&lt;&gt;"",U306&lt;&gt;0,M306=0),"Replacement lot receiving wash basis",IF(J306="","",IF(J306&gt;=0,"",IF(O306=0,"No replacement buy found",IF(P306&gt;1,"Manual selection needed","Auto matched"))))))</f>
        <v/>
      </c>
      <c r="Z306" t="str">
        <f>IF(K306="Yes",COUNTIF($K$18:K306,"Yes"),"")</f>
        <v/>
      </c>
    </row>
    <row r="307" spans="1:26" ht="34.15" customHeight="1" x14ac:dyDescent="0.2">
      <c r="A307" s="9"/>
      <c r="B307" s="69"/>
      <c r="C307" s="30"/>
      <c r="D307" s="70"/>
      <c r="E307" s="69"/>
      <c r="F307" s="70"/>
      <c r="G307" s="30"/>
      <c r="H307" s="63" t="str">
        <f>IF(OR(C307="",D307=""),"",C307*D307)</f>
        <v/>
      </c>
      <c r="I307" s="63" t="str">
        <f>IF(OR(E307="",F307="",M307&lt;=0),"",M307*F307)</f>
        <v/>
      </c>
      <c r="J307" s="63" t="str">
        <f>IF(I307="","",I307-(M307*D307))</f>
        <v/>
      </c>
      <c r="K307" s="28" t="str">
        <f>IF(A307="","",IF(T307&gt;0,"Yes","No"))</f>
        <v/>
      </c>
      <c r="L307" s="28" t="str">
        <f>IF(A307="","",A307&amp;"-"&amp;TEXT(B307,"yyyymmdd")&amp;"-R"&amp;ROW())</f>
        <v/>
      </c>
      <c r="M307" s="28" t="str">
        <f>IF(OR(C307="",G307=""),"",C307-G307)</f>
        <v/>
      </c>
      <c r="N307" s="63" t="str">
        <f>IF(OR(M307&lt;=0,J307&gt;=0),"",ABS(J307)/M307)</f>
        <v/>
      </c>
      <c r="O307" s="63" t="str">
        <f>IF(OR(A307="",M307&lt;=0,J307&gt;=0),"",MIN(M307,SUMPRODUCT(($A$18:$A$379=A307)*(IFERROR($B$18:$B$379&gt;=E307-30,0))*(IFERROR($B$18:$B$379&lt;=E307+30,0))*($G$18:$G$379&gt;0)*($L$18:$L$379&lt;&gt;L307)*($G$18:$G$379))+SUMPRODUCT(($A$381:$A$498=A307)*(IFERROR($B$381:$B$498&gt;=E307-30,0))*(IFERROR($B$381:$B$498&lt;=E307+30,0))*($G$381:$G$498&gt;0)*($L$381:$L$498&lt;&gt;L307)*($G$381:$G$498))))</f>
        <v/>
      </c>
      <c r="P307" s="28" t="str">
        <f>IF(OR(A307="",M307&lt;=0,J307&gt;=0),"",SUMPRODUCT(($A$18:$A$379=A307)*(IFERROR($B$18:$B$379&gt;=E307-30,0))*(IFERROR($B$18:$B$379&lt;=E307+30,0))*($G$18:$G$379&gt;0)*($L$18:$L$379&lt;&gt;L307))+SUMPRODUCT(($A$381:$A$498=A307)*(IFERROR($B$381:$B$498&gt;=E307-30,0))*(IFERROR($B$381:$B$498&lt;=E307+30,0))*($G$381:$G$498&gt;0)*($L$381:$L$498&lt;&gt;L307)))</f>
        <v/>
      </c>
      <c r="Q307" s="31" t="str">
        <f>IF(P307=1,IFERROR(INDEX($L$18:$L$379,MATCH(1,INDEX(($A$18:$A$379=A307)*(IFERROR($B$18:$B$379&gt;=E307-30,0))*(IFERROR($B$18:$B$379&lt;=E307+30,0))*($G$18:$G$379&gt;0)*($L$18:$L$379&lt;&gt;L307),0),0)),IFERROR(INDEX($L$381:$L$498,MATCH(1,INDEX(($A$381:$A$498=A307)*(IFERROR($B$381:$B$498&gt;=E307-30,0))*(IFERROR($B$381:$B$498&lt;=E307+30,0))*($G$381:$G$498&gt;0)*($L$381:$L$498&lt;&gt;L307),0),0)),"")),"")</f>
        <v/>
      </c>
      <c r="R307" s="32"/>
      <c r="S307" s="31" t="str">
        <f>IF(R307&lt;&gt;"",R307,Q307)</f>
        <v/>
      </c>
      <c r="T307" s="63">
        <f>IF(OR(N307="",O307=0),0,N307*O307)</f>
        <v>0</v>
      </c>
      <c r="U307" s="63">
        <f>IF(COUNTIF($S$18:$S$498,L307)=0,"",SUMIF($S$18:$S$498,L307,$T$18:$T$498))</f>
        <v>0</v>
      </c>
      <c r="V307" s="63" t="str">
        <f>IF(H307="","",IFERROR(H307+U307,H307))</f>
        <v/>
      </c>
      <c r="W307" s="63" t="str">
        <f>IF(OR(V307="",C307=""),"",V307/C307)</f>
        <v/>
      </c>
      <c r="X307" s="11" t="str">
        <f>IF(A307="","",IF(AND(U307&lt;&gt;"",U307&lt;&gt;0,M307=0),"Replacement lot receiving wash basis",IF(J307="","",IF(J307&gt;=0,"",IF(O307=0,"No replacement buy found",IF(P307&gt;1,"Manual selection needed","Auto matched"))))))</f>
        <v/>
      </c>
      <c r="Z307" t="str">
        <f>IF(K307="Yes",COUNTIF($K$18:K307,"Yes"),"")</f>
        <v/>
      </c>
    </row>
    <row r="308" spans="1:26" ht="34.15" customHeight="1" x14ac:dyDescent="0.2">
      <c r="A308" s="9"/>
      <c r="B308" s="69"/>
      <c r="C308" s="30"/>
      <c r="D308" s="70"/>
      <c r="E308" s="69"/>
      <c r="F308" s="70"/>
      <c r="G308" s="30"/>
      <c r="H308" s="63" t="str">
        <f>IF(OR(C308="",D308=""),"",C308*D308)</f>
        <v/>
      </c>
      <c r="I308" s="63" t="str">
        <f>IF(OR(E308="",F308="",M308&lt;=0),"",M308*F308)</f>
        <v/>
      </c>
      <c r="J308" s="63" t="str">
        <f>IF(I308="","",I308-(M308*D308))</f>
        <v/>
      </c>
      <c r="K308" s="28" t="str">
        <f>IF(A308="","",IF(T308&gt;0,"Yes","No"))</f>
        <v/>
      </c>
      <c r="L308" s="28" t="str">
        <f>IF(A308="","",A308&amp;"-"&amp;TEXT(B308,"yyyymmdd")&amp;"-R"&amp;ROW())</f>
        <v/>
      </c>
      <c r="M308" s="28" t="str">
        <f>IF(OR(C308="",G308=""),"",C308-G308)</f>
        <v/>
      </c>
      <c r="N308" s="63" t="str">
        <f>IF(OR(M308&lt;=0,J308&gt;=0),"",ABS(J308)/M308)</f>
        <v/>
      </c>
      <c r="O308" s="63" t="str">
        <f>IF(OR(A308="",M308&lt;=0,J308&gt;=0),"",MIN(M308,SUMPRODUCT(($A$18:$A$379=A308)*(IFERROR($B$18:$B$379&gt;=E308-30,0))*(IFERROR($B$18:$B$379&lt;=E308+30,0))*($G$18:$G$379&gt;0)*($L$18:$L$379&lt;&gt;L308)*($G$18:$G$379))+SUMPRODUCT(($A$381:$A$498=A308)*(IFERROR($B$381:$B$498&gt;=E308-30,0))*(IFERROR($B$381:$B$498&lt;=E308+30,0))*($G$381:$G$498&gt;0)*($L$381:$L$498&lt;&gt;L308)*($G$381:$G$498))))</f>
        <v/>
      </c>
      <c r="P308" s="28" t="str">
        <f>IF(OR(A308="",M308&lt;=0,J308&gt;=0),"",SUMPRODUCT(($A$18:$A$379=A308)*(IFERROR($B$18:$B$379&gt;=E308-30,0))*(IFERROR($B$18:$B$379&lt;=E308+30,0))*($G$18:$G$379&gt;0)*($L$18:$L$379&lt;&gt;L308))+SUMPRODUCT(($A$381:$A$498=A308)*(IFERROR($B$381:$B$498&gt;=E308-30,0))*(IFERROR($B$381:$B$498&lt;=E308+30,0))*($G$381:$G$498&gt;0)*($L$381:$L$498&lt;&gt;L308)))</f>
        <v/>
      </c>
      <c r="Q308" s="31" t="str">
        <f>IF(P308=1,IFERROR(INDEX($L$18:$L$379,MATCH(1,INDEX(($A$18:$A$379=A308)*(IFERROR($B$18:$B$379&gt;=E308-30,0))*(IFERROR($B$18:$B$379&lt;=E308+30,0))*($G$18:$G$379&gt;0)*($L$18:$L$379&lt;&gt;L308),0),0)),IFERROR(INDEX($L$381:$L$498,MATCH(1,INDEX(($A$381:$A$498=A308)*(IFERROR($B$381:$B$498&gt;=E308-30,0))*(IFERROR($B$381:$B$498&lt;=E308+30,0))*($G$381:$G$498&gt;0)*($L$381:$L$498&lt;&gt;L308),0),0)),"")),"")</f>
        <v/>
      </c>
      <c r="R308" s="32"/>
      <c r="S308" s="31" t="str">
        <f>IF(R308&lt;&gt;"",R308,Q308)</f>
        <v/>
      </c>
      <c r="T308" s="63">
        <f>IF(OR(N308="",O308=0),0,N308*O308)</f>
        <v>0</v>
      </c>
      <c r="U308" s="63">
        <f>IF(COUNTIF($S$18:$S$498,L308)=0,"",SUMIF($S$18:$S$498,L308,$T$18:$T$498))</f>
        <v>0</v>
      </c>
      <c r="V308" s="63" t="str">
        <f>IF(H308="","",IFERROR(H308+U308,H308))</f>
        <v/>
      </c>
      <c r="W308" s="63" t="str">
        <f>IF(OR(V308="",C308=""),"",V308/C308)</f>
        <v/>
      </c>
      <c r="X308" s="11" t="str">
        <f>IF(A308="","",IF(AND(U308&lt;&gt;"",U308&lt;&gt;0,M308=0),"Replacement lot receiving wash basis",IF(J308="","",IF(J308&gt;=0,"",IF(O308=0,"No replacement buy found",IF(P308&gt;1,"Manual selection needed","Auto matched"))))))</f>
        <v/>
      </c>
      <c r="Z308" t="str">
        <f>IF(K308="Yes",COUNTIF($K$18:K308,"Yes"),"")</f>
        <v/>
      </c>
    </row>
    <row r="309" spans="1:26" ht="34.15" customHeight="1" x14ac:dyDescent="0.2">
      <c r="A309" s="9"/>
      <c r="B309" s="69"/>
      <c r="C309" s="30"/>
      <c r="D309" s="70"/>
      <c r="E309" s="69"/>
      <c r="F309" s="70"/>
      <c r="G309" s="30"/>
      <c r="H309" s="63" t="str">
        <f>IF(OR(C309="",D309=""),"",C309*D309)</f>
        <v/>
      </c>
      <c r="I309" s="63" t="str">
        <f>IF(OR(E309="",F309="",M309&lt;=0),"",M309*F309)</f>
        <v/>
      </c>
      <c r="J309" s="63" t="str">
        <f>IF(I309="","",I309-(M309*D309))</f>
        <v/>
      </c>
      <c r="K309" s="28" t="str">
        <f>IF(A309="","",IF(T309&gt;0,"Yes","No"))</f>
        <v/>
      </c>
      <c r="L309" s="28" t="str">
        <f>IF(A309="","",A309&amp;"-"&amp;TEXT(B309,"yyyymmdd")&amp;"-R"&amp;ROW())</f>
        <v/>
      </c>
      <c r="M309" s="28" t="str">
        <f>IF(OR(C309="",G309=""),"",C309-G309)</f>
        <v/>
      </c>
      <c r="N309" s="63" t="str">
        <f>IF(OR(M309&lt;=0,J309&gt;=0),"",ABS(J309)/M309)</f>
        <v/>
      </c>
      <c r="O309" s="63" t="str">
        <f>IF(OR(A309="",M309&lt;=0,J309&gt;=0),"",MIN(M309,SUMPRODUCT(($A$18:$A$379=A309)*(IFERROR($B$18:$B$379&gt;=E309-30,0))*(IFERROR($B$18:$B$379&lt;=E309+30,0))*($G$18:$G$379&gt;0)*($L$18:$L$379&lt;&gt;L309)*($G$18:$G$379))+SUMPRODUCT(($A$381:$A$498=A309)*(IFERROR($B$381:$B$498&gt;=E309-30,0))*(IFERROR($B$381:$B$498&lt;=E309+30,0))*($G$381:$G$498&gt;0)*($L$381:$L$498&lt;&gt;L309)*($G$381:$G$498))))</f>
        <v/>
      </c>
      <c r="P309" s="28" t="str">
        <f>IF(OR(A309="",M309&lt;=0,J309&gt;=0),"",SUMPRODUCT(($A$18:$A$379=A309)*(IFERROR($B$18:$B$379&gt;=E309-30,0))*(IFERROR($B$18:$B$379&lt;=E309+30,0))*($G$18:$G$379&gt;0)*($L$18:$L$379&lt;&gt;L309))+SUMPRODUCT(($A$381:$A$498=A309)*(IFERROR($B$381:$B$498&gt;=E309-30,0))*(IFERROR($B$381:$B$498&lt;=E309+30,0))*($G$381:$G$498&gt;0)*($L$381:$L$498&lt;&gt;L309)))</f>
        <v/>
      </c>
      <c r="Q309" s="31" t="str">
        <f>IF(P309=1,IFERROR(INDEX($L$18:$L$379,MATCH(1,INDEX(($A$18:$A$379=A309)*(IFERROR($B$18:$B$379&gt;=E309-30,0))*(IFERROR($B$18:$B$379&lt;=E309+30,0))*($G$18:$G$379&gt;0)*($L$18:$L$379&lt;&gt;L309),0),0)),IFERROR(INDEX($L$381:$L$498,MATCH(1,INDEX(($A$381:$A$498=A309)*(IFERROR($B$381:$B$498&gt;=E309-30,0))*(IFERROR($B$381:$B$498&lt;=E309+30,0))*($G$381:$G$498&gt;0)*($L$381:$L$498&lt;&gt;L309),0),0)),"")),"")</f>
        <v/>
      </c>
      <c r="R309" s="32"/>
      <c r="S309" s="31" t="str">
        <f>IF(R309&lt;&gt;"",R309,Q309)</f>
        <v/>
      </c>
      <c r="T309" s="63">
        <f>IF(OR(N309="",O309=0),0,N309*O309)</f>
        <v>0</v>
      </c>
      <c r="U309" s="63">
        <f>IF(COUNTIF($S$18:$S$498,L309)=0,"",SUMIF($S$18:$S$498,L309,$T$18:$T$498))</f>
        <v>0</v>
      </c>
      <c r="V309" s="63" t="str">
        <f>IF(H309="","",IFERROR(H309+U309,H309))</f>
        <v/>
      </c>
      <c r="W309" s="63" t="str">
        <f>IF(OR(V309="",C309=""),"",V309/C309)</f>
        <v/>
      </c>
      <c r="X309" s="11" t="str">
        <f>IF(A309="","",IF(AND(U309&lt;&gt;"",U309&lt;&gt;0,M309=0),"Replacement lot receiving wash basis",IF(J309="","",IF(J309&gt;=0,"",IF(O309=0,"No replacement buy found",IF(P309&gt;1,"Manual selection needed","Auto matched"))))))</f>
        <v/>
      </c>
      <c r="Z309" t="str">
        <f>IF(K309="Yes",COUNTIF($K$18:K309,"Yes"),"")</f>
        <v/>
      </c>
    </row>
    <row r="310" spans="1:26" ht="34.15" customHeight="1" x14ac:dyDescent="0.2">
      <c r="A310" s="9"/>
      <c r="B310" s="69"/>
      <c r="C310" s="30"/>
      <c r="D310" s="70"/>
      <c r="E310" s="69"/>
      <c r="F310" s="70"/>
      <c r="G310" s="30"/>
      <c r="H310" s="63" t="str">
        <f>IF(OR(C310="",D310=""),"",C310*D310)</f>
        <v/>
      </c>
      <c r="I310" s="63" t="str">
        <f>IF(OR(E310="",F310="",M310&lt;=0),"",M310*F310)</f>
        <v/>
      </c>
      <c r="J310" s="63" t="str">
        <f>IF(I310="","",I310-(M310*D310))</f>
        <v/>
      </c>
      <c r="K310" s="28" t="str">
        <f>IF(A310="","",IF(T310&gt;0,"Yes","No"))</f>
        <v/>
      </c>
      <c r="L310" s="28" t="str">
        <f>IF(A310="","",A310&amp;"-"&amp;TEXT(B310,"yyyymmdd")&amp;"-R"&amp;ROW())</f>
        <v/>
      </c>
      <c r="M310" s="28" t="str">
        <f>IF(OR(C310="",G310=""),"",C310-G310)</f>
        <v/>
      </c>
      <c r="N310" s="63" t="str">
        <f>IF(OR(M310&lt;=0,J310&gt;=0),"",ABS(J310)/M310)</f>
        <v/>
      </c>
      <c r="O310" s="63" t="str">
        <f>IF(OR(A310="",M310&lt;=0,J310&gt;=0),"",MIN(M310,SUMPRODUCT(($A$18:$A$379=A310)*(IFERROR($B$18:$B$379&gt;=E310-30,0))*(IFERROR($B$18:$B$379&lt;=E310+30,0))*($G$18:$G$379&gt;0)*($L$18:$L$379&lt;&gt;L310)*($G$18:$G$379))+SUMPRODUCT(($A$381:$A$498=A310)*(IFERROR($B$381:$B$498&gt;=E310-30,0))*(IFERROR($B$381:$B$498&lt;=E310+30,0))*($G$381:$G$498&gt;0)*($L$381:$L$498&lt;&gt;L310)*($G$381:$G$498))))</f>
        <v/>
      </c>
      <c r="P310" s="28" t="str">
        <f>IF(OR(A310="",M310&lt;=0,J310&gt;=0),"",SUMPRODUCT(($A$18:$A$379=A310)*(IFERROR($B$18:$B$379&gt;=E310-30,0))*(IFERROR($B$18:$B$379&lt;=E310+30,0))*($G$18:$G$379&gt;0)*($L$18:$L$379&lt;&gt;L310))+SUMPRODUCT(($A$381:$A$498=A310)*(IFERROR($B$381:$B$498&gt;=E310-30,0))*(IFERROR($B$381:$B$498&lt;=E310+30,0))*($G$381:$G$498&gt;0)*($L$381:$L$498&lt;&gt;L310)))</f>
        <v/>
      </c>
      <c r="Q310" s="31" t="str">
        <f>IF(P310=1,IFERROR(INDEX($L$18:$L$379,MATCH(1,INDEX(($A$18:$A$379=A310)*(IFERROR($B$18:$B$379&gt;=E310-30,0))*(IFERROR($B$18:$B$379&lt;=E310+30,0))*($G$18:$G$379&gt;0)*($L$18:$L$379&lt;&gt;L310),0),0)),IFERROR(INDEX($L$381:$L$498,MATCH(1,INDEX(($A$381:$A$498=A310)*(IFERROR($B$381:$B$498&gt;=E310-30,0))*(IFERROR($B$381:$B$498&lt;=E310+30,0))*($G$381:$G$498&gt;0)*($L$381:$L$498&lt;&gt;L310),0),0)),"")),"")</f>
        <v/>
      </c>
      <c r="R310" s="32"/>
      <c r="S310" s="31" t="str">
        <f>IF(R310&lt;&gt;"",R310,Q310)</f>
        <v/>
      </c>
      <c r="T310" s="63">
        <f>IF(OR(N310="",O310=0),0,N310*O310)</f>
        <v>0</v>
      </c>
      <c r="U310" s="63">
        <f>IF(COUNTIF($S$18:$S$498,L310)=0,"",SUMIF($S$18:$S$498,L310,$T$18:$T$498))</f>
        <v>0</v>
      </c>
      <c r="V310" s="63" t="str">
        <f>IF(H310="","",IFERROR(H310+U310,H310))</f>
        <v/>
      </c>
      <c r="W310" s="63" t="str">
        <f>IF(OR(V310="",C310=""),"",V310/C310)</f>
        <v/>
      </c>
      <c r="X310" s="11" t="str">
        <f>IF(A310="","",IF(AND(U310&lt;&gt;"",U310&lt;&gt;0,M310=0),"Replacement lot receiving wash basis",IF(J310="","",IF(J310&gt;=0,"",IF(O310=0,"No replacement buy found",IF(P310&gt;1,"Manual selection needed","Auto matched"))))))</f>
        <v/>
      </c>
      <c r="Z310" t="str">
        <f>IF(K310="Yes",COUNTIF($K$18:K310,"Yes"),"")</f>
        <v/>
      </c>
    </row>
    <row r="311" spans="1:26" ht="34.15" customHeight="1" x14ac:dyDescent="0.2">
      <c r="A311" s="9"/>
      <c r="B311" s="69"/>
      <c r="C311" s="30"/>
      <c r="D311" s="70"/>
      <c r="E311" s="69"/>
      <c r="F311" s="70"/>
      <c r="G311" s="30"/>
      <c r="H311" s="63" t="str">
        <f>IF(OR(C311="",D311=""),"",C311*D311)</f>
        <v/>
      </c>
      <c r="I311" s="63" t="str">
        <f>IF(OR(E311="",F311="",M311&lt;=0),"",M311*F311)</f>
        <v/>
      </c>
      <c r="J311" s="63" t="str">
        <f>IF(I311="","",I311-(M311*D311))</f>
        <v/>
      </c>
      <c r="K311" s="28" t="str">
        <f>IF(A311="","",IF(T311&gt;0,"Yes","No"))</f>
        <v/>
      </c>
      <c r="L311" s="28" t="str">
        <f>IF(A311="","",A311&amp;"-"&amp;TEXT(B311,"yyyymmdd")&amp;"-R"&amp;ROW())</f>
        <v/>
      </c>
      <c r="M311" s="28" t="str">
        <f>IF(OR(C311="",G311=""),"",C311-G311)</f>
        <v/>
      </c>
      <c r="N311" s="63" t="str">
        <f>IF(OR(M311&lt;=0,J311&gt;=0),"",ABS(J311)/M311)</f>
        <v/>
      </c>
      <c r="O311" s="63" t="str">
        <f>IF(OR(A311="",M311&lt;=0,J311&gt;=0),"",MIN(M311,SUMPRODUCT(($A$18:$A$379=A311)*(IFERROR($B$18:$B$379&gt;=E311-30,0))*(IFERROR($B$18:$B$379&lt;=E311+30,0))*($G$18:$G$379&gt;0)*($L$18:$L$379&lt;&gt;L311)*($G$18:$G$379))+SUMPRODUCT(($A$381:$A$498=A311)*(IFERROR($B$381:$B$498&gt;=E311-30,0))*(IFERROR($B$381:$B$498&lt;=E311+30,0))*($G$381:$G$498&gt;0)*($L$381:$L$498&lt;&gt;L311)*($G$381:$G$498))))</f>
        <v/>
      </c>
      <c r="P311" s="28" t="str">
        <f>IF(OR(A311="",M311&lt;=0,J311&gt;=0),"",SUMPRODUCT(($A$18:$A$379=A311)*(IFERROR($B$18:$B$379&gt;=E311-30,0))*(IFERROR($B$18:$B$379&lt;=E311+30,0))*($G$18:$G$379&gt;0)*($L$18:$L$379&lt;&gt;L311))+SUMPRODUCT(($A$381:$A$498=A311)*(IFERROR($B$381:$B$498&gt;=E311-30,0))*(IFERROR($B$381:$B$498&lt;=E311+30,0))*($G$381:$G$498&gt;0)*($L$381:$L$498&lt;&gt;L311)))</f>
        <v/>
      </c>
      <c r="Q311" s="31" t="str">
        <f>IF(P311=1,IFERROR(INDEX($L$18:$L$379,MATCH(1,INDEX(($A$18:$A$379=A311)*(IFERROR($B$18:$B$379&gt;=E311-30,0))*(IFERROR($B$18:$B$379&lt;=E311+30,0))*($G$18:$G$379&gt;0)*($L$18:$L$379&lt;&gt;L311),0),0)),IFERROR(INDEX($L$381:$L$498,MATCH(1,INDEX(($A$381:$A$498=A311)*(IFERROR($B$381:$B$498&gt;=E311-30,0))*(IFERROR($B$381:$B$498&lt;=E311+30,0))*($G$381:$G$498&gt;0)*($L$381:$L$498&lt;&gt;L311),0),0)),"")),"")</f>
        <v/>
      </c>
      <c r="R311" s="32"/>
      <c r="S311" s="31" t="str">
        <f>IF(R311&lt;&gt;"",R311,Q311)</f>
        <v/>
      </c>
      <c r="T311" s="63">
        <f>IF(OR(N311="",O311=0),0,N311*O311)</f>
        <v>0</v>
      </c>
      <c r="U311" s="63">
        <f>IF(COUNTIF($S$18:$S$498,L311)=0,"",SUMIF($S$18:$S$498,L311,$T$18:$T$498))</f>
        <v>0</v>
      </c>
      <c r="V311" s="63" t="str">
        <f>IF(H311="","",IFERROR(H311+U311,H311))</f>
        <v/>
      </c>
      <c r="W311" s="63" t="str">
        <f>IF(OR(V311="",C311=""),"",V311/C311)</f>
        <v/>
      </c>
      <c r="X311" s="11" t="str">
        <f>IF(A311="","",IF(AND(U311&lt;&gt;"",U311&lt;&gt;0,M311=0),"Replacement lot receiving wash basis",IF(J311="","",IF(J311&gt;=0,"",IF(O311=0,"No replacement buy found",IF(P311&gt;1,"Manual selection needed","Auto matched"))))))</f>
        <v/>
      </c>
      <c r="Z311" t="str">
        <f>IF(K311="Yes",COUNTIF($K$18:K311,"Yes"),"")</f>
        <v/>
      </c>
    </row>
    <row r="312" spans="1:26" ht="34.15" customHeight="1" x14ac:dyDescent="0.2">
      <c r="A312" s="9"/>
      <c r="B312" s="69"/>
      <c r="C312" s="30"/>
      <c r="D312" s="70"/>
      <c r="E312" s="69"/>
      <c r="F312" s="70"/>
      <c r="G312" s="30"/>
      <c r="H312" s="63" t="str">
        <f>IF(OR(C312="",D312=""),"",C312*D312)</f>
        <v/>
      </c>
      <c r="I312" s="63" t="str">
        <f>IF(OR(E312="",F312="",M312&lt;=0),"",M312*F312)</f>
        <v/>
      </c>
      <c r="J312" s="63" t="str">
        <f>IF(I312="","",I312-(M312*D312))</f>
        <v/>
      </c>
      <c r="K312" s="28" t="str">
        <f>IF(A312="","",IF(T312&gt;0,"Yes","No"))</f>
        <v/>
      </c>
      <c r="L312" s="28" t="str">
        <f>IF(A312="","",A312&amp;"-"&amp;TEXT(B312,"yyyymmdd")&amp;"-R"&amp;ROW())</f>
        <v/>
      </c>
      <c r="M312" s="28" t="str">
        <f>IF(OR(C312="",G312=""),"",C312-G312)</f>
        <v/>
      </c>
      <c r="N312" s="63" t="str">
        <f>IF(OR(M312&lt;=0,J312&gt;=0),"",ABS(J312)/M312)</f>
        <v/>
      </c>
      <c r="O312" s="63" t="str">
        <f>IF(OR(A312="",M312&lt;=0,J312&gt;=0),"",MIN(M312,SUMPRODUCT(($A$18:$A$379=A312)*(IFERROR($B$18:$B$379&gt;=E312-30,0))*(IFERROR($B$18:$B$379&lt;=E312+30,0))*($G$18:$G$379&gt;0)*($L$18:$L$379&lt;&gt;L312)*($G$18:$G$379))+SUMPRODUCT(($A$381:$A$498=A312)*(IFERROR($B$381:$B$498&gt;=E312-30,0))*(IFERROR($B$381:$B$498&lt;=E312+30,0))*($G$381:$G$498&gt;0)*($L$381:$L$498&lt;&gt;L312)*($G$381:$G$498))))</f>
        <v/>
      </c>
      <c r="P312" s="28" t="str">
        <f>IF(OR(A312="",M312&lt;=0,J312&gt;=0),"",SUMPRODUCT(($A$18:$A$379=A312)*(IFERROR($B$18:$B$379&gt;=E312-30,0))*(IFERROR($B$18:$B$379&lt;=E312+30,0))*($G$18:$G$379&gt;0)*($L$18:$L$379&lt;&gt;L312))+SUMPRODUCT(($A$381:$A$498=A312)*(IFERROR($B$381:$B$498&gt;=E312-30,0))*(IFERROR($B$381:$B$498&lt;=E312+30,0))*($G$381:$G$498&gt;0)*($L$381:$L$498&lt;&gt;L312)))</f>
        <v/>
      </c>
      <c r="Q312" s="31" t="str">
        <f>IF(P312=1,IFERROR(INDEX($L$18:$L$379,MATCH(1,INDEX(($A$18:$A$379=A312)*(IFERROR($B$18:$B$379&gt;=E312-30,0))*(IFERROR($B$18:$B$379&lt;=E312+30,0))*($G$18:$G$379&gt;0)*($L$18:$L$379&lt;&gt;L312),0),0)),IFERROR(INDEX($L$381:$L$498,MATCH(1,INDEX(($A$381:$A$498=A312)*(IFERROR($B$381:$B$498&gt;=E312-30,0))*(IFERROR($B$381:$B$498&lt;=E312+30,0))*($G$381:$G$498&gt;0)*($L$381:$L$498&lt;&gt;L312),0),0)),"")),"")</f>
        <v/>
      </c>
      <c r="R312" s="32"/>
      <c r="S312" s="31" t="str">
        <f>IF(R312&lt;&gt;"",R312,Q312)</f>
        <v/>
      </c>
      <c r="T312" s="63">
        <f>IF(OR(N312="",O312=0),0,N312*O312)</f>
        <v>0</v>
      </c>
      <c r="U312" s="63">
        <f>IF(COUNTIF($S$18:$S$498,L312)=0,"",SUMIF($S$18:$S$498,L312,$T$18:$T$498))</f>
        <v>0</v>
      </c>
      <c r="V312" s="63" t="str">
        <f>IF(H312="","",IFERROR(H312+U312,H312))</f>
        <v/>
      </c>
      <c r="W312" s="63" t="str">
        <f>IF(OR(V312="",C312=""),"",V312/C312)</f>
        <v/>
      </c>
      <c r="X312" s="11" t="str">
        <f>IF(A312="","",IF(AND(U312&lt;&gt;"",U312&lt;&gt;0,M312=0),"Replacement lot receiving wash basis",IF(J312="","",IF(J312&gt;=0,"",IF(O312=0,"No replacement buy found",IF(P312&gt;1,"Manual selection needed","Auto matched"))))))</f>
        <v/>
      </c>
      <c r="Z312" t="str">
        <f>IF(K312="Yes",COUNTIF($K$18:K312,"Yes"),"")</f>
        <v/>
      </c>
    </row>
    <row r="313" spans="1:26" ht="34.15" customHeight="1" x14ac:dyDescent="0.2">
      <c r="A313" s="9"/>
      <c r="B313" s="69"/>
      <c r="C313" s="30"/>
      <c r="D313" s="70"/>
      <c r="E313" s="69"/>
      <c r="F313" s="70"/>
      <c r="G313" s="30"/>
      <c r="H313" s="63" t="str">
        <f>IF(OR(C313="",D313=""),"",C313*D313)</f>
        <v/>
      </c>
      <c r="I313" s="63" t="str">
        <f>IF(OR(E313="",F313="",M313&lt;=0),"",M313*F313)</f>
        <v/>
      </c>
      <c r="J313" s="63" t="str">
        <f>IF(I313="","",I313-(M313*D313))</f>
        <v/>
      </c>
      <c r="K313" s="28" t="str">
        <f>IF(A313="","",IF(T313&gt;0,"Yes","No"))</f>
        <v/>
      </c>
      <c r="L313" s="28" t="str">
        <f>IF(A313="","",A313&amp;"-"&amp;TEXT(B313,"yyyymmdd")&amp;"-R"&amp;ROW())</f>
        <v/>
      </c>
      <c r="M313" s="28" t="str">
        <f>IF(OR(C313="",G313=""),"",C313-G313)</f>
        <v/>
      </c>
      <c r="N313" s="63" t="str">
        <f>IF(OR(M313&lt;=0,J313&gt;=0),"",ABS(J313)/M313)</f>
        <v/>
      </c>
      <c r="O313" s="63" t="str">
        <f>IF(OR(A313="",M313&lt;=0,J313&gt;=0),"",MIN(M313,SUMPRODUCT(($A$18:$A$379=A313)*(IFERROR($B$18:$B$379&gt;=E313-30,0))*(IFERROR($B$18:$B$379&lt;=E313+30,0))*($G$18:$G$379&gt;0)*($L$18:$L$379&lt;&gt;L313)*($G$18:$G$379))+SUMPRODUCT(($A$381:$A$498=A313)*(IFERROR($B$381:$B$498&gt;=E313-30,0))*(IFERROR($B$381:$B$498&lt;=E313+30,0))*($G$381:$G$498&gt;0)*($L$381:$L$498&lt;&gt;L313)*($G$381:$G$498))))</f>
        <v/>
      </c>
      <c r="P313" s="28" t="str">
        <f>IF(OR(A313="",M313&lt;=0,J313&gt;=0),"",SUMPRODUCT(($A$18:$A$379=A313)*(IFERROR($B$18:$B$379&gt;=E313-30,0))*(IFERROR($B$18:$B$379&lt;=E313+30,0))*($G$18:$G$379&gt;0)*($L$18:$L$379&lt;&gt;L313))+SUMPRODUCT(($A$381:$A$498=A313)*(IFERROR($B$381:$B$498&gt;=E313-30,0))*(IFERROR($B$381:$B$498&lt;=E313+30,0))*($G$381:$G$498&gt;0)*($L$381:$L$498&lt;&gt;L313)))</f>
        <v/>
      </c>
      <c r="Q313" s="31" t="str">
        <f>IF(P313=1,IFERROR(INDEX($L$18:$L$379,MATCH(1,INDEX(($A$18:$A$379=A313)*(IFERROR($B$18:$B$379&gt;=E313-30,0))*(IFERROR($B$18:$B$379&lt;=E313+30,0))*($G$18:$G$379&gt;0)*($L$18:$L$379&lt;&gt;L313),0),0)),IFERROR(INDEX($L$381:$L$498,MATCH(1,INDEX(($A$381:$A$498=A313)*(IFERROR($B$381:$B$498&gt;=E313-30,0))*(IFERROR($B$381:$B$498&lt;=E313+30,0))*($G$381:$G$498&gt;0)*($L$381:$L$498&lt;&gt;L313),0),0)),"")),"")</f>
        <v/>
      </c>
      <c r="R313" s="32"/>
      <c r="S313" s="31" t="str">
        <f>IF(R313&lt;&gt;"",R313,Q313)</f>
        <v/>
      </c>
      <c r="T313" s="63">
        <f>IF(OR(N313="",O313=0),0,N313*O313)</f>
        <v>0</v>
      </c>
      <c r="U313" s="63">
        <f>IF(COUNTIF($S$18:$S$498,L313)=0,"",SUMIF($S$18:$S$498,L313,$T$18:$T$498))</f>
        <v>0</v>
      </c>
      <c r="V313" s="63" t="str">
        <f>IF(H313="","",IFERROR(H313+U313,H313))</f>
        <v/>
      </c>
      <c r="W313" s="63" t="str">
        <f>IF(OR(V313="",C313=""),"",V313/C313)</f>
        <v/>
      </c>
      <c r="X313" s="11" t="str">
        <f>IF(A313="","",IF(AND(U313&lt;&gt;"",U313&lt;&gt;0,M313=0),"Replacement lot receiving wash basis",IF(J313="","",IF(J313&gt;=0,"",IF(O313=0,"No replacement buy found",IF(P313&gt;1,"Manual selection needed","Auto matched"))))))</f>
        <v/>
      </c>
      <c r="Z313" t="str">
        <f>IF(K313="Yes",COUNTIF($K$18:K313,"Yes"),"")</f>
        <v/>
      </c>
    </row>
    <row r="314" spans="1:26" ht="34.15" customHeight="1" x14ac:dyDescent="0.2">
      <c r="A314" s="9"/>
      <c r="B314" s="69"/>
      <c r="C314" s="30"/>
      <c r="D314" s="70"/>
      <c r="E314" s="69"/>
      <c r="F314" s="70"/>
      <c r="G314" s="30"/>
      <c r="H314" s="63" t="str">
        <f>IF(OR(C314="",D314=""),"",C314*D314)</f>
        <v/>
      </c>
      <c r="I314" s="63" t="str">
        <f>IF(OR(E314="",F314="",M314&lt;=0),"",M314*F314)</f>
        <v/>
      </c>
      <c r="J314" s="63" t="str">
        <f>IF(I314="","",I314-(M314*D314))</f>
        <v/>
      </c>
      <c r="K314" s="28" t="str">
        <f>IF(A314="","",IF(T314&gt;0,"Yes","No"))</f>
        <v/>
      </c>
      <c r="L314" s="28" t="str">
        <f>IF(A314="","",A314&amp;"-"&amp;TEXT(B314,"yyyymmdd")&amp;"-R"&amp;ROW())</f>
        <v/>
      </c>
      <c r="M314" s="28" t="str">
        <f>IF(OR(C314="",G314=""),"",C314-G314)</f>
        <v/>
      </c>
      <c r="N314" s="63" t="str">
        <f>IF(OR(M314&lt;=0,J314&gt;=0),"",ABS(J314)/M314)</f>
        <v/>
      </c>
      <c r="O314" s="63" t="str">
        <f>IF(OR(A314="",M314&lt;=0,J314&gt;=0),"",MIN(M314,SUMPRODUCT(($A$18:$A$379=A314)*(IFERROR($B$18:$B$379&gt;=E314-30,0))*(IFERROR($B$18:$B$379&lt;=E314+30,0))*($G$18:$G$379&gt;0)*($L$18:$L$379&lt;&gt;L314)*($G$18:$G$379))+SUMPRODUCT(($A$381:$A$498=A314)*(IFERROR($B$381:$B$498&gt;=E314-30,0))*(IFERROR($B$381:$B$498&lt;=E314+30,0))*($G$381:$G$498&gt;0)*($L$381:$L$498&lt;&gt;L314)*($G$381:$G$498))))</f>
        <v/>
      </c>
      <c r="P314" s="28" t="str">
        <f>IF(OR(A314="",M314&lt;=0,J314&gt;=0),"",SUMPRODUCT(($A$18:$A$379=A314)*(IFERROR($B$18:$B$379&gt;=E314-30,0))*(IFERROR($B$18:$B$379&lt;=E314+30,0))*($G$18:$G$379&gt;0)*($L$18:$L$379&lt;&gt;L314))+SUMPRODUCT(($A$381:$A$498=A314)*(IFERROR($B$381:$B$498&gt;=E314-30,0))*(IFERROR($B$381:$B$498&lt;=E314+30,0))*($G$381:$G$498&gt;0)*($L$381:$L$498&lt;&gt;L314)))</f>
        <v/>
      </c>
      <c r="Q314" s="31" t="str">
        <f>IF(P314=1,IFERROR(INDEX($L$18:$L$379,MATCH(1,INDEX(($A$18:$A$379=A314)*(IFERROR($B$18:$B$379&gt;=E314-30,0))*(IFERROR($B$18:$B$379&lt;=E314+30,0))*($G$18:$G$379&gt;0)*($L$18:$L$379&lt;&gt;L314),0),0)),IFERROR(INDEX($L$381:$L$498,MATCH(1,INDEX(($A$381:$A$498=A314)*(IFERROR($B$381:$B$498&gt;=E314-30,0))*(IFERROR($B$381:$B$498&lt;=E314+30,0))*($G$381:$G$498&gt;0)*($L$381:$L$498&lt;&gt;L314),0),0)),"")),"")</f>
        <v/>
      </c>
      <c r="R314" s="32"/>
      <c r="S314" s="31" t="str">
        <f>IF(R314&lt;&gt;"",R314,Q314)</f>
        <v/>
      </c>
      <c r="T314" s="63">
        <f>IF(OR(N314="",O314=0),0,N314*O314)</f>
        <v>0</v>
      </c>
      <c r="U314" s="63">
        <f>IF(COUNTIF($S$18:$S$498,L314)=0,"",SUMIF($S$18:$S$498,L314,$T$18:$T$498))</f>
        <v>0</v>
      </c>
      <c r="V314" s="63" t="str">
        <f>IF(H314="","",IFERROR(H314+U314,H314))</f>
        <v/>
      </c>
      <c r="W314" s="63" t="str">
        <f>IF(OR(V314="",C314=""),"",V314/C314)</f>
        <v/>
      </c>
      <c r="X314" s="11" t="str">
        <f>IF(A314="","",IF(AND(U314&lt;&gt;"",U314&lt;&gt;0,M314=0),"Replacement lot receiving wash basis",IF(J314="","",IF(J314&gt;=0,"",IF(O314=0,"No replacement buy found",IF(P314&gt;1,"Manual selection needed","Auto matched"))))))</f>
        <v/>
      </c>
      <c r="Z314" t="str">
        <f>IF(K314="Yes",COUNTIF($K$18:K314,"Yes"),"")</f>
        <v/>
      </c>
    </row>
    <row r="315" spans="1:26" ht="34.15" customHeight="1" x14ac:dyDescent="0.2">
      <c r="A315" s="9"/>
      <c r="B315" s="69"/>
      <c r="C315" s="30"/>
      <c r="D315" s="70"/>
      <c r="E315" s="69"/>
      <c r="F315" s="70"/>
      <c r="G315" s="30"/>
      <c r="H315" s="63" t="str">
        <f>IF(OR(C315="",D315=""),"",C315*D315)</f>
        <v/>
      </c>
      <c r="I315" s="63" t="str">
        <f>IF(OR(E315="",F315="",M315&lt;=0),"",M315*F315)</f>
        <v/>
      </c>
      <c r="J315" s="63" t="str">
        <f>IF(I315="","",I315-(M315*D315))</f>
        <v/>
      </c>
      <c r="K315" s="28" t="str">
        <f>IF(A315="","",IF(T315&gt;0,"Yes","No"))</f>
        <v/>
      </c>
      <c r="L315" s="28" t="str">
        <f>IF(A315="","",A315&amp;"-"&amp;TEXT(B315,"yyyymmdd")&amp;"-R"&amp;ROW())</f>
        <v/>
      </c>
      <c r="M315" s="28" t="str">
        <f>IF(OR(C315="",G315=""),"",C315-G315)</f>
        <v/>
      </c>
      <c r="N315" s="63" t="str">
        <f>IF(OR(M315&lt;=0,J315&gt;=0),"",ABS(J315)/M315)</f>
        <v/>
      </c>
      <c r="O315" s="63" t="str">
        <f>IF(OR(A315="",M315&lt;=0,J315&gt;=0),"",MIN(M315,SUMPRODUCT(($A$18:$A$379=A315)*(IFERROR($B$18:$B$379&gt;=E315-30,0))*(IFERROR($B$18:$B$379&lt;=E315+30,0))*($G$18:$G$379&gt;0)*($L$18:$L$379&lt;&gt;L315)*($G$18:$G$379))+SUMPRODUCT(($A$381:$A$498=A315)*(IFERROR($B$381:$B$498&gt;=E315-30,0))*(IFERROR($B$381:$B$498&lt;=E315+30,0))*($G$381:$G$498&gt;0)*($L$381:$L$498&lt;&gt;L315)*($G$381:$G$498))))</f>
        <v/>
      </c>
      <c r="P315" s="28" t="str">
        <f>IF(OR(A315="",M315&lt;=0,J315&gt;=0),"",SUMPRODUCT(($A$18:$A$379=A315)*(IFERROR($B$18:$B$379&gt;=E315-30,0))*(IFERROR($B$18:$B$379&lt;=E315+30,0))*($G$18:$G$379&gt;0)*($L$18:$L$379&lt;&gt;L315))+SUMPRODUCT(($A$381:$A$498=A315)*(IFERROR($B$381:$B$498&gt;=E315-30,0))*(IFERROR($B$381:$B$498&lt;=E315+30,0))*($G$381:$G$498&gt;0)*($L$381:$L$498&lt;&gt;L315)))</f>
        <v/>
      </c>
      <c r="Q315" s="31" t="str">
        <f>IF(P315=1,IFERROR(INDEX($L$18:$L$379,MATCH(1,INDEX(($A$18:$A$379=A315)*(IFERROR($B$18:$B$379&gt;=E315-30,0))*(IFERROR($B$18:$B$379&lt;=E315+30,0))*($G$18:$G$379&gt;0)*($L$18:$L$379&lt;&gt;L315),0),0)),IFERROR(INDEX($L$381:$L$498,MATCH(1,INDEX(($A$381:$A$498=A315)*(IFERROR($B$381:$B$498&gt;=E315-30,0))*(IFERROR($B$381:$B$498&lt;=E315+30,0))*($G$381:$G$498&gt;0)*($L$381:$L$498&lt;&gt;L315),0),0)),"")),"")</f>
        <v/>
      </c>
      <c r="R315" s="32"/>
      <c r="S315" s="31" t="str">
        <f>IF(R315&lt;&gt;"",R315,Q315)</f>
        <v/>
      </c>
      <c r="T315" s="63">
        <f>IF(OR(N315="",O315=0),0,N315*O315)</f>
        <v>0</v>
      </c>
      <c r="U315" s="63">
        <f>IF(COUNTIF($S$18:$S$498,L315)=0,"",SUMIF($S$18:$S$498,L315,$T$18:$T$498))</f>
        <v>0</v>
      </c>
      <c r="V315" s="63" t="str">
        <f>IF(H315="","",IFERROR(H315+U315,H315))</f>
        <v/>
      </c>
      <c r="W315" s="63" t="str">
        <f>IF(OR(V315="",C315=""),"",V315/C315)</f>
        <v/>
      </c>
      <c r="X315" s="11" t="str">
        <f>IF(A315="","",IF(AND(U315&lt;&gt;"",U315&lt;&gt;0,M315=0),"Replacement lot receiving wash basis",IF(J315="","",IF(J315&gt;=0,"",IF(O315=0,"No replacement buy found",IF(P315&gt;1,"Manual selection needed","Auto matched"))))))</f>
        <v/>
      </c>
      <c r="Z315" t="str">
        <f>IF(K315="Yes",COUNTIF($K$18:K315,"Yes"),"")</f>
        <v/>
      </c>
    </row>
    <row r="316" spans="1:26" ht="34.15" customHeight="1" x14ac:dyDescent="0.2">
      <c r="A316" s="9"/>
      <c r="B316" s="69"/>
      <c r="C316" s="30"/>
      <c r="D316" s="70"/>
      <c r="E316" s="69"/>
      <c r="F316" s="70"/>
      <c r="G316" s="30"/>
      <c r="H316" s="63" t="str">
        <f>IF(OR(C316="",D316=""),"",C316*D316)</f>
        <v/>
      </c>
      <c r="I316" s="63" t="str">
        <f>IF(OR(E316="",F316="",M316&lt;=0),"",M316*F316)</f>
        <v/>
      </c>
      <c r="J316" s="63" t="str">
        <f>IF(I316="","",I316-(M316*D316))</f>
        <v/>
      </c>
      <c r="K316" s="28" t="str">
        <f>IF(A316="","",IF(T316&gt;0,"Yes","No"))</f>
        <v/>
      </c>
      <c r="L316" s="28" t="str">
        <f>IF(A316="","",A316&amp;"-"&amp;TEXT(B316,"yyyymmdd")&amp;"-R"&amp;ROW())</f>
        <v/>
      </c>
      <c r="M316" s="28" t="str">
        <f>IF(OR(C316="",G316=""),"",C316-G316)</f>
        <v/>
      </c>
      <c r="N316" s="63" t="str">
        <f>IF(OR(M316&lt;=0,J316&gt;=0),"",ABS(J316)/M316)</f>
        <v/>
      </c>
      <c r="O316" s="63" t="str">
        <f>IF(OR(A316="",M316&lt;=0,J316&gt;=0),"",MIN(M316,SUMPRODUCT(($A$18:$A$379=A316)*(IFERROR($B$18:$B$379&gt;=E316-30,0))*(IFERROR($B$18:$B$379&lt;=E316+30,0))*($G$18:$G$379&gt;0)*($L$18:$L$379&lt;&gt;L316)*($G$18:$G$379))+SUMPRODUCT(($A$381:$A$498=A316)*(IFERROR($B$381:$B$498&gt;=E316-30,0))*(IFERROR($B$381:$B$498&lt;=E316+30,0))*($G$381:$G$498&gt;0)*($L$381:$L$498&lt;&gt;L316)*($G$381:$G$498))))</f>
        <v/>
      </c>
      <c r="P316" s="28" t="str">
        <f>IF(OR(A316="",M316&lt;=0,J316&gt;=0),"",SUMPRODUCT(($A$18:$A$379=A316)*(IFERROR($B$18:$B$379&gt;=E316-30,0))*(IFERROR($B$18:$B$379&lt;=E316+30,0))*($G$18:$G$379&gt;0)*($L$18:$L$379&lt;&gt;L316))+SUMPRODUCT(($A$381:$A$498=A316)*(IFERROR($B$381:$B$498&gt;=E316-30,0))*(IFERROR($B$381:$B$498&lt;=E316+30,0))*($G$381:$G$498&gt;0)*($L$381:$L$498&lt;&gt;L316)))</f>
        <v/>
      </c>
      <c r="Q316" s="31" t="str">
        <f>IF(P316=1,IFERROR(INDEX($L$18:$L$379,MATCH(1,INDEX(($A$18:$A$379=A316)*(IFERROR($B$18:$B$379&gt;=E316-30,0))*(IFERROR($B$18:$B$379&lt;=E316+30,0))*($G$18:$G$379&gt;0)*($L$18:$L$379&lt;&gt;L316),0),0)),IFERROR(INDEX($L$381:$L$498,MATCH(1,INDEX(($A$381:$A$498=A316)*(IFERROR($B$381:$B$498&gt;=E316-30,0))*(IFERROR($B$381:$B$498&lt;=E316+30,0))*($G$381:$G$498&gt;0)*($L$381:$L$498&lt;&gt;L316),0),0)),"")),"")</f>
        <v/>
      </c>
      <c r="R316" s="32"/>
      <c r="S316" s="31" t="str">
        <f>IF(R316&lt;&gt;"",R316,Q316)</f>
        <v/>
      </c>
      <c r="T316" s="63">
        <f>IF(OR(N316="",O316=0),0,N316*O316)</f>
        <v>0</v>
      </c>
      <c r="U316" s="63">
        <f>IF(COUNTIF($S$18:$S$498,L316)=0,"",SUMIF($S$18:$S$498,L316,$T$18:$T$498))</f>
        <v>0</v>
      </c>
      <c r="V316" s="63" t="str">
        <f>IF(H316="","",IFERROR(H316+U316,H316))</f>
        <v/>
      </c>
      <c r="W316" s="63" t="str">
        <f>IF(OR(V316="",C316=""),"",V316/C316)</f>
        <v/>
      </c>
      <c r="X316" s="11" t="str">
        <f>IF(A316="","",IF(AND(U316&lt;&gt;"",U316&lt;&gt;0,M316=0),"Replacement lot receiving wash basis",IF(J316="","",IF(J316&gt;=0,"",IF(O316=0,"No replacement buy found",IF(P316&gt;1,"Manual selection needed","Auto matched"))))))</f>
        <v/>
      </c>
      <c r="Z316" t="str">
        <f>IF(K316="Yes",COUNTIF($K$18:K316,"Yes"),"")</f>
        <v/>
      </c>
    </row>
    <row r="317" spans="1:26" ht="34.15" customHeight="1" x14ac:dyDescent="0.2">
      <c r="A317" s="9"/>
      <c r="B317" s="69"/>
      <c r="C317" s="30"/>
      <c r="D317" s="70"/>
      <c r="E317" s="69"/>
      <c r="F317" s="70"/>
      <c r="G317" s="30"/>
      <c r="H317" s="63" t="str">
        <f>IF(OR(C317="",D317=""),"",C317*D317)</f>
        <v/>
      </c>
      <c r="I317" s="63" t="str">
        <f>IF(OR(E317="",F317="",M317&lt;=0),"",M317*F317)</f>
        <v/>
      </c>
      <c r="J317" s="63" t="str">
        <f>IF(I317="","",I317-(M317*D317))</f>
        <v/>
      </c>
      <c r="K317" s="28" t="str">
        <f>IF(A317="","",IF(T317&gt;0,"Yes","No"))</f>
        <v/>
      </c>
      <c r="L317" s="28" t="str">
        <f>IF(A317="","",A317&amp;"-"&amp;TEXT(B317,"yyyymmdd")&amp;"-R"&amp;ROW())</f>
        <v/>
      </c>
      <c r="M317" s="28" t="str">
        <f>IF(OR(C317="",G317=""),"",C317-G317)</f>
        <v/>
      </c>
      <c r="N317" s="63" t="str">
        <f>IF(OR(M317&lt;=0,J317&gt;=0),"",ABS(J317)/M317)</f>
        <v/>
      </c>
      <c r="O317" s="63" t="str">
        <f>IF(OR(A317="",M317&lt;=0,J317&gt;=0),"",MIN(M317,SUMPRODUCT(($A$18:$A$379=A317)*(IFERROR($B$18:$B$379&gt;=E317-30,0))*(IFERROR($B$18:$B$379&lt;=E317+30,0))*($G$18:$G$379&gt;0)*($L$18:$L$379&lt;&gt;L317)*($G$18:$G$379))+SUMPRODUCT(($A$381:$A$498=A317)*(IFERROR($B$381:$B$498&gt;=E317-30,0))*(IFERROR($B$381:$B$498&lt;=E317+30,0))*($G$381:$G$498&gt;0)*($L$381:$L$498&lt;&gt;L317)*($G$381:$G$498))))</f>
        <v/>
      </c>
      <c r="P317" s="28" t="str">
        <f>IF(OR(A317="",M317&lt;=0,J317&gt;=0),"",SUMPRODUCT(($A$18:$A$379=A317)*(IFERROR($B$18:$B$379&gt;=E317-30,0))*(IFERROR($B$18:$B$379&lt;=E317+30,0))*($G$18:$G$379&gt;0)*($L$18:$L$379&lt;&gt;L317))+SUMPRODUCT(($A$381:$A$498=A317)*(IFERROR($B$381:$B$498&gt;=E317-30,0))*(IFERROR($B$381:$B$498&lt;=E317+30,0))*($G$381:$G$498&gt;0)*($L$381:$L$498&lt;&gt;L317)))</f>
        <v/>
      </c>
      <c r="Q317" s="31" t="str">
        <f>IF(P317=1,IFERROR(INDEX($L$18:$L$379,MATCH(1,INDEX(($A$18:$A$379=A317)*(IFERROR($B$18:$B$379&gt;=E317-30,0))*(IFERROR($B$18:$B$379&lt;=E317+30,0))*($G$18:$G$379&gt;0)*($L$18:$L$379&lt;&gt;L317),0),0)),IFERROR(INDEX($L$381:$L$498,MATCH(1,INDEX(($A$381:$A$498=A317)*(IFERROR($B$381:$B$498&gt;=E317-30,0))*(IFERROR($B$381:$B$498&lt;=E317+30,0))*($G$381:$G$498&gt;0)*($L$381:$L$498&lt;&gt;L317),0),0)),"")),"")</f>
        <v/>
      </c>
      <c r="R317" s="32"/>
      <c r="S317" s="31" t="str">
        <f>IF(R317&lt;&gt;"",R317,Q317)</f>
        <v/>
      </c>
      <c r="T317" s="63">
        <f>IF(OR(N317="",O317=0),0,N317*O317)</f>
        <v>0</v>
      </c>
      <c r="U317" s="63">
        <f>IF(COUNTIF($S$18:$S$498,L317)=0,"",SUMIF($S$18:$S$498,L317,$T$18:$T$498))</f>
        <v>0</v>
      </c>
      <c r="V317" s="63" t="str">
        <f>IF(H317="","",IFERROR(H317+U317,H317))</f>
        <v/>
      </c>
      <c r="W317" s="63" t="str">
        <f>IF(OR(V317="",C317=""),"",V317/C317)</f>
        <v/>
      </c>
      <c r="X317" s="11" t="str">
        <f>IF(A317="","",IF(AND(U317&lt;&gt;"",U317&lt;&gt;0,M317=0),"Replacement lot receiving wash basis",IF(J317="","",IF(J317&gt;=0,"",IF(O317=0,"No replacement buy found",IF(P317&gt;1,"Manual selection needed","Auto matched"))))))</f>
        <v/>
      </c>
      <c r="Z317" t="str">
        <f>IF(K317="Yes",COUNTIF($K$18:K317,"Yes"),"")</f>
        <v/>
      </c>
    </row>
    <row r="318" spans="1:26" ht="34.15" customHeight="1" x14ac:dyDescent="0.2">
      <c r="A318" s="9"/>
      <c r="B318" s="69"/>
      <c r="C318" s="30"/>
      <c r="D318" s="70"/>
      <c r="E318" s="69"/>
      <c r="F318" s="70"/>
      <c r="G318" s="30"/>
      <c r="H318" s="63" t="str">
        <f>IF(OR(C318="",D318=""),"",C318*D318)</f>
        <v/>
      </c>
      <c r="I318" s="63" t="str">
        <f>IF(OR(E318="",F318="",M318&lt;=0),"",M318*F318)</f>
        <v/>
      </c>
      <c r="J318" s="63" t="str">
        <f>IF(I318="","",I318-(M318*D318))</f>
        <v/>
      </c>
      <c r="K318" s="28" t="str">
        <f>IF(A318="","",IF(T318&gt;0,"Yes","No"))</f>
        <v/>
      </c>
      <c r="L318" s="28" t="str">
        <f>IF(A318="","",A318&amp;"-"&amp;TEXT(B318,"yyyymmdd")&amp;"-R"&amp;ROW())</f>
        <v/>
      </c>
      <c r="M318" s="28" t="str">
        <f>IF(OR(C318="",G318=""),"",C318-G318)</f>
        <v/>
      </c>
      <c r="N318" s="63" t="str">
        <f>IF(OR(M318&lt;=0,J318&gt;=0),"",ABS(J318)/M318)</f>
        <v/>
      </c>
      <c r="O318" s="63" t="str">
        <f>IF(OR(A318="",M318&lt;=0,J318&gt;=0),"",MIN(M318,SUMPRODUCT(($A$18:$A$379=A318)*(IFERROR($B$18:$B$379&gt;=E318-30,0))*(IFERROR($B$18:$B$379&lt;=E318+30,0))*($G$18:$G$379&gt;0)*($L$18:$L$379&lt;&gt;L318)*($G$18:$G$379))+SUMPRODUCT(($A$381:$A$498=A318)*(IFERROR($B$381:$B$498&gt;=E318-30,0))*(IFERROR($B$381:$B$498&lt;=E318+30,0))*($G$381:$G$498&gt;0)*($L$381:$L$498&lt;&gt;L318)*($G$381:$G$498))))</f>
        <v/>
      </c>
      <c r="P318" s="28" t="str">
        <f>IF(OR(A318="",M318&lt;=0,J318&gt;=0),"",SUMPRODUCT(($A$18:$A$379=A318)*(IFERROR($B$18:$B$379&gt;=E318-30,0))*(IFERROR($B$18:$B$379&lt;=E318+30,0))*($G$18:$G$379&gt;0)*($L$18:$L$379&lt;&gt;L318))+SUMPRODUCT(($A$381:$A$498=A318)*(IFERROR($B$381:$B$498&gt;=E318-30,0))*(IFERROR($B$381:$B$498&lt;=E318+30,0))*($G$381:$G$498&gt;0)*($L$381:$L$498&lt;&gt;L318)))</f>
        <v/>
      </c>
      <c r="Q318" s="31" t="str">
        <f>IF(P318=1,IFERROR(INDEX($L$18:$L$379,MATCH(1,INDEX(($A$18:$A$379=A318)*(IFERROR($B$18:$B$379&gt;=E318-30,0))*(IFERROR($B$18:$B$379&lt;=E318+30,0))*($G$18:$G$379&gt;0)*($L$18:$L$379&lt;&gt;L318),0),0)),IFERROR(INDEX($L$381:$L$498,MATCH(1,INDEX(($A$381:$A$498=A318)*(IFERROR($B$381:$B$498&gt;=E318-30,0))*(IFERROR($B$381:$B$498&lt;=E318+30,0))*($G$381:$G$498&gt;0)*($L$381:$L$498&lt;&gt;L318),0),0)),"")),"")</f>
        <v/>
      </c>
      <c r="R318" s="32"/>
      <c r="S318" s="31" t="str">
        <f>IF(R318&lt;&gt;"",R318,Q318)</f>
        <v/>
      </c>
      <c r="T318" s="63">
        <f>IF(OR(N318="",O318=0),0,N318*O318)</f>
        <v>0</v>
      </c>
      <c r="U318" s="63">
        <f>IF(COUNTIF($S$18:$S$498,L318)=0,"",SUMIF($S$18:$S$498,L318,$T$18:$T$498))</f>
        <v>0</v>
      </c>
      <c r="V318" s="63" t="str">
        <f>IF(H318="","",IFERROR(H318+U318,H318))</f>
        <v/>
      </c>
      <c r="W318" s="63" t="str">
        <f>IF(OR(V318="",C318=""),"",V318/C318)</f>
        <v/>
      </c>
      <c r="X318" s="11" t="str">
        <f>IF(A318="","",IF(AND(U318&lt;&gt;"",U318&lt;&gt;0,M318=0),"Replacement lot receiving wash basis",IF(J318="","",IF(J318&gt;=0,"",IF(O318=0,"No replacement buy found",IF(P318&gt;1,"Manual selection needed","Auto matched"))))))</f>
        <v/>
      </c>
      <c r="Z318" t="str">
        <f>IF(K318="Yes",COUNTIF($K$18:K318,"Yes"),"")</f>
        <v/>
      </c>
    </row>
    <row r="319" spans="1:26" ht="34.15" customHeight="1" x14ac:dyDescent="0.2">
      <c r="A319" s="9"/>
      <c r="B319" s="69"/>
      <c r="C319" s="30"/>
      <c r="D319" s="70"/>
      <c r="E319" s="69"/>
      <c r="F319" s="70"/>
      <c r="G319" s="30"/>
      <c r="H319" s="63" t="str">
        <f>IF(OR(C319="",D319=""),"",C319*D319)</f>
        <v/>
      </c>
      <c r="I319" s="63" t="str">
        <f>IF(OR(E319="",F319="",M319&lt;=0),"",M319*F319)</f>
        <v/>
      </c>
      <c r="J319" s="63" t="str">
        <f>IF(I319="","",I319-(M319*D319))</f>
        <v/>
      </c>
      <c r="K319" s="28" t="str">
        <f>IF(A319="","",IF(T319&gt;0,"Yes","No"))</f>
        <v/>
      </c>
      <c r="L319" s="28" t="str">
        <f>IF(A319="","",A319&amp;"-"&amp;TEXT(B319,"yyyymmdd")&amp;"-R"&amp;ROW())</f>
        <v/>
      </c>
      <c r="M319" s="28" t="str">
        <f>IF(OR(C319="",G319=""),"",C319-G319)</f>
        <v/>
      </c>
      <c r="N319" s="63" t="str">
        <f>IF(OR(M319&lt;=0,J319&gt;=0),"",ABS(J319)/M319)</f>
        <v/>
      </c>
      <c r="O319" s="63" t="str">
        <f>IF(OR(A319="",M319&lt;=0,J319&gt;=0),"",MIN(M319,SUMPRODUCT(($A$18:$A$379=A319)*(IFERROR($B$18:$B$379&gt;=E319-30,0))*(IFERROR($B$18:$B$379&lt;=E319+30,0))*($G$18:$G$379&gt;0)*($L$18:$L$379&lt;&gt;L319)*($G$18:$G$379))+SUMPRODUCT(($A$381:$A$498=A319)*(IFERROR($B$381:$B$498&gt;=E319-30,0))*(IFERROR($B$381:$B$498&lt;=E319+30,0))*($G$381:$G$498&gt;0)*($L$381:$L$498&lt;&gt;L319)*($G$381:$G$498))))</f>
        <v/>
      </c>
      <c r="P319" s="28" t="str">
        <f>IF(OR(A319="",M319&lt;=0,J319&gt;=0),"",SUMPRODUCT(($A$18:$A$379=A319)*(IFERROR($B$18:$B$379&gt;=E319-30,0))*(IFERROR($B$18:$B$379&lt;=E319+30,0))*($G$18:$G$379&gt;0)*($L$18:$L$379&lt;&gt;L319))+SUMPRODUCT(($A$381:$A$498=A319)*(IFERROR($B$381:$B$498&gt;=E319-30,0))*(IFERROR($B$381:$B$498&lt;=E319+30,0))*($G$381:$G$498&gt;0)*($L$381:$L$498&lt;&gt;L319)))</f>
        <v/>
      </c>
      <c r="Q319" s="31" t="str">
        <f>IF(P319=1,IFERROR(INDEX($L$18:$L$379,MATCH(1,INDEX(($A$18:$A$379=A319)*(IFERROR($B$18:$B$379&gt;=E319-30,0))*(IFERROR($B$18:$B$379&lt;=E319+30,0))*($G$18:$G$379&gt;0)*($L$18:$L$379&lt;&gt;L319),0),0)),IFERROR(INDEX($L$381:$L$498,MATCH(1,INDEX(($A$381:$A$498=A319)*(IFERROR($B$381:$B$498&gt;=E319-30,0))*(IFERROR($B$381:$B$498&lt;=E319+30,0))*($G$381:$G$498&gt;0)*($L$381:$L$498&lt;&gt;L319),0),0)),"")),"")</f>
        <v/>
      </c>
      <c r="R319" s="32"/>
      <c r="S319" s="31" t="str">
        <f>IF(R319&lt;&gt;"",R319,Q319)</f>
        <v/>
      </c>
      <c r="T319" s="63">
        <f>IF(OR(N319="",O319=0),0,N319*O319)</f>
        <v>0</v>
      </c>
      <c r="U319" s="63">
        <f>IF(COUNTIF($S$18:$S$498,L319)=0,"",SUMIF($S$18:$S$498,L319,$T$18:$T$498))</f>
        <v>0</v>
      </c>
      <c r="V319" s="63" t="str">
        <f>IF(H319="","",IFERROR(H319+U319,H319))</f>
        <v/>
      </c>
      <c r="W319" s="63" t="str">
        <f>IF(OR(V319="",C319=""),"",V319/C319)</f>
        <v/>
      </c>
      <c r="X319" s="11" t="str">
        <f>IF(A319="","",IF(AND(U319&lt;&gt;"",U319&lt;&gt;0,M319=0),"Replacement lot receiving wash basis",IF(J319="","",IF(J319&gt;=0,"",IF(O319=0,"No replacement buy found",IF(P319&gt;1,"Manual selection needed","Auto matched"))))))</f>
        <v/>
      </c>
      <c r="Z319" t="str">
        <f>IF(K319="Yes",COUNTIF($K$18:K319,"Yes"),"")</f>
        <v/>
      </c>
    </row>
    <row r="320" spans="1:26" ht="34.15" customHeight="1" x14ac:dyDescent="0.2">
      <c r="A320" s="9"/>
      <c r="B320" s="69"/>
      <c r="C320" s="30"/>
      <c r="D320" s="70"/>
      <c r="E320" s="69"/>
      <c r="F320" s="70"/>
      <c r="G320" s="30"/>
      <c r="H320" s="63" t="str">
        <f>IF(OR(C320="",D320=""),"",C320*D320)</f>
        <v/>
      </c>
      <c r="I320" s="63" t="str">
        <f>IF(OR(E320="",F320="",M320&lt;=0),"",M320*F320)</f>
        <v/>
      </c>
      <c r="J320" s="63" t="str">
        <f>IF(I320="","",I320-(M320*D320))</f>
        <v/>
      </c>
      <c r="K320" s="28" t="str">
        <f>IF(A320="","",IF(T320&gt;0,"Yes","No"))</f>
        <v/>
      </c>
      <c r="L320" s="28" t="str">
        <f>IF(A320="","",A320&amp;"-"&amp;TEXT(B320,"yyyymmdd")&amp;"-R"&amp;ROW())</f>
        <v/>
      </c>
      <c r="M320" s="28" t="str">
        <f>IF(OR(C320="",G320=""),"",C320-G320)</f>
        <v/>
      </c>
      <c r="N320" s="63" t="str">
        <f>IF(OR(M320&lt;=0,J320&gt;=0),"",ABS(J320)/M320)</f>
        <v/>
      </c>
      <c r="O320" s="63" t="str">
        <f>IF(OR(A320="",M320&lt;=0,J320&gt;=0),"",MIN(M320,SUMPRODUCT(($A$18:$A$379=A320)*(IFERROR($B$18:$B$379&gt;=E320-30,0))*(IFERROR($B$18:$B$379&lt;=E320+30,0))*($G$18:$G$379&gt;0)*($L$18:$L$379&lt;&gt;L320)*($G$18:$G$379))+SUMPRODUCT(($A$381:$A$498=A320)*(IFERROR($B$381:$B$498&gt;=E320-30,0))*(IFERROR($B$381:$B$498&lt;=E320+30,0))*($G$381:$G$498&gt;0)*($L$381:$L$498&lt;&gt;L320)*($G$381:$G$498))))</f>
        <v/>
      </c>
      <c r="P320" s="28" t="str">
        <f>IF(OR(A320="",M320&lt;=0,J320&gt;=0),"",SUMPRODUCT(($A$18:$A$379=A320)*(IFERROR($B$18:$B$379&gt;=E320-30,0))*(IFERROR($B$18:$B$379&lt;=E320+30,0))*($G$18:$G$379&gt;0)*($L$18:$L$379&lt;&gt;L320))+SUMPRODUCT(($A$381:$A$498=A320)*(IFERROR($B$381:$B$498&gt;=E320-30,0))*(IFERROR($B$381:$B$498&lt;=E320+30,0))*($G$381:$G$498&gt;0)*($L$381:$L$498&lt;&gt;L320)))</f>
        <v/>
      </c>
      <c r="Q320" s="31" t="str">
        <f>IF(P320=1,IFERROR(INDEX($L$18:$L$379,MATCH(1,INDEX(($A$18:$A$379=A320)*(IFERROR($B$18:$B$379&gt;=E320-30,0))*(IFERROR($B$18:$B$379&lt;=E320+30,0))*($G$18:$G$379&gt;0)*($L$18:$L$379&lt;&gt;L320),0),0)),IFERROR(INDEX($L$381:$L$498,MATCH(1,INDEX(($A$381:$A$498=A320)*(IFERROR($B$381:$B$498&gt;=E320-30,0))*(IFERROR($B$381:$B$498&lt;=E320+30,0))*($G$381:$G$498&gt;0)*($L$381:$L$498&lt;&gt;L320),0),0)),"")),"")</f>
        <v/>
      </c>
      <c r="R320" s="32"/>
      <c r="S320" s="31" t="str">
        <f>IF(R320&lt;&gt;"",R320,Q320)</f>
        <v/>
      </c>
      <c r="T320" s="63">
        <f>IF(OR(N320="",O320=0),0,N320*O320)</f>
        <v>0</v>
      </c>
      <c r="U320" s="63">
        <f>IF(COUNTIF($S$18:$S$498,L320)=0,"",SUMIF($S$18:$S$498,L320,$T$18:$T$498))</f>
        <v>0</v>
      </c>
      <c r="V320" s="63" t="str">
        <f>IF(H320="","",IFERROR(H320+U320,H320))</f>
        <v/>
      </c>
      <c r="W320" s="63" t="str">
        <f>IF(OR(V320="",C320=""),"",V320/C320)</f>
        <v/>
      </c>
      <c r="X320" s="11" t="str">
        <f>IF(A320="","",IF(AND(U320&lt;&gt;"",U320&lt;&gt;0,M320=0),"Replacement lot receiving wash basis",IF(J320="","",IF(J320&gt;=0,"",IF(O320=0,"No replacement buy found",IF(P320&gt;1,"Manual selection needed","Auto matched"))))))</f>
        <v/>
      </c>
      <c r="Z320" t="str">
        <f>IF(K320="Yes",COUNTIF($K$18:K320,"Yes"),"")</f>
        <v/>
      </c>
    </row>
    <row r="321" spans="1:26" ht="34.15" customHeight="1" x14ac:dyDescent="0.2">
      <c r="A321" s="9"/>
      <c r="B321" s="69"/>
      <c r="C321" s="30"/>
      <c r="D321" s="70"/>
      <c r="E321" s="69"/>
      <c r="F321" s="70"/>
      <c r="G321" s="30"/>
      <c r="H321" s="63" t="str">
        <f>IF(OR(C321="",D321=""),"",C321*D321)</f>
        <v/>
      </c>
      <c r="I321" s="63" t="str">
        <f>IF(OR(E321="",F321="",M321&lt;=0),"",M321*F321)</f>
        <v/>
      </c>
      <c r="J321" s="63" t="str">
        <f>IF(I321="","",I321-(M321*D321))</f>
        <v/>
      </c>
      <c r="K321" s="28" t="str">
        <f>IF(A321="","",IF(T321&gt;0,"Yes","No"))</f>
        <v/>
      </c>
      <c r="L321" s="28" t="str">
        <f>IF(A321="","",A321&amp;"-"&amp;TEXT(B321,"yyyymmdd")&amp;"-R"&amp;ROW())</f>
        <v/>
      </c>
      <c r="M321" s="28" t="str">
        <f>IF(OR(C321="",G321=""),"",C321-G321)</f>
        <v/>
      </c>
      <c r="N321" s="63" t="str">
        <f>IF(OR(M321&lt;=0,J321&gt;=0),"",ABS(J321)/M321)</f>
        <v/>
      </c>
      <c r="O321" s="63" t="str">
        <f>IF(OR(A321="",M321&lt;=0,J321&gt;=0),"",MIN(M321,SUMPRODUCT(($A$18:$A$379=A321)*(IFERROR($B$18:$B$379&gt;=E321-30,0))*(IFERROR($B$18:$B$379&lt;=E321+30,0))*($G$18:$G$379&gt;0)*($L$18:$L$379&lt;&gt;L321)*($G$18:$G$379))+SUMPRODUCT(($A$381:$A$498=A321)*(IFERROR($B$381:$B$498&gt;=E321-30,0))*(IFERROR($B$381:$B$498&lt;=E321+30,0))*($G$381:$G$498&gt;0)*($L$381:$L$498&lt;&gt;L321)*($G$381:$G$498))))</f>
        <v/>
      </c>
      <c r="P321" s="28" t="str">
        <f>IF(OR(A321="",M321&lt;=0,J321&gt;=0),"",SUMPRODUCT(($A$18:$A$379=A321)*(IFERROR($B$18:$B$379&gt;=E321-30,0))*(IFERROR($B$18:$B$379&lt;=E321+30,0))*($G$18:$G$379&gt;0)*($L$18:$L$379&lt;&gt;L321))+SUMPRODUCT(($A$381:$A$498=A321)*(IFERROR($B$381:$B$498&gt;=E321-30,0))*(IFERROR($B$381:$B$498&lt;=E321+30,0))*($G$381:$G$498&gt;0)*($L$381:$L$498&lt;&gt;L321)))</f>
        <v/>
      </c>
      <c r="Q321" s="31" t="str">
        <f>IF(P321=1,IFERROR(INDEX($L$18:$L$379,MATCH(1,INDEX(($A$18:$A$379=A321)*(IFERROR($B$18:$B$379&gt;=E321-30,0))*(IFERROR($B$18:$B$379&lt;=E321+30,0))*($G$18:$G$379&gt;0)*($L$18:$L$379&lt;&gt;L321),0),0)),IFERROR(INDEX($L$381:$L$498,MATCH(1,INDEX(($A$381:$A$498=A321)*(IFERROR($B$381:$B$498&gt;=E321-30,0))*(IFERROR($B$381:$B$498&lt;=E321+30,0))*($G$381:$G$498&gt;0)*($L$381:$L$498&lt;&gt;L321),0),0)),"")),"")</f>
        <v/>
      </c>
      <c r="R321" s="32"/>
      <c r="S321" s="31" t="str">
        <f>IF(R321&lt;&gt;"",R321,Q321)</f>
        <v/>
      </c>
      <c r="T321" s="63">
        <f>IF(OR(N321="",O321=0),0,N321*O321)</f>
        <v>0</v>
      </c>
      <c r="U321" s="63">
        <f>IF(COUNTIF($S$18:$S$498,L321)=0,"",SUMIF($S$18:$S$498,L321,$T$18:$T$498))</f>
        <v>0</v>
      </c>
      <c r="V321" s="63" t="str">
        <f>IF(H321="","",IFERROR(H321+U321,H321))</f>
        <v/>
      </c>
      <c r="W321" s="63" t="str">
        <f>IF(OR(V321="",C321=""),"",V321/C321)</f>
        <v/>
      </c>
      <c r="X321" s="11" t="str">
        <f>IF(A321="","",IF(AND(U321&lt;&gt;"",U321&lt;&gt;0,M321=0),"Replacement lot receiving wash basis",IF(J321="","",IF(J321&gt;=0,"",IF(O321=0,"No replacement buy found",IF(P321&gt;1,"Manual selection needed","Auto matched"))))))</f>
        <v/>
      </c>
      <c r="Z321" t="str">
        <f>IF(K321="Yes",COUNTIF($K$18:K321,"Yes"),"")</f>
        <v/>
      </c>
    </row>
    <row r="322" spans="1:26" ht="34.15" customHeight="1" x14ac:dyDescent="0.2">
      <c r="A322" s="9"/>
      <c r="B322" s="69"/>
      <c r="C322" s="30"/>
      <c r="D322" s="70"/>
      <c r="E322" s="69"/>
      <c r="F322" s="70"/>
      <c r="G322" s="30"/>
      <c r="H322" s="63" t="str">
        <f>IF(OR(C322="",D322=""),"",C322*D322)</f>
        <v/>
      </c>
      <c r="I322" s="63" t="str">
        <f>IF(OR(E322="",F322="",M322&lt;=0),"",M322*F322)</f>
        <v/>
      </c>
      <c r="J322" s="63" t="str">
        <f>IF(I322="","",I322-(M322*D322))</f>
        <v/>
      </c>
      <c r="K322" s="28" t="str">
        <f>IF(A322="","",IF(T322&gt;0,"Yes","No"))</f>
        <v/>
      </c>
      <c r="L322" s="28" t="str">
        <f>IF(A322="","",A322&amp;"-"&amp;TEXT(B322,"yyyymmdd")&amp;"-R"&amp;ROW())</f>
        <v/>
      </c>
      <c r="M322" s="28" t="str">
        <f>IF(OR(C322="",G322=""),"",C322-G322)</f>
        <v/>
      </c>
      <c r="N322" s="63" t="str">
        <f>IF(OR(M322&lt;=0,J322&gt;=0),"",ABS(J322)/M322)</f>
        <v/>
      </c>
      <c r="O322" s="63" t="str">
        <f>IF(OR(A322="",M322&lt;=0,J322&gt;=0),"",MIN(M322,SUMPRODUCT(($A$18:$A$379=A322)*(IFERROR($B$18:$B$379&gt;=E322-30,0))*(IFERROR($B$18:$B$379&lt;=E322+30,0))*($G$18:$G$379&gt;0)*($L$18:$L$379&lt;&gt;L322)*($G$18:$G$379))+SUMPRODUCT(($A$381:$A$498=A322)*(IFERROR($B$381:$B$498&gt;=E322-30,0))*(IFERROR($B$381:$B$498&lt;=E322+30,0))*($G$381:$G$498&gt;0)*($L$381:$L$498&lt;&gt;L322)*($G$381:$G$498))))</f>
        <v/>
      </c>
      <c r="P322" s="28" t="str">
        <f>IF(OR(A322="",M322&lt;=0,J322&gt;=0),"",SUMPRODUCT(($A$18:$A$379=A322)*(IFERROR($B$18:$B$379&gt;=E322-30,0))*(IFERROR($B$18:$B$379&lt;=E322+30,0))*($G$18:$G$379&gt;0)*($L$18:$L$379&lt;&gt;L322))+SUMPRODUCT(($A$381:$A$498=A322)*(IFERROR($B$381:$B$498&gt;=E322-30,0))*(IFERROR($B$381:$B$498&lt;=E322+30,0))*($G$381:$G$498&gt;0)*($L$381:$L$498&lt;&gt;L322)))</f>
        <v/>
      </c>
      <c r="Q322" s="31" t="str">
        <f>IF(P322=1,IFERROR(INDEX($L$18:$L$379,MATCH(1,INDEX(($A$18:$A$379=A322)*(IFERROR($B$18:$B$379&gt;=E322-30,0))*(IFERROR($B$18:$B$379&lt;=E322+30,0))*($G$18:$G$379&gt;0)*($L$18:$L$379&lt;&gt;L322),0),0)),IFERROR(INDEX($L$381:$L$498,MATCH(1,INDEX(($A$381:$A$498=A322)*(IFERROR($B$381:$B$498&gt;=E322-30,0))*(IFERROR($B$381:$B$498&lt;=E322+30,0))*($G$381:$G$498&gt;0)*($L$381:$L$498&lt;&gt;L322),0),0)),"")),"")</f>
        <v/>
      </c>
      <c r="R322" s="32"/>
      <c r="S322" s="31" t="str">
        <f>IF(R322&lt;&gt;"",R322,Q322)</f>
        <v/>
      </c>
      <c r="T322" s="63">
        <f>IF(OR(N322="",O322=0),0,N322*O322)</f>
        <v>0</v>
      </c>
      <c r="U322" s="63">
        <f>IF(COUNTIF($S$18:$S$498,L322)=0,"",SUMIF($S$18:$S$498,L322,$T$18:$T$498))</f>
        <v>0</v>
      </c>
      <c r="V322" s="63" t="str">
        <f>IF(H322="","",IFERROR(H322+U322,H322))</f>
        <v/>
      </c>
      <c r="W322" s="63" t="str">
        <f>IF(OR(V322="",C322=""),"",V322/C322)</f>
        <v/>
      </c>
      <c r="X322" s="11" t="str">
        <f>IF(A322="","",IF(AND(U322&lt;&gt;"",U322&lt;&gt;0,M322=0),"Replacement lot receiving wash basis",IF(J322="","",IF(J322&gt;=0,"",IF(O322=0,"No replacement buy found",IF(P322&gt;1,"Manual selection needed","Auto matched"))))))</f>
        <v/>
      </c>
      <c r="Z322" t="str">
        <f>IF(K322="Yes",COUNTIF($K$18:K322,"Yes"),"")</f>
        <v/>
      </c>
    </row>
    <row r="323" spans="1:26" ht="34.15" customHeight="1" x14ac:dyDescent="0.2">
      <c r="A323" s="9"/>
      <c r="B323" s="69"/>
      <c r="C323" s="30"/>
      <c r="D323" s="70"/>
      <c r="E323" s="69"/>
      <c r="F323" s="70"/>
      <c r="G323" s="30"/>
      <c r="H323" s="63" t="str">
        <f>IF(OR(C323="",D323=""),"",C323*D323)</f>
        <v/>
      </c>
      <c r="I323" s="63" t="str">
        <f>IF(OR(E323="",F323="",M323&lt;=0),"",M323*F323)</f>
        <v/>
      </c>
      <c r="J323" s="63" t="str">
        <f>IF(I323="","",I323-(M323*D323))</f>
        <v/>
      </c>
      <c r="K323" s="28" t="str">
        <f>IF(A323="","",IF(T323&gt;0,"Yes","No"))</f>
        <v/>
      </c>
      <c r="L323" s="28" t="str">
        <f>IF(A323="","",A323&amp;"-"&amp;TEXT(B323,"yyyymmdd")&amp;"-R"&amp;ROW())</f>
        <v/>
      </c>
      <c r="M323" s="28" t="str">
        <f>IF(OR(C323="",G323=""),"",C323-G323)</f>
        <v/>
      </c>
      <c r="N323" s="63" t="str">
        <f>IF(OR(M323&lt;=0,J323&gt;=0),"",ABS(J323)/M323)</f>
        <v/>
      </c>
      <c r="O323" s="63" t="str">
        <f>IF(OR(A323="",M323&lt;=0,J323&gt;=0),"",MIN(M323,SUMPRODUCT(($A$18:$A$379=A323)*(IFERROR($B$18:$B$379&gt;=E323-30,0))*(IFERROR($B$18:$B$379&lt;=E323+30,0))*($G$18:$G$379&gt;0)*($L$18:$L$379&lt;&gt;L323)*($G$18:$G$379))+SUMPRODUCT(($A$381:$A$498=A323)*(IFERROR($B$381:$B$498&gt;=E323-30,0))*(IFERROR($B$381:$B$498&lt;=E323+30,0))*($G$381:$G$498&gt;0)*($L$381:$L$498&lt;&gt;L323)*($G$381:$G$498))))</f>
        <v/>
      </c>
      <c r="P323" s="28" t="str">
        <f>IF(OR(A323="",M323&lt;=0,J323&gt;=0),"",SUMPRODUCT(($A$18:$A$379=A323)*(IFERROR($B$18:$B$379&gt;=E323-30,0))*(IFERROR($B$18:$B$379&lt;=E323+30,0))*($G$18:$G$379&gt;0)*($L$18:$L$379&lt;&gt;L323))+SUMPRODUCT(($A$381:$A$498=A323)*(IFERROR($B$381:$B$498&gt;=E323-30,0))*(IFERROR($B$381:$B$498&lt;=E323+30,0))*($G$381:$G$498&gt;0)*($L$381:$L$498&lt;&gt;L323)))</f>
        <v/>
      </c>
      <c r="Q323" s="31" t="str">
        <f>IF(P323=1,IFERROR(INDEX($L$18:$L$379,MATCH(1,INDEX(($A$18:$A$379=A323)*(IFERROR($B$18:$B$379&gt;=E323-30,0))*(IFERROR($B$18:$B$379&lt;=E323+30,0))*($G$18:$G$379&gt;0)*($L$18:$L$379&lt;&gt;L323),0),0)),IFERROR(INDEX($L$381:$L$498,MATCH(1,INDEX(($A$381:$A$498=A323)*(IFERROR($B$381:$B$498&gt;=E323-30,0))*(IFERROR($B$381:$B$498&lt;=E323+30,0))*($G$381:$G$498&gt;0)*($L$381:$L$498&lt;&gt;L323),0),0)),"")),"")</f>
        <v/>
      </c>
      <c r="R323" s="32"/>
      <c r="S323" s="31" t="str">
        <f>IF(R323&lt;&gt;"",R323,Q323)</f>
        <v/>
      </c>
      <c r="T323" s="63">
        <f>IF(OR(N323="",O323=0),0,N323*O323)</f>
        <v>0</v>
      </c>
      <c r="U323" s="63">
        <f>IF(COUNTIF($S$18:$S$498,L323)=0,"",SUMIF($S$18:$S$498,L323,$T$18:$T$498))</f>
        <v>0</v>
      </c>
      <c r="V323" s="63" t="str">
        <f>IF(H323="","",IFERROR(H323+U323,H323))</f>
        <v/>
      </c>
      <c r="W323" s="63" t="str">
        <f>IF(OR(V323="",C323=""),"",V323/C323)</f>
        <v/>
      </c>
      <c r="X323" s="11" t="str">
        <f>IF(A323="","",IF(AND(U323&lt;&gt;"",U323&lt;&gt;0,M323=0),"Replacement lot receiving wash basis",IF(J323="","",IF(J323&gt;=0,"",IF(O323=0,"No replacement buy found",IF(P323&gt;1,"Manual selection needed","Auto matched"))))))</f>
        <v/>
      </c>
      <c r="Z323" t="str">
        <f>IF(K323="Yes",COUNTIF($K$18:K323,"Yes"),"")</f>
        <v/>
      </c>
    </row>
    <row r="324" spans="1:26" ht="34.15" customHeight="1" x14ac:dyDescent="0.2">
      <c r="A324" s="9"/>
      <c r="B324" s="69"/>
      <c r="C324" s="30"/>
      <c r="D324" s="70"/>
      <c r="E324" s="69"/>
      <c r="F324" s="70"/>
      <c r="G324" s="30"/>
      <c r="H324" s="63" t="str">
        <f>IF(OR(C324="",D324=""),"",C324*D324)</f>
        <v/>
      </c>
      <c r="I324" s="63" t="str">
        <f>IF(OR(E324="",F324="",M324&lt;=0),"",M324*F324)</f>
        <v/>
      </c>
      <c r="J324" s="63" t="str">
        <f>IF(I324="","",I324-(M324*D324))</f>
        <v/>
      </c>
      <c r="K324" s="28" t="str">
        <f>IF(A324="","",IF(T324&gt;0,"Yes","No"))</f>
        <v/>
      </c>
      <c r="L324" s="28" t="str">
        <f>IF(A324="","",A324&amp;"-"&amp;TEXT(B324,"yyyymmdd")&amp;"-R"&amp;ROW())</f>
        <v/>
      </c>
      <c r="M324" s="28" t="str">
        <f>IF(OR(C324="",G324=""),"",C324-G324)</f>
        <v/>
      </c>
      <c r="N324" s="63" t="str">
        <f>IF(OR(M324&lt;=0,J324&gt;=0),"",ABS(J324)/M324)</f>
        <v/>
      </c>
      <c r="O324" s="63" t="str">
        <f>IF(OR(A324="",M324&lt;=0,J324&gt;=0),"",MIN(M324,SUMPRODUCT(($A$18:$A$379=A324)*(IFERROR($B$18:$B$379&gt;=E324-30,0))*(IFERROR($B$18:$B$379&lt;=E324+30,0))*($G$18:$G$379&gt;0)*($L$18:$L$379&lt;&gt;L324)*($G$18:$G$379))+SUMPRODUCT(($A$381:$A$498=A324)*(IFERROR($B$381:$B$498&gt;=E324-30,0))*(IFERROR($B$381:$B$498&lt;=E324+30,0))*($G$381:$G$498&gt;0)*($L$381:$L$498&lt;&gt;L324)*($G$381:$G$498))))</f>
        <v/>
      </c>
      <c r="P324" s="28" t="str">
        <f>IF(OR(A324="",M324&lt;=0,J324&gt;=0),"",SUMPRODUCT(($A$18:$A$379=A324)*(IFERROR($B$18:$B$379&gt;=E324-30,0))*(IFERROR($B$18:$B$379&lt;=E324+30,0))*($G$18:$G$379&gt;0)*($L$18:$L$379&lt;&gt;L324))+SUMPRODUCT(($A$381:$A$498=A324)*(IFERROR($B$381:$B$498&gt;=E324-30,0))*(IFERROR($B$381:$B$498&lt;=E324+30,0))*($G$381:$G$498&gt;0)*($L$381:$L$498&lt;&gt;L324)))</f>
        <v/>
      </c>
      <c r="Q324" s="31" t="str">
        <f>IF(P324=1,IFERROR(INDEX($L$18:$L$379,MATCH(1,INDEX(($A$18:$A$379=A324)*(IFERROR($B$18:$B$379&gt;=E324-30,0))*(IFERROR($B$18:$B$379&lt;=E324+30,0))*($G$18:$G$379&gt;0)*($L$18:$L$379&lt;&gt;L324),0),0)),IFERROR(INDEX($L$381:$L$498,MATCH(1,INDEX(($A$381:$A$498=A324)*(IFERROR($B$381:$B$498&gt;=E324-30,0))*(IFERROR($B$381:$B$498&lt;=E324+30,0))*($G$381:$G$498&gt;0)*($L$381:$L$498&lt;&gt;L324),0),0)),"")),"")</f>
        <v/>
      </c>
      <c r="R324" s="32"/>
      <c r="S324" s="31" t="str">
        <f>IF(R324&lt;&gt;"",R324,Q324)</f>
        <v/>
      </c>
      <c r="T324" s="63">
        <f>IF(OR(N324="",O324=0),0,N324*O324)</f>
        <v>0</v>
      </c>
      <c r="U324" s="63">
        <f>IF(COUNTIF($S$18:$S$498,L324)=0,"",SUMIF($S$18:$S$498,L324,$T$18:$T$498))</f>
        <v>0</v>
      </c>
      <c r="V324" s="63" t="str">
        <f>IF(H324="","",IFERROR(H324+U324,H324))</f>
        <v/>
      </c>
      <c r="W324" s="63" t="str">
        <f>IF(OR(V324="",C324=""),"",V324/C324)</f>
        <v/>
      </c>
      <c r="X324" s="11" t="str">
        <f>IF(A324="","",IF(AND(U324&lt;&gt;"",U324&lt;&gt;0,M324=0),"Replacement lot receiving wash basis",IF(J324="","",IF(J324&gt;=0,"",IF(O324=0,"No replacement buy found",IF(P324&gt;1,"Manual selection needed","Auto matched"))))))</f>
        <v/>
      </c>
      <c r="Z324" t="str">
        <f>IF(K324="Yes",COUNTIF($K$18:K324,"Yes"),"")</f>
        <v/>
      </c>
    </row>
    <row r="325" spans="1:26" ht="34.15" customHeight="1" x14ac:dyDescent="0.2">
      <c r="A325" s="9"/>
      <c r="B325" s="69"/>
      <c r="C325" s="30"/>
      <c r="D325" s="70"/>
      <c r="E325" s="69"/>
      <c r="F325" s="70"/>
      <c r="G325" s="30"/>
      <c r="H325" s="63" t="str">
        <f>IF(OR(C325="",D325=""),"",C325*D325)</f>
        <v/>
      </c>
      <c r="I325" s="63" t="str">
        <f>IF(OR(E325="",F325="",M325&lt;=0),"",M325*F325)</f>
        <v/>
      </c>
      <c r="J325" s="63" t="str">
        <f>IF(I325="","",I325-(M325*D325))</f>
        <v/>
      </c>
      <c r="K325" s="28" t="str">
        <f>IF(A325="","",IF(T325&gt;0,"Yes","No"))</f>
        <v/>
      </c>
      <c r="L325" s="28" t="str">
        <f>IF(A325="","",A325&amp;"-"&amp;TEXT(B325,"yyyymmdd")&amp;"-R"&amp;ROW())</f>
        <v/>
      </c>
      <c r="M325" s="28" t="str">
        <f>IF(OR(C325="",G325=""),"",C325-G325)</f>
        <v/>
      </c>
      <c r="N325" s="63" t="str">
        <f>IF(OR(M325&lt;=0,J325&gt;=0),"",ABS(J325)/M325)</f>
        <v/>
      </c>
      <c r="O325" s="63" t="str">
        <f>IF(OR(A325="",M325&lt;=0,J325&gt;=0),"",MIN(M325,SUMPRODUCT(($A$18:$A$379=A325)*(IFERROR($B$18:$B$379&gt;=E325-30,0))*(IFERROR($B$18:$B$379&lt;=E325+30,0))*($G$18:$G$379&gt;0)*($L$18:$L$379&lt;&gt;L325)*($G$18:$G$379))+SUMPRODUCT(($A$381:$A$498=A325)*(IFERROR($B$381:$B$498&gt;=E325-30,0))*(IFERROR($B$381:$B$498&lt;=E325+30,0))*($G$381:$G$498&gt;0)*($L$381:$L$498&lt;&gt;L325)*($G$381:$G$498))))</f>
        <v/>
      </c>
      <c r="P325" s="28" t="str">
        <f>IF(OR(A325="",M325&lt;=0,J325&gt;=0),"",SUMPRODUCT(($A$18:$A$379=A325)*(IFERROR($B$18:$B$379&gt;=E325-30,0))*(IFERROR($B$18:$B$379&lt;=E325+30,0))*($G$18:$G$379&gt;0)*($L$18:$L$379&lt;&gt;L325))+SUMPRODUCT(($A$381:$A$498=A325)*(IFERROR($B$381:$B$498&gt;=E325-30,0))*(IFERROR($B$381:$B$498&lt;=E325+30,0))*($G$381:$G$498&gt;0)*($L$381:$L$498&lt;&gt;L325)))</f>
        <v/>
      </c>
      <c r="Q325" s="31" t="str">
        <f>IF(P325=1,IFERROR(INDEX($L$18:$L$379,MATCH(1,INDEX(($A$18:$A$379=A325)*(IFERROR($B$18:$B$379&gt;=E325-30,0))*(IFERROR($B$18:$B$379&lt;=E325+30,0))*($G$18:$G$379&gt;0)*($L$18:$L$379&lt;&gt;L325),0),0)),IFERROR(INDEX($L$381:$L$498,MATCH(1,INDEX(($A$381:$A$498=A325)*(IFERROR($B$381:$B$498&gt;=E325-30,0))*(IFERROR($B$381:$B$498&lt;=E325+30,0))*($G$381:$G$498&gt;0)*($L$381:$L$498&lt;&gt;L325),0),0)),"")),"")</f>
        <v/>
      </c>
      <c r="R325" s="32"/>
      <c r="S325" s="31" t="str">
        <f>IF(R325&lt;&gt;"",R325,Q325)</f>
        <v/>
      </c>
      <c r="T325" s="63">
        <f>IF(OR(N325="",O325=0),0,N325*O325)</f>
        <v>0</v>
      </c>
      <c r="U325" s="63">
        <f>IF(COUNTIF($S$18:$S$498,L325)=0,"",SUMIF($S$18:$S$498,L325,$T$18:$T$498))</f>
        <v>0</v>
      </c>
      <c r="V325" s="63" t="str">
        <f>IF(H325="","",IFERROR(H325+U325,H325))</f>
        <v/>
      </c>
      <c r="W325" s="63" t="str">
        <f>IF(OR(V325="",C325=""),"",V325/C325)</f>
        <v/>
      </c>
      <c r="X325" s="11" t="str">
        <f>IF(A325="","",IF(AND(U325&lt;&gt;"",U325&lt;&gt;0,M325=0),"Replacement lot receiving wash basis",IF(J325="","",IF(J325&gt;=0,"",IF(O325=0,"No replacement buy found",IF(P325&gt;1,"Manual selection needed","Auto matched"))))))</f>
        <v/>
      </c>
      <c r="Z325" t="str">
        <f>IF(K325="Yes",COUNTIF($K$18:K325,"Yes"),"")</f>
        <v/>
      </c>
    </row>
    <row r="326" spans="1:26" ht="34.15" customHeight="1" x14ac:dyDescent="0.2">
      <c r="A326" s="9"/>
      <c r="B326" s="69"/>
      <c r="C326" s="30"/>
      <c r="D326" s="70"/>
      <c r="E326" s="69"/>
      <c r="F326" s="70"/>
      <c r="G326" s="30"/>
      <c r="H326" s="63" t="str">
        <f>IF(OR(C326="",D326=""),"",C326*D326)</f>
        <v/>
      </c>
      <c r="I326" s="63" t="str">
        <f>IF(OR(E326="",F326="",M326&lt;=0),"",M326*F326)</f>
        <v/>
      </c>
      <c r="J326" s="63" t="str">
        <f>IF(I326="","",I326-(M326*D326))</f>
        <v/>
      </c>
      <c r="K326" s="28" t="str">
        <f>IF(A326="","",IF(T326&gt;0,"Yes","No"))</f>
        <v/>
      </c>
      <c r="L326" s="28" t="str">
        <f>IF(A326="","",A326&amp;"-"&amp;TEXT(B326,"yyyymmdd")&amp;"-R"&amp;ROW())</f>
        <v/>
      </c>
      <c r="M326" s="28" t="str">
        <f>IF(OR(C326="",G326=""),"",C326-G326)</f>
        <v/>
      </c>
      <c r="N326" s="63" t="str">
        <f>IF(OR(M326&lt;=0,J326&gt;=0),"",ABS(J326)/M326)</f>
        <v/>
      </c>
      <c r="O326" s="63" t="str">
        <f>IF(OR(A326="",M326&lt;=0,J326&gt;=0),"",MIN(M326,SUMPRODUCT(($A$18:$A$379=A326)*(IFERROR($B$18:$B$379&gt;=E326-30,0))*(IFERROR($B$18:$B$379&lt;=E326+30,0))*($G$18:$G$379&gt;0)*($L$18:$L$379&lt;&gt;L326)*($G$18:$G$379))+SUMPRODUCT(($A$381:$A$498=A326)*(IFERROR($B$381:$B$498&gt;=E326-30,0))*(IFERROR($B$381:$B$498&lt;=E326+30,0))*($G$381:$G$498&gt;0)*($L$381:$L$498&lt;&gt;L326)*($G$381:$G$498))))</f>
        <v/>
      </c>
      <c r="P326" s="28" t="str">
        <f>IF(OR(A326="",M326&lt;=0,J326&gt;=0),"",SUMPRODUCT(($A$18:$A$379=A326)*(IFERROR($B$18:$B$379&gt;=E326-30,0))*(IFERROR($B$18:$B$379&lt;=E326+30,0))*($G$18:$G$379&gt;0)*($L$18:$L$379&lt;&gt;L326))+SUMPRODUCT(($A$381:$A$498=A326)*(IFERROR($B$381:$B$498&gt;=E326-30,0))*(IFERROR($B$381:$B$498&lt;=E326+30,0))*($G$381:$G$498&gt;0)*($L$381:$L$498&lt;&gt;L326)))</f>
        <v/>
      </c>
      <c r="Q326" s="31" t="str">
        <f>IF(P326=1,IFERROR(INDEX($L$18:$L$379,MATCH(1,INDEX(($A$18:$A$379=A326)*(IFERROR($B$18:$B$379&gt;=E326-30,0))*(IFERROR($B$18:$B$379&lt;=E326+30,0))*($G$18:$G$379&gt;0)*($L$18:$L$379&lt;&gt;L326),0),0)),IFERROR(INDEX($L$381:$L$498,MATCH(1,INDEX(($A$381:$A$498=A326)*(IFERROR($B$381:$B$498&gt;=E326-30,0))*(IFERROR($B$381:$B$498&lt;=E326+30,0))*($G$381:$G$498&gt;0)*($L$381:$L$498&lt;&gt;L326),0),0)),"")),"")</f>
        <v/>
      </c>
      <c r="R326" s="32"/>
      <c r="S326" s="31" t="str">
        <f>IF(R326&lt;&gt;"",R326,Q326)</f>
        <v/>
      </c>
      <c r="T326" s="63">
        <f>IF(OR(N326="",O326=0),0,N326*O326)</f>
        <v>0</v>
      </c>
      <c r="U326" s="63">
        <f>IF(COUNTIF($S$18:$S$498,L326)=0,"",SUMIF($S$18:$S$498,L326,$T$18:$T$498))</f>
        <v>0</v>
      </c>
      <c r="V326" s="63" t="str">
        <f>IF(H326="","",IFERROR(H326+U326,H326))</f>
        <v/>
      </c>
      <c r="W326" s="63" t="str">
        <f>IF(OR(V326="",C326=""),"",V326/C326)</f>
        <v/>
      </c>
      <c r="X326" s="11" t="str">
        <f>IF(A326="","",IF(AND(U326&lt;&gt;"",U326&lt;&gt;0,M326=0),"Replacement lot receiving wash basis",IF(J326="","",IF(J326&gt;=0,"",IF(O326=0,"No replacement buy found",IF(P326&gt;1,"Manual selection needed","Auto matched"))))))</f>
        <v/>
      </c>
      <c r="Z326" t="str">
        <f>IF(K326="Yes",COUNTIF($K$18:K326,"Yes"),"")</f>
        <v/>
      </c>
    </row>
    <row r="327" spans="1:26" ht="34.15" customHeight="1" x14ac:dyDescent="0.2">
      <c r="A327" s="9"/>
      <c r="B327" s="69"/>
      <c r="C327" s="30"/>
      <c r="D327" s="70"/>
      <c r="E327" s="69"/>
      <c r="F327" s="70"/>
      <c r="G327" s="30"/>
      <c r="H327" s="63" t="str">
        <f>IF(OR(C327="",D327=""),"",C327*D327)</f>
        <v/>
      </c>
      <c r="I327" s="63" t="str">
        <f>IF(OR(E327="",F327="",M327&lt;=0),"",M327*F327)</f>
        <v/>
      </c>
      <c r="J327" s="63" t="str">
        <f>IF(I327="","",I327-(M327*D327))</f>
        <v/>
      </c>
      <c r="K327" s="28" t="str">
        <f>IF(A327="","",IF(T327&gt;0,"Yes","No"))</f>
        <v/>
      </c>
      <c r="L327" s="28" t="str">
        <f>IF(A327="","",A327&amp;"-"&amp;TEXT(B327,"yyyymmdd")&amp;"-R"&amp;ROW())</f>
        <v/>
      </c>
      <c r="M327" s="28" t="str">
        <f>IF(OR(C327="",G327=""),"",C327-G327)</f>
        <v/>
      </c>
      <c r="N327" s="63" t="str">
        <f>IF(OR(M327&lt;=0,J327&gt;=0),"",ABS(J327)/M327)</f>
        <v/>
      </c>
      <c r="O327" s="63" t="str">
        <f>IF(OR(A327="",M327&lt;=0,J327&gt;=0),"",MIN(M327,SUMPRODUCT(($A$18:$A$379=A327)*(IFERROR($B$18:$B$379&gt;=E327-30,0))*(IFERROR($B$18:$B$379&lt;=E327+30,0))*($G$18:$G$379&gt;0)*($L$18:$L$379&lt;&gt;L327)*($G$18:$G$379))+SUMPRODUCT(($A$381:$A$498=A327)*(IFERROR($B$381:$B$498&gt;=E327-30,0))*(IFERROR($B$381:$B$498&lt;=E327+30,0))*($G$381:$G$498&gt;0)*($L$381:$L$498&lt;&gt;L327)*($G$381:$G$498))))</f>
        <v/>
      </c>
      <c r="P327" s="28" t="str">
        <f>IF(OR(A327="",M327&lt;=0,J327&gt;=0),"",SUMPRODUCT(($A$18:$A$379=A327)*(IFERROR($B$18:$B$379&gt;=E327-30,0))*(IFERROR($B$18:$B$379&lt;=E327+30,0))*($G$18:$G$379&gt;0)*($L$18:$L$379&lt;&gt;L327))+SUMPRODUCT(($A$381:$A$498=A327)*(IFERROR($B$381:$B$498&gt;=E327-30,0))*(IFERROR($B$381:$B$498&lt;=E327+30,0))*($G$381:$G$498&gt;0)*($L$381:$L$498&lt;&gt;L327)))</f>
        <v/>
      </c>
      <c r="Q327" s="31" t="str">
        <f>IF(P327=1,IFERROR(INDEX($L$18:$L$379,MATCH(1,INDEX(($A$18:$A$379=A327)*(IFERROR($B$18:$B$379&gt;=E327-30,0))*(IFERROR($B$18:$B$379&lt;=E327+30,0))*($G$18:$G$379&gt;0)*($L$18:$L$379&lt;&gt;L327),0),0)),IFERROR(INDEX($L$381:$L$498,MATCH(1,INDEX(($A$381:$A$498=A327)*(IFERROR($B$381:$B$498&gt;=E327-30,0))*(IFERROR($B$381:$B$498&lt;=E327+30,0))*($G$381:$G$498&gt;0)*($L$381:$L$498&lt;&gt;L327),0),0)),"")),"")</f>
        <v/>
      </c>
      <c r="R327" s="32"/>
      <c r="S327" s="31" t="str">
        <f>IF(R327&lt;&gt;"",R327,Q327)</f>
        <v/>
      </c>
      <c r="T327" s="63">
        <f>IF(OR(N327="",O327=0),0,N327*O327)</f>
        <v>0</v>
      </c>
      <c r="U327" s="63">
        <f>IF(COUNTIF($S$18:$S$498,L327)=0,"",SUMIF($S$18:$S$498,L327,$T$18:$T$498))</f>
        <v>0</v>
      </c>
      <c r="V327" s="63" t="str">
        <f>IF(H327="","",IFERROR(H327+U327,H327))</f>
        <v/>
      </c>
      <c r="W327" s="63" t="str">
        <f>IF(OR(V327="",C327=""),"",V327/C327)</f>
        <v/>
      </c>
      <c r="X327" s="11" t="str">
        <f>IF(A327="","",IF(AND(U327&lt;&gt;"",U327&lt;&gt;0,M327=0),"Replacement lot receiving wash basis",IF(J327="","",IF(J327&gt;=0,"",IF(O327=0,"No replacement buy found",IF(P327&gt;1,"Manual selection needed","Auto matched"))))))</f>
        <v/>
      </c>
      <c r="Z327" t="str">
        <f>IF(K327="Yes",COUNTIF($K$18:K327,"Yes"),"")</f>
        <v/>
      </c>
    </row>
    <row r="328" spans="1:26" ht="34.15" customHeight="1" x14ac:dyDescent="0.2">
      <c r="A328" s="9"/>
      <c r="B328" s="69"/>
      <c r="C328" s="30"/>
      <c r="D328" s="70"/>
      <c r="E328" s="69"/>
      <c r="F328" s="70"/>
      <c r="G328" s="30"/>
      <c r="H328" s="63" t="str">
        <f>IF(OR(C328="",D328=""),"",C328*D328)</f>
        <v/>
      </c>
      <c r="I328" s="63" t="str">
        <f>IF(OR(E328="",F328="",M328&lt;=0),"",M328*F328)</f>
        <v/>
      </c>
      <c r="J328" s="63" t="str">
        <f>IF(I328="","",I328-(M328*D328))</f>
        <v/>
      </c>
      <c r="K328" s="28" t="str">
        <f>IF(A328="","",IF(T328&gt;0,"Yes","No"))</f>
        <v/>
      </c>
      <c r="L328" s="28" t="str">
        <f>IF(A328="","",A328&amp;"-"&amp;TEXT(B328,"yyyymmdd")&amp;"-R"&amp;ROW())</f>
        <v/>
      </c>
      <c r="M328" s="28" t="str">
        <f>IF(OR(C328="",G328=""),"",C328-G328)</f>
        <v/>
      </c>
      <c r="N328" s="63" t="str">
        <f>IF(OR(M328&lt;=0,J328&gt;=0),"",ABS(J328)/M328)</f>
        <v/>
      </c>
      <c r="O328" s="63" t="str">
        <f>IF(OR(A328="",M328&lt;=0,J328&gt;=0),"",MIN(M328,SUMPRODUCT(($A$18:$A$379=A328)*(IFERROR($B$18:$B$379&gt;=E328-30,0))*(IFERROR($B$18:$B$379&lt;=E328+30,0))*($G$18:$G$379&gt;0)*($L$18:$L$379&lt;&gt;L328)*($G$18:$G$379))+SUMPRODUCT(($A$381:$A$498=A328)*(IFERROR($B$381:$B$498&gt;=E328-30,0))*(IFERROR($B$381:$B$498&lt;=E328+30,0))*($G$381:$G$498&gt;0)*($L$381:$L$498&lt;&gt;L328)*($G$381:$G$498))))</f>
        <v/>
      </c>
      <c r="P328" s="28" t="str">
        <f>IF(OR(A328="",M328&lt;=0,J328&gt;=0),"",SUMPRODUCT(($A$18:$A$379=A328)*(IFERROR($B$18:$B$379&gt;=E328-30,0))*(IFERROR($B$18:$B$379&lt;=E328+30,0))*($G$18:$G$379&gt;0)*($L$18:$L$379&lt;&gt;L328))+SUMPRODUCT(($A$381:$A$498=A328)*(IFERROR($B$381:$B$498&gt;=E328-30,0))*(IFERROR($B$381:$B$498&lt;=E328+30,0))*($G$381:$G$498&gt;0)*($L$381:$L$498&lt;&gt;L328)))</f>
        <v/>
      </c>
      <c r="Q328" s="31" t="str">
        <f>IF(P328=1,IFERROR(INDEX($L$18:$L$379,MATCH(1,INDEX(($A$18:$A$379=A328)*(IFERROR($B$18:$B$379&gt;=E328-30,0))*(IFERROR($B$18:$B$379&lt;=E328+30,0))*($G$18:$G$379&gt;0)*($L$18:$L$379&lt;&gt;L328),0),0)),IFERROR(INDEX($L$381:$L$498,MATCH(1,INDEX(($A$381:$A$498=A328)*(IFERROR($B$381:$B$498&gt;=E328-30,0))*(IFERROR($B$381:$B$498&lt;=E328+30,0))*($G$381:$G$498&gt;0)*($L$381:$L$498&lt;&gt;L328),0),0)),"")),"")</f>
        <v/>
      </c>
      <c r="R328" s="32"/>
      <c r="S328" s="31" t="str">
        <f>IF(R328&lt;&gt;"",R328,Q328)</f>
        <v/>
      </c>
      <c r="T328" s="63">
        <f>IF(OR(N328="",O328=0),0,N328*O328)</f>
        <v>0</v>
      </c>
      <c r="U328" s="63">
        <f>IF(COUNTIF($S$18:$S$498,L328)=0,"",SUMIF($S$18:$S$498,L328,$T$18:$T$498))</f>
        <v>0</v>
      </c>
      <c r="V328" s="63" t="str">
        <f>IF(H328="","",IFERROR(H328+U328,H328))</f>
        <v/>
      </c>
      <c r="W328" s="63" t="str">
        <f>IF(OR(V328="",C328=""),"",V328/C328)</f>
        <v/>
      </c>
      <c r="X328" s="11" t="str">
        <f>IF(A328="","",IF(AND(U328&lt;&gt;"",U328&lt;&gt;0,M328=0),"Replacement lot receiving wash basis",IF(J328="","",IF(J328&gt;=0,"",IF(O328=0,"No replacement buy found",IF(P328&gt;1,"Manual selection needed","Auto matched"))))))</f>
        <v/>
      </c>
      <c r="Z328" t="str">
        <f>IF(K328="Yes",COUNTIF($K$18:K328,"Yes"),"")</f>
        <v/>
      </c>
    </row>
    <row r="329" spans="1:26" ht="34.15" customHeight="1" x14ac:dyDescent="0.2">
      <c r="A329" s="9"/>
      <c r="B329" s="69"/>
      <c r="C329" s="30"/>
      <c r="D329" s="70"/>
      <c r="E329" s="69"/>
      <c r="F329" s="70"/>
      <c r="G329" s="30"/>
      <c r="H329" s="63" t="str">
        <f>IF(OR(C329="",D329=""),"",C329*D329)</f>
        <v/>
      </c>
      <c r="I329" s="63" t="str">
        <f>IF(OR(E329="",F329="",M329&lt;=0),"",M329*F329)</f>
        <v/>
      </c>
      <c r="J329" s="63" t="str">
        <f>IF(I329="","",I329-(M329*D329))</f>
        <v/>
      </c>
      <c r="K329" s="28" t="str">
        <f>IF(A329="","",IF(T329&gt;0,"Yes","No"))</f>
        <v/>
      </c>
      <c r="L329" s="28" t="str">
        <f>IF(A329="","",A329&amp;"-"&amp;TEXT(B329,"yyyymmdd")&amp;"-R"&amp;ROW())</f>
        <v/>
      </c>
      <c r="M329" s="28" t="str">
        <f>IF(OR(C329="",G329=""),"",C329-G329)</f>
        <v/>
      </c>
      <c r="N329" s="63" t="str">
        <f>IF(OR(M329&lt;=0,J329&gt;=0),"",ABS(J329)/M329)</f>
        <v/>
      </c>
      <c r="O329" s="63" t="str">
        <f>IF(OR(A329="",M329&lt;=0,J329&gt;=0),"",MIN(M329,SUMPRODUCT(($A$18:$A$379=A329)*(IFERROR($B$18:$B$379&gt;=E329-30,0))*(IFERROR($B$18:$B$379&lt;=E329+30,0))*($G$18:$G$379&gt;0)*($L$18:$L$379&lt;&gt;L329)*($G$18:$G$379))+SUMPRODUCT(($A$381:$A$498=A329)*(IFERROR($B$381:$B$498&gt;=E329-30,0))*(IFERROR($B$381:$B$498&lt;=E329+30,0))*($G$381:$G$498&gt;0)*($L$381:$L$498&lt;&gt;L329)*($G$381:$G$498))))</f>
        <v/>
      </c>
      <c r="P329" s="28" t="str">
        <f>IF(OR(A329="",M329&lt;=0,J329&gt;=0),"",SUMPRODUCT(($A$18:$A$379=A329)*(IFERROR($B$18:$B$379&gt;=E329-30,0))*(IFERROR($B$18:$B$379&lt;=E329+30,0))*($G$18:$G$379&gt;0)*($L$18:$L$379&lt;&gt;L329))+SUMPRODUCT(($A$381:$A$498=A329)*(IFERROR($B$381:$B$498&gt;=E329-30,0))*(IFERROR($B$381:$B$498&lt;=E329+30,0))*($G$381:$G$498&gt;0)*($L$381:$L$498&lt;&gt;L329)))</f>
        <v/>
      </c>
      <c r="Q329" s="31" t="str">
        <f>IF(P329=1,IFERROR(INDEX($L$18:$L$379,MATCH(1,INDEX(($A$18:$A$379=A329)*(IFERROR($B$18:$B$379&gt;=E329-30,0))*(IFERROR($B$18:$B$379&lt;=E329+30,0))*($G$18:$G$379&gt;0)*($L$18:$L$379&lt;&gt;L329),0),0)),IFERROR(INDEX($L$381:$L$498,MATCH(1,INDEX(($A$381:$A$498=A329)*(IFERROR($B$381:$B$498&gt;=E329-30,0))*(IFERROR($B$381:$B$498&lt;=E329+30,0))*($G$381:$G$498&gt;0)*($L$381:$L$498&lt;&gt;L329),0),0)),"")),"")</f>
        <v/>
      </c>
      <c r="R329" s="32"/>
      <c r="S329" s="31" t="str">
        <f>IF(R329&lt;&gt;"",R329,Q329)</f>
        <v/>
      </c>
      <c r="T329" s="63">
        <f>IF(OR(N329="",O329=0),0,N329*O329)</f>
        <v>0</v>
      </c>
      <c r="U329" s="63">
        <f>IF(COUNTIF($S$18:$S$498,L329)=0,"",SUMIF($S$18:$S$498,L329,$T$18:$T$498))</f>
        <v>0</v>
      </c>
      <c r="V329" s="63" t="str">
        <f>IF(H329="","",IFERROR(H329+U329,H329))</f>
        <v/>
      </c>
      <c r="W329" s="63" t="str">
        <f>IF(OR(V329="",C329=""),"",V329/C329)</f>
        <v/>
      </c>
      <c r="X329" s="11" t="str">
        <f>IF(A329="","",IF(AND(U329&lt;&gt;"",U329&lt;&gt;0,M329=0),"Replacement lot receiving wash basis",IF(J329="","",IF(J329&gt;=0,"",IF(O329=0,"No replacement buy found",IF(P329&gt;1,"Manual selection needed","Auto matched"))))))</f>
        <v/>
      </c>
      <c r="Z329" t="str">
        <f>IF(K329="Yes",COUNTIF($K$18:K329,"Yes"),"")</f>
        <v/>
      </c>
    </row>
    <row r="330" spans="1:26" ht="34.15" customHeight="1" x14ac:dyDescent="0.2">
      <c r="A330" s="9"/>
      <c r="B330" s="69"/>
      <c r="C330" s="30"/>
      <c r="D330" s="70"/>
      <c r="E330" s="69"/>
      <c r="F330" s="70"/>
      <c r="G330" s="30"/>
      <c r="H330" s="63" t="str">
        <f>IF(OR(C330="",D330=""),"",C330*D330)</f>
        <v/>
      </c>
      <c r="I330" s="63" t="str">
        <f>IF(OR(E330="",F330="",M330&lt;=0),"",M330*F330)</f>
        <v/>
      </c>
      <c r="J330" s="63" t="str">
        <f>IF(I330="","",I330-(M330*D330))</f>
        <v/>
      </c>
      <c r="K330" s="28" t="str">
        <f>IF(A330="","",IF(T330&gt;0,"Yes","No"))</f>
        <v/>
      </c>
      <c r="L330" s="28" t="str">
        <f>IF(A330="","",A330&amp;"-"&amp;TEXT(B330,"yyyymmdd")&amp;"-R"&amp;ROW())</f>
        <v/>
      </c>
      <c r="M330" s="28" t="str">
        <f>IF(OR(C330="",G330=""),"",C330-G330)</f>
        <v/>
      </c>
      <c r="N330" s="63" t="str">
        <f>IF(OR(M330&lt;=0,J330&gt;=0),"",ABS(J330)/M330)</f>
        <v/>
      </c>
      <c r="O330" s="63" t="str">
        <f>IF(OR(A330="",M330&lt;=0,J330&gt;=0),"",MIN(M330,SUMPRODUCT(($A$18:$A$379=A330)*(IFERROR($B$18:$B$379&gt;=E330-30,0))*(IFERROR($B$18:$B$379&lt;=E330+30,0))*($G$18:$G$379&gt;0)*($L$18:$L$379&lt;&gt;L330)*($G$18:$G$379))+SUMPRODUCT(($A$381:$A$498=A330)*(IFERROR($B$381:$B$498&gt;=E330-30,0))*(IFERROR($B$381:$B$498&lt;=E330+30,0))*($G$381:$G$498&gt;0)*($L$381:$L$498&lt;&gt;L330)*($G$381:$G$498))))</f>
        <v/>
      </c>
      <c r="P330" s="28" t="str">
        <f>IF(OR(A330="",M330&lt;=0,J330&gt;=0),"",SUMPRODUCT(($A$18:$A$379=A330)*(IFERROR($B$18:$B$379&gt;=E330-30,0))*(IFERROR($B$18:$B$379&lt;=E330+30,0))*($G$18:$G$379&gt;0)*($L$18:$L$379&lt;&gt;L330))+SUMPRODUCT(($A$381:$A$498=A330)*(IFERROR($B$381:$B$498&gt;=E330-30,0))*(IFERROR($B$381:$B$498&lt;=E330+30,0))*($G$381:$G$498&gt;0)*($L$381:$L$498&lt;&gt;L330)))</f>
        <v/>
      </c>
      <c r="Q330" s="31" t="str">
        <f>IF(P330=1,IFERROR(INDEX($L$18:$L$379,MATCH(1,INDEX(($A$18:$A$379=A330)*(IFERROR($B$18:$B$379&gt;=E330-30,0))*(IFERROR($B$18:$B$379&lt;=E330+30,0))*($G$18:$G$379&gt;0)*($L$18:$L$379&lt;&gt;L330),0),0)),IFERROR(INDEX($L$381:$L$498,MATCH(1,INDEX(($A$381:$A$498=A330)*(IFERROR($B$381:$B$498&gt;=E330-30,0))*(IFERROR($B$381:$B$498&lt;=E330+30,0))*($G$381:$G$498&gt;0)*($L$381:$L$498&lt;&gt;L330),0),0)),"")),"")</f>
        <v/>
      </c>
      <c r="R330" s="32"/>
      <c r="S330" s="31" t="str">
        <f>IF(R330&lt;&gt;"",R330,Q330)</f>
        <v/>
      </c>
      <c r="T330" s="63">
        <f>IF(OR(N330="",O330=0),0,N330*O330)</f>
        <v>0</v>
      </c>
      <c r="U330" s="63">
        <f>IF(COUNTIF($S$18:$S$498,L330)=0,"",SUMIF($S$18:$S$498,L330,$T$18:$T$498))</f>
        <v>0</v>
      </c>
      <c r="V330" s="63" t="str">
        <f>IF(H330="","",IFERROR(H330+U330,H330))</f>
        <v/>
      </c>
      <c r="W330" s="63" t="str">
        <f>IF(OR(V330="",C330=""),"",V330/C330)</f>
        <v/>
      </c>
      <c r="X330" s="11" t="str">
        <f>IF(A330="","",IF(AND(U330&lt;&gt;"",U330&lt;&gt;0,M330=0),"Replacement lot receiving wash basis",IF(J330="","",IF(J330&gt;=0,"",IF(O330=0,"No replacement buy found",IF(P330&gt;1,"Manual selection needed","Auto matched"))))))</f>
        <v/>
      </c>
      <c r="Z330" t="str">
        <f>IF(K330="Yes",COUNTIF($K$18:K330,"Yes"),"")</f>
        <v/>
      </c>
    </row>
    <row r="331" spans="1:26" ht="34.15" customHeight="1" x14ac:dyDescent="0.2">
      <c r="A331" s="9"/>
      <c r="B331" s="69"/>
      <c r="C331" s="30"/>
      <c r="D331" s="70"/>
      <c r="E331" s="69"/>
      <c r="F331" s="70"/>
      <c r="G331" s="30"/>
      <c r="H331" s="63" t="str">
        <f>IF(OR(C331="",D331=""),"",C331*D331)</f>
        <v/>
      </c>
      <c r="I331" s="63" t="str">
        <f>IF(OR(E331="",F331="",M331&lt;=0),"",M331*F331)</f>
        <v/>
      </c>
      <c r="J331" s="63" t="str">
        <f>IF(I331="","",I331-(M331*D331))</f>
        <v/>
      </c>
      <c r="K331" s="28" t="str">
        <f>IF(A331="","",IF(T331&gt;0,"Yes","No"))</f>
        <v/>
      </c>
      <c r="L331" s="28" t="str">
        <f>IF(A331="","",A331&amp;"-"&amp;TEXT(B331,"yyyymmdd")&amp;"-R"&amp;ROW())</f>
        <v/>
      </c>
      <c r="M331" s="28" t="str">
        <f>IF(OR(C331="",G331=""),"",C331-G331)</f>
        <v/>
      </c>
      <c r="N331" s="63" t="str">
        <f>IF(OR(M331&lt;=0,J331&gt;=0),"",ABS(J331)/M331)</f>
        <v/>
      </c>
      <c r="O331" s="63" t="str">
        <f>IF(OR(A331="",M331&lt;=0,J331&gt;=0),"",MIN(M331,SUMPRODUCT(($A$18:$A$379=A331)*(IFERROR($B$18:$B$379&gt;=E331-30,0))*(IFERROR($B$18:$B$379&lt;=E331+30,0))*($G$18:$G$379&gt;0)*($L$18:$L$379&lt;&gt;L331)*($G$18:$G$379))+SUMPRODUCT(($A$381:$A$498=A331)*(IFERROR($B$381:$B$498&gt;=E331-30,0))*(IFERROR($B$381:$B$498&lt;=E331+30,0))*($G$381:$G$498&gt;0)*($L$381:$L$498&lt;&gt;L331)*($G$381:$G$498))))</f>
        <v/>
      </c>
      <c r="P331" s="28" t="str">
        <f>IF(OR(A331="",M331&lt;=0,J331&gt;=0),"",SUMPRODUCT(($A$18:$A$379=A331)*(IFERROR($B$18:$B$379&gt;=E331-30,0))*(IFERROR($B$18:$B$379&lt;=E331+30,0))*($G$18:$G$379&gt;0)*($L$18:$L$379&lt;&gt;L331))+SUMPRODUCT(($A$381:$A$498=A331)*(IFERROR($B$381:$B$498&gt;=E331-30,0))*(IFERROR($B$381:$B$498&lt;=E331+30,0))*($G$381:$G$498&gt;0)*($L$381:$L$498&lt;&gt;L331)))</f>
        <v/>
      </c>
      <c r="Q331" s="31" t="str">
        <f>IF(P331=1,IFERROR(INDEX($L$18:$L$379,MATCH(1,INDEX(($A$18:$A$379=A331)*(IFERROR($B$18:$B$379&gt;=E331-30,0))*(IFERROR($B$18:$B$379&lt;=E331+30,0))*($G$18:$G$379&gt;0)*($L$18:$L$379&lt;&gt;L331),0),0)),IFERROR(INDEX($L$381:$L$498,MATCH(1,INDEX(($A$381:$A$498=A331)*(IFERROR($B$381:$B$498&gt;=E331-30,0))*(IFERROR($B$381:$B$498&lt;=E331+30,0))*($G$381:$G$498&gt;0)*($L$381:$L$498&lt;&gt;L331),0),0)),"")),"")</f>
        <v/>
      </c>
      <c r="R331" s="32"/>
      <c r="S331" s="31" t="str">
        <f>IF(R331&lt;&gt;"",R331,Q331)</f>
        <v/>
      </c>
      <c r="T331" s="63">
        <f>IF(OR(N331="",O331=0),0,N331*O331)</f>
        <v>0</v>
      </c>
      <c r="U331" s="63">
        <f>IF(COUNTIF($S$18:$S$498,L331)=0,"",SUMIF($S$18:$S$498,L331,$T$18:$T$498))</f>
        <v>0</v>
      </c>
      <c r="V331" s="63" t="str">
        <f>IF(H331="","",IFERROR(H331+U331,H331))</f>
        <v/>
      </c>
      <c r="W331" s="63" t="str">
        <f>IF(OR(V331="",C331=""),"",V331/C331)</f>
        <v/>
      </c>
      <c r="X331" s="11" t="str">
        <f>IF(A331="","",IF(AND(U331&lt;&gt;"",U331&lt;&gt;0,M331=0),"Replacement lot receiving wash basis",IF(J331="","",IF(J331&gt;=0,"",IF(O331=0,"No replacement buy found",IF(P331&gt;1,"Manual selection needed","Auto matched"))))))</f>
        <v/>
      </c>
      <c r="Z331" t="str">
        <f>IF(K331="Yes",COUNTIF($K$18:K331,"Yes"),"")</f>
        <v/>
      </c>
    </row>
    <row r="332" spans="1:26" ht="34.15" customHeight="1" x14ac:dyDescent="0.2">
      <c r="A332" s="9"/>
      <c r="B332" s="69"/>
      <c r="C332" s="30"/>
      <c r="D332" s="70"/>
      <c r="E332" s="69"/>
      <c r="F332" s="70"/>
      <c r="G332" s="30"/>
      <c r="H332" s="63" t="str">
        <f>IF(OR(C332="",D332=""),"",C332*D332)</f>
        <v/>
      </c>
      <c r="I332" s="63" t="str">
        <f>IF(OR(E332="",F332="",M332&lt;=0),"",M332*F332)</f>
        <v/>
      </c>
      <c r="J332" s="63" t="str">
        <f>IF(I332="","",I332-(M332*D332))</f>
        <v/>
      </c>
      <c r="K332" s="28" t="str">
        <f>IF(A332="","",IF(T332&gt;0,"Yes","No"))</f>
        <v/>
      </c>
      <c r="L332" s="28" t="str">
        <f>IF(A332="","",A332&amp;"-"&amp;TEXT(B332,"yyyymmdd")&amp;"-R"&amp;ROW())</f>
        <v/>
      </c>
      <c r="M332" s="28" t="str">
        <f>IF(OR(C332="",G332=""),"",C332-G332)</f>
        <v/>
      </c>
      <c r="N332" s="63" t="str">
        <f>IF(OR(M332&lt;=0,J332&gt;=0),"",ABS(J332)/M332)</f>
        <v/>
      </c>
      <c r="O332" s="63" t="str">
        <f>IF(OR(A332="",M332&lt;=0,J332&gt;=0),"",MIN(M332,SUMPRODUCT(($A$18:$A$379=A332)*(IFERROR($B$18:$B$379&gt;=E332-30,0))*(IFERROR($B$18:$B$379&lt;=E332+30,0))*($G$18:$G$379&gt;0)*($L$18:$L$379&lt;&gt;L332)*($G$18:$G$379))+SUMPRODUCT(($A$381:$A$498=A332)*(IFERROR($B$381:$B$498&gt;=E332-30,0))*(IFERROR($B$381:$B$498&lt;=E332+30,0))*($G$381:$G$498&gt;0)*($L$381:$L$498&lt;&gt;L332)*($G$381:$G$498))))</f>
        <v/>
      </c>
      <c r="P332" s="28" t="str">
        <f>IF(OR(A332="",M332&lt;=0,J332&gt;=0),"",SUMPRODUCT(($A$18:$A$379=A332)*(IFERROR($B$18:$B$379&gt;=E332-30,0))*(IFERROR($B$18:$B$379&lt;=E332+30,0))*($G$18:$G$379&gt;0)*($L$18:$L$379&lt;&gt;L332))+SUMPRODUCT(($A$381:$A$498=A332)*(IFERROR($B$381:$B$498&gt;=E332-30,0))*(IFERROR($B$381:$B$498&lt;=E332+30,0))*($G$381:$G$498&gt;0)*($L$381:$L$498&lt;&gt;L332)))</f>
        <v/>
      </c>
      <c r="Q332" s="31" t="str">
        <f>IF(P332=1,IFERROR(INDEX($L$18:$L$379,MATCH(1,INDEX(($A$18:$A$379=A332)*(IFERROR($B$18:$B$379&gt;=E332-30,0))*(IFERROR($B$18:$B$379&lt;=E332+30,0))*($G$18:$G$379&gt;0)*($L$18:$L$379&lt;&gt;L332),0),0)),IFERROR(INDEX($L$381:$L$498,MATCH(1,INDEX(($A$381:$A$498=A332)*(IFERROR($B$381:$B$498&gt;=E332-30,0))*(IFERROR($B$381:$B$498&lt;=E332+30,0))*($G$381:$G$498&gt;0)*($L$381:$L$498&lt;&gt;L332),0),0)),"")),"")</f>
        <v/>
      </c>
      <c r="R332" s="32"/>
      <c r="S332" s="31" t="str">
        <f>IF(R332&lt;&gt;"",R332,Q332)</f>
        <v/>
      </c>
      <c r="T332" s="63">
        <f>IF(OR(N332="",O332=0),0,N332*O332)</f>
        <v>0</v>
      </c>
      <c r="U332" s="63">
        <f>IF(COUNTIF($S$18:$S$498,L332)=0,"",SUMIF($S$18:$S$498,L332,$T$18:$T$498))</f>
        <v>0</v>
      </c>
      <c r="V332" s="63" t="str">
        <f>IF(H332="","",IFERROR(H332+U332,H332))</f>
        <v/>
      </c>
      <c r="W332" s="63" t="str">
        <f>IF(OR(V332="",C332=""),"",V332/C332)</f>
        <v/>
      </c>
      <c r="X332" s="11" t="str">
        <f>IF(A332="","",IF(AND(U332&lt;&gt;"",U332&lt;&gt;0,M332=0),"Replacement lot receiving wash basis",IF(J332="","",IF(J332&gt;=0,"",IF(O332=0,"No replacement buy found",IF(P332&gt;1,"Manual selection needed","Auto matched"))))))</f>
        <v/>
      </c>
      <c r="Z332" t="str">
        <f>IF(K332="Yes",COUNTIF($K$18:K332,"Yes"),"")</f>
        <v/>
      </c>
    </row>
    <row r="333" spans="1:26" ht="34.15" customHeight="1" x14ac:dyDescent="0.2">
      <c r="A333" s="9"/>
      <c r="B333" s="69"/>
      <c r="C333" s="30"/>
      <c r="D333" s="70"/>
      <c r="E333" s="69"/>
      <c r="F333" s="70"/>
      <c r="G333" s="30"/>
      <c r="H333" s="63" t="str">
        <f>IF(OR(C333="",D333=""),"",C333*D333)</f>
        <v/>
      </c>
      <c r="I333" s="63" t="str">
        <f>IF(OR(E333="",F333="",M333&lt;=0),"",M333*F333)</f>
        <v/>
      </c>
      <c r="J333" s="63" t="str">
        <f>IF(I333="","",I333-(M333*D333))</f>
        <v/>
      </c>
      <c r="K333" s="28" t="str">
        <f>IF(A333="","",IF(T333&gt;0,"Yes","No"))</f>
        <v/>
      </c>
      <c r="L333" s="28" t="str">
        <f>IF(A333="","",A333&amp;"-"&amp;TEXT(B333,"yyyymmdd")&amp;"-R"&amp;ROW())</f>
        <v/>
      </c>
      <c r="M333" s="28" t="str">
        <f>IF(OR(C333="",G333=""),"",C333-G333)</f>
        <v/>
      </c>
      <c r="N333" s="63" t="str">
        <f>IF(OR(M333&lt;=0,J333&gt;=0),"",ABS(J333)/M333)</f>
        <v/>
      </c>
      <c r="O333" s="63" t="str">
        <f>IF(OR(A333="",M333&lt;=0,J333&gt;=0),"",MIN(M333,SUMPRODUCT(($A$18:$A$379=A333)*(IFERROR($B$18:$B$379&gt;=E333-30,0))*(IFERROR($B$18:$B$379&lt;=E333+30,0))*($G$18:$G$379&gt;0)*($L$18:$L$379&lt;&gt;L333)*($G$18:$G$379))+SUMPRODUCT(($A$381:$A$498=A333)*(IFERROR($B$381:$B$498&gt;=E333-30,0))*(IFERROR($B$381:$B$498&lt;=E333+30,0))*($G$381:$G$498&gt;0)*($L$381:$L$498&lt;&gt;L333)*($G$381:$G$498))))</f>
        <v/>
      </c>
      <c r="P333" s="28" t="str">
        <f>IF(OR(A333="",M333&lt;=0,J333&gt;=0),"",SUMPRODUCT(($A$18:$A$379=A333)*(IFERROR($B$18:$B$379&gt;=E333-30,0))*(IFERROR($B$18:$B$379&lt;=E333+30,0))*($G$18:$G$379&gt;0)*($L$18:$L$379&lt;&gt;L333))+SUMPRODUCT(($A$381:$A$498=A333)*(IFERROR($B$381:$B$498&gt;=E333-30,0))*(IFERROR($B$381:$B$498&lt;=E333+30,0))*($G$381:$G$498&gt;0)*($L$381:$L$498&lt;&gt;L333)))</f>
        <v/>
      </c>
      <c r="Q333" s="31" t="str">
        <f>IF(P333=1,IFERROR(INDEX($L$18:$L$379,MATCH(1,INDEX(($A$18:$A$379=A333)*(IFERROR($B$18:$B$379&gt;=E333-30,0))*(IFERROR($B$18:$B$379&lt;=E333+30,0))*($G$18:$G$379&gt;0)*($L$18:$L$379&lt;&gt;L333),0),0)),IFERROR(INDEX($L$381:$L$498,MATCH(1,INDEX(($A$381:$A$498=A333)*(IFERROR($B$381:$B$498&gt;=E333-30,0))*(IFERROR($B$381:$B$498&lt;=E333+30,0))*($G$381:$G$498&gt;0)*($L$381:$L$498&lt;&gt;L333),0),0)),"")),"")</f>
        <v/>
      </c>
      <c r="R333" s="32"/>
      <c r="S333" s="31" t="str">
        <f>IF(R333&lt;&gt;"",R333,Q333)</f>
        <v/>
      </c>
      <c r="T333" s="63">
        <f>IF(OR(N333="",O333=0),0,N333*O333)</f>
        <v>0</v>
      </c>
      <c r="U333" s="63">
        <f>IF(COUNTIF($S$18:$S$498,L333)=0,"",SUMIF($S$18:$S$498,L333,$T$18:$T$498))</f>
        <v>0</v>
      </c>
      <c r="V333" s="63" t="str">
        <f>IF(H333="","",IFERROR(H333+U333,H333))</f>
        <v/>
      </c>
      <c r="W333" s="63" t="str">
        <f>IF(OR(V333="",C333=""),"",V333/C333)</f>
        <v/>
      </c>
      <c r="X333" s="11" t="str">
        <f>IF(A333="","",IF(AND(U333&lt;&gt;"",U333&lt;&gt;0,M333=0),"Replacement lot receiving wash basis",IF(J333="","",IF(J333&gt;=0,"",IF(O333=0,"No replacement buy found",IF(P333&gt;1,"Manual selection needed","Auto matched"))))))</f>
        <v/>
      </c>
      <c r="Z333" t="str">
        <f>IF(K333="Yes",COUNTIF($K$18:K333,"Yes"),"")</f>
        <v/>
      </c>
    </row>
    <row r="334" spans="1:26" ht="34.15" customHeight="1" x14ac:dyDescent="0.2">
      <c r="A334" s="9"/>
      <c r="B334" s="69"/>
      <c r="C334" s="30"/>
      <c r="D334" s="70"/>
      <c r="E334" s="69"/>
      <c r="F334" s="70"/>
      <c r="G334" s="30"/>
      <c r="H334" s="63" t="str">
        <f>IF(OR(C334="",D334=""),"",C334*D334)</f>
        <v/>
      </c>
      <c r="I334" s="63" t="str">
        <f>IF(OR(E334="",F334="",M334&lt;=0),"",M334*F334)</f>
        <v/>
      </c>
      <c r="J334" s="63" t="str">
        <f>IF(I334="","",I334-(M334*D334))</f>
        <v/>
      </c>
      <c r="K334" s="28" t="str">
        <f>IF(A334="","",IF(T334&gt;0,"Yes","No"))</f>
        <v/>
      </c>
      <c r="L334" s="28" t="str">
        <f>IF(A334="","",A334&amp;"-"&amp;TEXT(B334,"yyyymmdd")&amp;"-R"&amp;ROW())</f>
        <v/>
      </c>
      <c r="M334" s="28" t="str">
        <f>IF(OR(C334="",G334=""),"",C334-G334)</f>
        <v/>
      </c>
      <c r="N334" s="63" t="str">
        <f>IF(OR(M334&lt;=0,J334&gt;=0),"",ABS(J334)/M334)</f>
        <v/>
      </c>
      <c r="O334" s="63" t="str">
        <f>IF(OR(A334="",M334&lt;=0,J334&gt;=0),"",MIN(M334,SUMPRODUCT(($A$18:$A$379=A334)*(IFERROR($B$18:$B$379&gt;=E334-30,0))*(IFERROR($B$18:$B$379&lt;=E334+30,0))*($G$18:$G$379&gt;0)*($L$18:$L$379&lt;&gt;L334)*($G$18:$G$379))+SUMPRODUCT(($A$381:$A$498=A334)*(IFERROR($B$381:$B$498&gt;=E334-30,0))*(IFERROR($B$381:$B$498&lt;=E334+30,0))*($G$381:$G$498&gt;0)*($L$381:$L$498&lt;&gt;L334)*($G$381:$G$498))))</f>
        <v/>
      </c>
      <c r="P334" s="28" t="str">
        <f>IF(OR(A334="",M334&lt;=0,J334&gt;=0),"",SUMPRODUCT(($A$18:$A$379=A334)*(IFERROR($B$18:$B$379&gt;=E334-30,0))*(IFERROR($B$18:$B$379&lt;=E334+30,0))*($G$18:$G$379&gt;0)*($L$18:$L$379&lt;&gt;L334))+SUMPRODUCT(($A$381:$A$498=A334)*(IFERROR($B$381:$B$498&gt;=E334-30,0))*(IFERROR($B$381:$B$498&lt;=E334+30,0))*($G$381:$G$498&gt;0)*($L$381:$L$498&lt;&gt;L334)))</f>
        <v/>
      </c>
      <c r="Q334" s="31" t="str">
        <f>IF(P334=1,IFERROR(INDEX($L$18:$L$379,MATCH(1,INDEX(($A$18:$A$379=A334)*(IFERROR($B$18:$B$379&gt;=E334-30,0))*(IFERROR($B$18:$B$379&lt;=E334+30,0))*($G$18:$G$379&gt;0)*($L$18:$L$379&lt;&gt;L334),0),0)),IFERROR(INDEX($L$381:$L$498,MATCH(1,INDEX(($A$381:$A$498=A334)*(IFERROR($B$381:$B$498&gt;=E334-30,0))*(IFERROR($B$381:$B$498&lt;=E334+30,0))*($G$381:$G$498&gt;0)*($L$381:$L$498&lt;&gt;L334),0),0)),"")),"")</f>
        <v/>
      </c>
      <c r="R334" s="32"/>
      <c r="S334" s="31" t="str">
        <f>IF(R334&lt;&gt;"",R334,Q334)</f>
        <v/>
      </c>
      <c r="T334" s="63">
        <f>IF(OR(N334="",O334=0),0,N334*O334)</f>
        <v>0</v>
      </c>
      <c r="U334" s="63">
        <f>IF(COUNTIF($S$18:$S$498,L334)=0,"",SUMIF($S$18:$S$498,L334,$T$18:$T$498))</f>
        <v>0</v>
      </c>
      <c r="V334" s="63" t="str">
        <f>IF(H334="","",IFERROR(H334+U334,H334))</f>
        <v/>
      </c>
      <c r="W334" s="63" t="str">
        <f>IF(OR(V334="",C334=""),"",V334/C334)</f>
        <v/>
      </c>
      <c r="X334" s="11" t="str">
        <f>IF(A334="","",IF(AND(U334&lt;&gt;"",U334&lt;&gt;0,M334=0),"Replacement lot receiving wash basis",IF(J334="","",IF(J334&gt;=0,"",IF(O334=0,"No replacement buy found",IF(P334&gt;1,"Manual selection needed","Auto matched"))))))</f>
        <v/>
      </c>
      <c r="Z334" t="str">
        <f>IF(K334="Yes",COUNTIF($K$18:K334,"Yes"),"")</f>
        <v/>
      </c>
    </row>
    <row r="335" spans="1:26" ht="34.15" customHeight="1" x14ac:dyDescent="0.2">
      <c r="A335" s="9"/>
      <c r="B335" s="69"/>
      <c r="C335" s="30"/>
      <c r="D335" s="70"/>
      <c r="E335" s="69"/>
      <c r="F335" s="70"/>
      <c r="G335" s="30"/>
      <c r="H335" s="63" t="str">
        <f>IF(OR(C335="",D335=""),"",C335*D335)</f>
        <v/>
      </c>
      <c r="I335" s="63" t="str">
        <f>IF(OR(E335="",F335="",M335&lt;=0),"",M335*F335)</f>
        <v/>
      </c>
      <c r="J335" s="63" t="str">
        <f>IF(I335="","",I335-(M335*D335))</f>
        <v/>
      </c>
      <c r="K335" s="28" t="str">
        <f>IF(A335="","",IF(T335&gt;0,"Yes","No"))</f>
        <v/>
      </c>
      <c r="L335" s="28" t="str">
        <f>IF(A335="","",A335&amp;"-"&amp;TEXT(B335,"yyyymmdd")&amp;"-R"&amp;ROW())</f>
        <v/>
      </c>
      <c r="M335" s="28" t="str">
        <f>IF(OR(C335="",G335=""),"",C335-G335)</f>
        <v/>
      </c>
      <c r="N335" s="63" t="str">
        <f>IF(OR(M335&lt;=0,J335&gt;=0),"",ABS(J335)/M335)</f>
        <v/>
      </c>
      <c r="O335" s="63" t="str">
        <f>IF(OR(A335="",M335&lt;=0,J335&gt;=0),"",MIN(M335,SUMPRODUCT(($A$18:$A$379=A335)*(IFERROR($B$18:$B$379&gt;=E335-30,0))*(IFERROR($B$18:$B$379&lt;=E335+30,0))*($G$18:$G$379&gt;0)*($L$18:$L$379&lt;&gt;L335)*($G$18:$G$379))+SUMPRODUCT(($A$381:$A$498=A335)*(IFERROR($B$381:$B$498&gt;=E335-30,0))*(IFERROR($B$381:$B$498&lt;=E335+30,0))*($G$381:$G$498&gt;0)*($L$381:$L$498&lt;&gt;L335)*($G$381:$G$498))))</f>
        <v/>
      </c>
      <c r="P335" s="28" t="str">
        <f>IF(OR(A335="",M335&lt;=0,J335&gt;=0),"",SUMPRODUCT(($A$18:$A$379=A335)*(IFERROR($B$18:$B$379&gt;=E335-30,0))*(IFERROR($B$18:$B$379&lt;=E335+30,0))*($G$18:$G$379&gt;0)*($L$18:$L$379&lt;&gt;L335))+SUMPRODUCT(($A$381:$A$498=A335)*(IFERROR($B$381:$B$498&gt;=E335-30,0))*(IFERROR($B$381:$B$498&lt;=E335+30,0))*($G$381:$G$498&gt;0)*($L$381:$L$498&lt;&gt;L335)))</f>
        <v/>
      </c>
      <c r="Q335" s="31" t="str">
        <f>IF(P335=1,IFERROR(INDEX($L$18:$L$379,MATCH(1,INDEX(($A$18:$A$379=A335)*(IFERROR($B$18:$B$379&gt;=E335-30,0))*(IFERROR($B$18:$B$379&lt;=E335+30,0))*($G$18:$G$379&gt;0)*($L$18:$L$379&lt;&gt;L335),0),0)),IFERROR(INDEX($L$381:$L$498,MATCH(1,INDEX(($A$381:$A$498=A335)*(IFERROR($B$381:$B$498&gt;=E335-30,0))*(IFERROR($B$381:$B$498&lt;=E335+30,0))*($G$381:$G$498&gt;0)*($L$381:$L$498&lt;&gt;L335),0),0)),"")),"")</f>
        <v/>
      </c>
      <c r="R335" s="32"/>
      <c r="S335" s="31" t="str">
        <f>IF(R335&lt;&gt;"",R335,Q335)</f>
        <v/>
      </c>
      <c r="T335" s="63">
        <f>IF(OR(N335="",O335=0),0,N335*O335)</f>
        <v>0</v>
      </c>
      <c r="U335" s="63">
        <f>IF(COUNTIF($S$18:$S$498,L335)=0,"",SUMIF($S$18:$S$498,L335,$T$18:$T$498))</f>
        <v>0</v>
      </c>
      <c r="V335" s="63" t="str">
        <f>IF(H335="","",IFERROR(H335+U335,H335))</f>
        <v/>
      </c>
      <c r="W335" s="63" t="str">
        <f>IF(OR(V335="",C335=""),"",V335/C335)</f>
        <v/>
      </c>
      <c r="X335" s="11" t="str">
        <f>IF(A335="","",IF(AND(U335&lt;&gt;"",U335&lt;&gt;0,M335=0),"Replacement lot receiving wash basis",IF(J335="","",IF(J335&gt;=0,"",IF(O335=0,"No replacement buy found",IF(P335&gt;1,"Manual selection needed","Auto matched"))))))</f>
        <v/>
      </c>
      <c r="Z335" t="str">
        <f>IF(K335="Yes",COUNTIF($K$18:K335,"Yes"),"")</f>
        <v/>
      </c>
    </row>
    <row r="336" spans="1:26" ht="34.15" customHeight="1" x14ac:dyDescent="0.2">
      <c r="A336" s="9"/>
      <c r="B336" s="69"/>
      <c r="C336" s="30"/>
      <c r="D336" s="70"/>
      <c r="E336" s="69"/>
      <c r="F336" s="70"/>
      <c r="G336" s="30"/>
      <c r="H336" s="63" t="str">
        <f>IF(OR(C336="",D336=""),"",C336*D336)</f>
        <v/>
      </c>
      <c r="I336" s="63" t="str">
        <f>IF(OR(E336="",F336="",M336&lt;=0),"",M336*F336)</f>
        <v/>
      </c>
      <c r="J336" s="63" t="str">
        <f>IF(I336="","",I336-(M336*D336))</f>
        <v/>
      </c>
      <c r="K336" s="28" t="str">
        <f>IF(A336="","",IF(T336&gt;0,"Yes","No"))</f>
        <v/>
      </c>
      <c r="L336" s="28" t="str">
        <f>IF(A336="","",A336&amp;"-"&amp;TEXT(B336,"yyyymmdd")&amp;"-R"&amp;ROW())</f>
        <v/>
      </c>
      <c r="M336" s="28" t="str">
        <f>IF(OR(C336="",G336=""),"",C336-G336)</f>
        <v/>
      </c>
      <c r="N336" s="63" t="str">
        <f>IF(OR(M336&lt;=0,J336&gt;=0),"",ABS(J336)/M336)</f>
        <v/>
      </c>
      <c r="O336" s="63" t="str">
        <f>IF(OR(A336="",M336&lt;=0,J336&gt;=0),"",MIN(M336,SUMPRODUCT(($A$18:$A$379=A336)*(IFERROR($B$18:$B$379&gt;=E336-30,0))*(IFERROR($B$18:$B$379&lt;=E336+30,0))*($G$18:$G$379&gt;0)*($L$18:$L$379&lt;&gt;L336)*($G$18:$G$379))+SUMPRODUCT(($A$381:$A$498=A336)*(IFERROR($B$381:$B$498&gt;=E336-30,0))*(IFERROR($B$381:$B$498&lt;=E336+30,0))*($G$381:$G$498&gt;0)*($L$381:$L$498&lt;&gt;L336)*($G$381:$G$498))))</f>
        <v/>
      </c>
      <c r="P336" s="28" t="str">
        <f>IF(OR(A336="",M336&lt;=0,J336&gt;=0),"",SUMPRODUCT(($A$18:$A$379=A336)*(IFERROR($B$18:$B$379&gt;=E336-30,0))*(IFERROR($B$18:$B$379&lt;=E336+30,0))*($G$18:$G$379&gt;0)*($L$18:$L$379&lt;&gt;L336))+SUMPRODUCT(($A$381:$A$498=A336)*(IFERROR($B$381:$B$498&gt;=E336-30,0))*(IFERROR($B$381:$B$498&lt;=E336+30,0))*($G$381:$G$498&gt;0)*($L$381:$L$498&lt;&gt;L336)))</f>
        <v/>
      </c>
      <c r="Q336" s="31" t="str">
        <f>IF(P336=1,IFERROR(INDEX($L$18:$L$379,MATCH(1,INDEX(($A$18:$A$379=A336)*(IFERROR($B$18:$B$379&gt;=E336-30,0))*(IFERROR($B$18:$B$379&lt;=E336+30,0))*($G$18:$G$379&gt;0)*($L$18:$L$379&lt;&gt;L336),0),0)),IFERROR(INDEX($L$381:$L$498,MATCH(1,INDEX(($A$381:$A$498=A336)*(IFERROR($B$381:$B$498&gt;=E336-30,0))*(IFERROR($B$381:$B$498&lt;=E336+30,0))*($G$381:$G$498&gt;0)*($L$381:$L$498&lt;&gt;L336),0),0)),"")),"")</f>
        <v/>
      </c>
      <c r="R336" s="32"/>
      <c r="S336" s="31" t="str">
        <f>IF(R336&lt;&gt;"",R336,Q336)</f>
        <v/>
      </c>
      <c r="T336" s="63">
        <f>IF(OR(N336="",O336=0),0,N336*O336)</f>
        <v>0</v>
      </c>
      <c r="U336" s="63">
        <f>IF(COUNTIF($S$18:$S$498,L336)=0,"",SUMIF($S$18:$S$498,L336,$T$18:$T$498))</f>
        <v>0</v>
      </c>
      <c r="V336" s="63" t="str">
        <f>IF(H336="","",IFERROR(H336+U336,H336))</f>
        <v/>
      </c>
      <c r="W336" s="63" t="str">
        <f>IF(OR(V336="",C336=""),"",V336/C336)</f>
        <v/>
      </c>
      <c r="X336" s="11" t="str">
        <f>IF(A336="","",IF(AND(U336&lt;&gt;"",U336&lt;&gt;0,M336=0),"Replacement lot receiving wash basis",IF(J336="","",IF(J336&gt;=0,"",IF(O336=0,"No replacement buy found",IF(P336&gt;1,"Manual selection needed","Auto matched"))))))</f>
        <v/>
      </c>
      <c r="Z336" t="str">
        <f>IF(K336="Yes",COUNTIF($K$18:K336,"Yes"),"")</f>
        <v/>
      </c>
    </row>
    <row r="337" spans="1:26" ht="34.15" customHeight="1" x14ac:dyDescent="0.2">
      <c r="A337" s="9"/>
      <c r="B337" s="69"/>
      <c r="C337" s="30"/>
      <c r="D337" s="70"/>
      <c r="E337" s="69"/>
      <c r="F337" s="70"/>
      <c r="G337" s="30"/>
      <c r="H337" s="63" t="str">
        <f>IF(OR(C337="",D337=""),"",C337*D337)</f>
        <v/>
      </c>
      <c r="I337" s="63" t="str">
        <f>IF(OR(E337="",F337="",M337&lt;=0),"",M337*F337)</f>
        <v/>
      </c>
      <c r="J337" s="63" t="str">
        <f>IF(I337="","",I337-(M337*D337))</f>
        <v/>
      </c>
      <c r="K337" s="28" t="str">
        <f>IF(A337="","",IF(T337&gt;0,"Yes","No"))</f>
        <v/>
      </c>
      <c r="L337" s="28" t="str">
        <f>IF(A337="","",A337&amp;"-"&amp;TEXT(B337,"yyyymmdd")&amp;"-R"&amp;ROW())</f>
        <v/>
      </c>
      <c r="M337" s="28" t="str">
        <f>IF(OR(C337="",G337=""),"",C337-G337)</f>
        <v/>
      </c>
      <c r="N337" s="63" t="str">
        <f>IF(OR(M337&lt;=0,J337&gt;=0),"",ABS(J337)/M337)</f>
        <v/>
      </c>
      <c r="O337" s="63" t="str">
        <f>IF(OR(A337="",M337&lt;=0,J337&gt;=0),"",MIN(M337,SUMPRODUCT(($A$18:$A$379=A337)*(IFERROR($B$18:$B$379&gt;=E337-30,0))*(IFERROR($B$18:$B$379&lt;=E337+30,0))*($G$18:$G$379&gt;0)*($L$18:$L$379&lt;&gt;L337)*($G$18:$G$379))+SUMPRODUCT(($A$381:$A$498=A337)*(IFERROR($B$381:$B$498&gt;=E337-30,0))*(IFERROR($B$381:$B$498&lt;=E337+30,0))*($G$381:$G$498&gt;0)*($L$381:$L$498&lt;&gt;L337)*($G$381:$G$498))))</f>
        <v/>
      </c>
      <c r="P337" s="28" t="str">
        <f>IF(OR(A337="",M337&lt;=0,J337&gt;=0),"",SUMPRODUCT(($A$18:$A$379=A337)*(IFERROR($B$18:$B$379&gt;=E337-30,0))*(IFERROR($B$18:$B$379&lt;=E337+30,0))*($G$18:$G$379&gt;0)*($L$18:$L$379&lt;&gt;L337))+SUMPRODUCT(($A$381:$A$498=A337)*(IFERROR($B$381:$B$498&gt;=E337-30,0))*(IFERROR($B$381:$B$498&lt;=E337+30,0))*($G$381:$G$498&gt;0)*($L$381:$L$498&lt;&gt;L337)))</f>
        <v/>
      </c>
      <c r="Q337" s="31" t="str">
        <f>IF(P337=1,IFERROR(INDEX($L$18:$L$379,MATCH(1,INDEX(($A$18:$A$379=A337)*(IFERROR($B$18:$B$379&gt;=E337-30,0))*(IFERROR($B$18:$B$379&lt;=E337+30,0))*($G$18:$G$379&gt;0)*($L$18:$L$379&lt;&gt;L337),0),0)),IFERROR(INDEX($L$381:$L$498,MATCH(1,INDEX(($A$381:$A$498=A337)*(IFERROR($B$381:$B$498&gt;=E337-30,0))*(IFERROR($B$381:$B$498&lt;=E337+30,0))*($G$381:$G$498&gt;0)*($L$381:$L$498&lt;&gt;L337),0),0)),"")),"")</f>
        <v/>
      </c>
      <c r="R337" s="32"/>
      <c r="S337" s="31" t="str">
        <f>IF(R337&lt;&gt;"",R337,Q337)</f>
        <v/>
      </c>
      <c r="T337" s="63">
        <f>IF(OR(N337="",O337=0),0,N337*O337)</f>
        <v>0</v>
      </c>
      <c r="U337" s="63">
        <f>IF(COUNTIF($S$18:$S$498,L337)=0,"",SUMIF($S$18:$S$498,L337,$T$18:$T$498))</f>
        <v>0</v>
      </c>
      <c r="V337" s="63" t="str">
        <f>IF(H337="","",IFERROR(H337+U337,H337))</f>
        <v/>
      </c>
      <c r="W337" s="63" t="str">
        <f>IF(OR(V337="",C337=""),"",V337/C337)</f>
        <v/>
      </c>
      <c r="X337" s="11" t="str">
        <f>IF(A337="","",IF(AND(U337&lt;&gt;"",U337&lt;&gt;0,M337=0),"Replacement lot receiving wash basis",IF(J337="","",IF(J337&gt;=0,"",IF(O337=0,"No replacement buy found",IF(P337&gt;1,"Manual selection needed","Auto matched"))))))</f>
        <v/>
      </c>
      <c r="Z337" t="str">
        <f>IF(K337="Yes",COUNTIF($K$18:K337,"Yes"),"")</f>
        <v/>
      </c>
    </row>
    <row r="338" spans="1:26" ht="34.15" customHeight="1" x14ac:dyDescent="0.2">
      <c r="A338" s="9"/>
      <c r="B338" s="69"/>
      <c r="C338" s="30"/>
      <c r="D338" s="70"/>
      <c r="E338" s="69"/>
      <c r="F338" s="70"/>
      <c r="G338" s="30"/>
      <c r="H338" s="63" t="str">
        <f>IF(OR(C338="",D338=""),"",C338*D338)</f>
        <v/>
      </c>
      <c r="I338" s="63" t="str">
        <f>IF(OR(E338="",F338="",M338&lt;=0),"",M338*F338)</f>
        <v/>
      </c>
      <c r="J338" s="63" t="str">
        <f>IF(I338="","",I338-(M338*D338))</f>
        <v/>
      </c>
      <c r="K338" s="28" t="str">
        <f>IF(A338="","",IF(T338&gt;0,"Yes","No"))</f>
        <v/>
      </c>
      <c r="L338" s="28" t="str">
        <f>IF(A338="","",A338&amp;"-"&amp;TEXT(B338,"yyyymmdd")&amp;"-R"&amp;ROW())</f>
        <v/>
      </c>
      <c r="M338" s="28" t="str">
        <f>IF(OR(C338="",G338=""),"",C338-G338)</f>
        <v/>
      </c>
      <c r="N338" s="63" t="str">
        <f>IF(OR(M338&lt;=0,J338&gt;=0),"",ABS(J338)/M338)</f>
        <v/>
      </c>
      <c r="O338" s="63" t="str">
        <f>IF(OR(A338="",M338&lt;=0,J338&gt;=0),"",MIN(M338,SUMPRODUCT(($A$18:$A$379=A338)*(IFERROR($B$18:$B$379&gt;=E338-30,0))*(IFERROR($B$18:$B$379&lt;=E338+30,0))*($G$18:$G$379&gt;0)*($L$18:$L$379&lt;&gt;L338)*($G$18:$G$379))+SUMPRODUCT(($A$381:$A$498=A338)*(IFERROR($B$381:$B$498&gt;=E338-30,0))*(IFERROR($B$381:$B$498&lt;=E338+30,0))*($G$381:$G$498&gt;0)*($L$381:$L$498&lt;&gt;L338)*($G$381:$G$498))))</f>
        <v/>
      </c>
      <c r="P338" s="28" t="str">
        <f>IF(OR(A338="",M338&lt;=0,J338&gt;=0),"",SUMPRODUCT(($A$18:$A$379=A338)*(IFERROR($B$18:$B$379&gt;=E338-30,0))*(IFERROR($B$18:$B$379&lt;=E338+30,0))*($G$18:$G$379&gt;0)*($L$18:$L$379&lt;&gt;L338))+SUMPRODUCT(($A$381:$A$498=A338)*(IFERROR($B$381:$B$498&gt;=E338-30,0))*(IFERROR($B$381:$B$498&lt;=E338+30,0))*($G$381:$G$498&gt;0)*($L$381:$L$498&lt;&gt;L338)))</f>
        <v/>
      </c>
      <c r="Q338" s="31" t="str">
        <f>IF(P338=1,IFERROR(INDEX($L$18:$L$379,MATCH(1,INDEX(($A$18:$A$379=A338)*(IFERROR($B$18:$B$379&gt;=E338-30,0))*(IFERROR($B$18:$B$379&lt;=E338+30,0))*($G$18:$G$379&gt;0)*($L$18:$L$379&lt;&gt;L338),0),0)),IFERROR(INDEX($L$381:$L$498,MATCH(1,INDEX(($A$381:$A$498=A338)*(IFERROR($B$381:$B$498&gt;=E338-30,0))*(IFERROR($B$381:$B$498&lt;=E338+30,0))*($G$381:$G$498&gt;0)*($L$381:$L$498&lt;&gt;L338),0),0)),"")),"")</f>
        <v/>
      </c>
      <c r="R338" s="32"/>
      <c r="S338" s="31" t="str">
        <f>IF(R338&lt;&gt;"",R338,Q338)</f>
        <v/>
      </c>
      <c r="T338" s="63">
        <f>IF(OR(N338="",O338=0),0,N338*O338)</f>
        <v>0</v>
      </c>
      <c r="U338" s="63">
        <f>IF(COUNTIF($S$18:$S$498,L338)=0,"",SUMIF($S$18:$S$498,L338,$T$18:$T$498))</f>
        <v>0</v>
      </c>
      <c r="V338" s="63" t="str">
        <f>IF(H338="","",IFERROR(H338+U338,H338))</f>
        <v/>
      </c>
      <c r="W338" s="63" t="str">
        <f>IF(OR(V338="",C338=""),"",V338/C338)</f>
        <v/>
      </c>
      <c r="X338" s="11" t="str">
        <f>IF(A338="","",IF(AND(U338&lt;&gt;"",U338&lt;&gt;0,M338=0),"Replacement lot receiving wash basis",IF(J338="","",IF(J338&gt;=0,"",IF(O338=0,"No replacement buy found",IF(P338&gt;1,"Manual selection needed","Auto matched"))))))</f>
        <v/>
      </c>
      <c r="Z338" t="str">
        <f>IF(K338="Yes",COUNTIF($K$18:K338,"Yes"),"")</f>
        <v/>
      </c>
    </row>
    <row r="339" spans="1:26" ht="34.15" customHeight="1" x14ac:dyDescent="0.2">
      <c r="A339" s="9"/>
      <c r="B339" s="69"/>
      <c r="C339" s="30"/>
      <c r="D339" s="70"/>
      <c r="E339" s="69"/>
      <c r="F339" s="70"/>
      <c r="G339" s="30"/>
      <c r="H339" s="63" t="str">
        <f>IF(OR(C339="",D339=""),"",C339*D339)</f>
        <v/>
      </c>
      <c r="I339" s="63" t="str">
        <f>IF(OR(E339="",F339="",M339&lt;=0),"",M339*F339)</f>
        <v/>
      </c>
      <c r="J339" s="63" t="str">
        <f>IF(I339="","",I339-(M339*D339))</f>
        <v/>
      </c>
      <c r="K339" s="28" t="str">
        <f>IF(A339="","",IF(T339&gt;0,"Yes","No"))</f>
        <v/>
      </c>
      <c r="L339" s="28" t="str">
        <f>IF(A339="","",A339&amp;"-"&amp;TEXT(B339,"yyyymmdd")&amp;"-R"&amp;ROW())</f>
        <v/>
      </c>
      <c r="M339" s="28" t="str">
        <f>IF(OR(C339="",G339=""),"",C339-G339)</f>
        <v/>
      </c>
      <c r="N339" s="63" t="str">
        <f>IF(OR(M339&lt;=0,J339&gt;=0),"",ABS(J339)/M339)</f>
        <v/>
      </c>
      <c r="O339" s="63" t="str">
        <f>IF(OR(A339="",M339&lt;=0,J339&gt;=0),"",MIN(M339,SUMPRODUCT(($A$18:$A$379=A339)*(IFERROR($B$18:$B$379&gt;=E339-30,0))*(IFERROR($B$18:$B$379&lt;=E339+30,0))*($G$18:$G$379&gt;0)*($L$18:$L$379&lt;&gt;L339)*($G$18:$G$379))+SUMPRODUCT(($A$381:$A$498=A339)*(IFERROR($B$381:$B$498&gt;=E339-30,0))*(IFERROR($B$381:$B$498&lt;=E339+30,0))*($G$381:$G$498&gt;0)*($L$381:$L$498&lt;&gt;L339)*($G$381:$G$498))))</f>
        <v/>
      </c>
      <c r="P339" s="28" t="str">
        <f>IF(OR(A339="",M339&lt;=0,J339&gt;=0),"",SUMPRODUCT(($A$18:$A$379=A339)*(IFERROR($B$18:$B$379&gt;=E339-30,0))*(IFERROR($B$18:$B$379&lt;=E339+30,0))*($G$18:$G$379&gt;0)*($L$18:$L$379&lt;&gt;L339))+SUMPRODUCT(($A$381:$A$498=A339)*(IFERROR($B$381:$B$498&gt;=E339-30,0))*(IFERROR($B$381:$B$498&lt;=E339+30,0))*($G$381:$G$498&gt;0)*($L$381:$L$498&lt;&gt;L339)))</f>
        <v/>
      </c>
      <c r="Q339" s="31" t="str">
        <f>IF(P339=1,IFERROR(INDEX($L$18:$L$379,MATCH(1,INDEX(($A$18:$A$379=A339)*(IFERROR($B$18:$B$379&gt;=E339-30,0))*(IFERROR($B$18:$B$379&lt;=E339+30,0))*($G$18:$G$379&gt;0)*($L$18:$L$379&lt;&gt;L339),0),0)),IFERROR(INDEX($L$381:$L$498,MATCH(1,INDEX(($A$381:$A$498=A339)*(IFERROR($B$381:$B$498&gt;=E339-30,0))*(IFERROR($B$381:$B$498&lt;=E339+30,0))*($G$381:$G$498&gt;0)*($L$381:$L$498&lt;&gt;L339),0),0)),"")),"")</f>
        <v/>
      </c>
      <c r="R339" s="32"/>
      <c r="S339" s="31" t="str">
        <f>IF(R339&lt;&gt;"",R339,Q339)</f>
        <v/>
      </c>
      <c r="T339" s="63">
        <f>IF(OR(N339="",O339=0),0,N339*O339)</f>
        <v>0</v>
      </c>
      <c r="U339" s="63">
        <f>IF(COUNTIF($S$18:$S$498,L339)=0,"",SUMIF($S$18:$S$498,L339,$T$18:$T$498))</f>
        <v>0</v>
      </c>
      <c r="V339" s="63" t="str">
        <f>IF(H339="","",IFERROR(H339+U339,H339))</f>
        <v/>
      </c>
      <c r="W339" s="63" t="str">
        <f>IF(OR(V339="",C339=""),"",V339/C339)</f>
        <v/>
      </c>
      <c r="X339" s="11" t="str">
        <f>IF(A339="","",IF(AND(U339&lt;&gt;"",U339&lt;&gt;0,M339=0),"Replacement lot receiving wash basis",IF(J339="","",IF(J339&gt;=0,"",IF(O339=0,"No replacement buy found",IF(P339&gt;1,"Manual selection needed","Auto matched"))))))</f>
        <v/>
      </c>
      <c r="Z339" t="str">
        <f>IF(K339="Yes",COUNTIF($K$18:K339,"Yes"),"")</f>
        <v/>
      </c>
    </row>
    <row r="340" spans="1:26" ht="34.15" customHeight="1" x14ac:dyDescent="0.2">
      <c r="A340" s="9"/>
      <c r="B340" s="69"/>
      <c r="C340" s="30"/>
      <c r="D340" s="70"/>
      <c r="E340" s="69"/>
      <c r="F340" s="70"/>
      <c r="G340" s="30"/>
      <c r="H340" s="63" t="str">
        <f>IF(OR(C340="",D340=""),"",C340*D340)</f>
        <v/>
      </c>
      <c r="I340" s="63" t="str">
        <f>IF(OR(E340="",F340="",M340&lt;=0),"",M340*F340)</f>
        <v/>
      </c>
      <c r="J340" s="63" t="str">
        <f>IF(I340="","",I340-(M340*D340))</f>
        <v/>
      </c>
      <c r="K340" s="28" t="str">
        <f>IF(A340="","",IF(T340&gt;0,"Yes","No"))</f>
        <v/>
      </c>
      <c r="L340" s="28" t="str">
        <f>IF(A340="","",A340&amp;"-"&amp;TEXT(B340,"yyyymmdd")&amp;"-R"&amp;ROW())</f>
        <v/>
      </c>
      <c r="M340" s="28" t="str">
        <f>IF(OR(C340="",G340=""),"",C340-G340)</f>
        <v/>
      </c>
      <c r="N340" s="63" t="str">
        <f>IF(OR(M340&lt;=0,J340&gt;=0),"",ABS(J340)/M340)</f>
        <v/>
      </c>
      <c r="O340" s="63" t="str">
        <f>IF(OR(A340="",M340&lt;=0,J340&gt;=0),"",MIN(M340,SUMPRODUCT(($A$18:$A$379=A340)*(IFERROR($B$18:$B$379&gt;=E340-30,0))*(IFERROR($B$18:$B$379&lt;=E340+30,0))*($G$18:$G$379&gt;0)*($L$18:$L$379&lt;&gt;L340)*($G$18:$G$379))+SUMPRODUCT(($A$381:$A$498=A340)*(IFERROR($B$381:$B$498&gt;=E340-30,0))*(IFERROR($B$381:$B$498&lt;=E340+30,0))*($G$381:$G$498&gt;0)*($L$381:$L$498&lt;&gt;L340)*($G$381:$G$498))))</f>
        <v/>
      </c>
      <c r="P340" s="28" t="str">
        <f>IF(OR(A340="",M340&lt;=0,J340&gt;=0),"",SUMPRODUCT(($A$18:$A$379=A340)*(IFERROR($B$18:$B$379&gt;=E340-30,0))*(IFERROR($B$18:$B$379&lt;=E340+30,0))*($G$18:$G$379&gt;0)*($L$18:$L$379&lt;&gt;L340))+SUMPRODUCT(($A$381:$A$498=A340)*(IFERROR($B$381:$B$498&gt;=E340-30,0))*(IFERROR($B$381:$B$498&lt;=E340+30,0))*($G$381:$G$498&gt;0)*($L$381:$L$498&lt;&gt;L340)))</f>
        <v/>
      </c>
      <c r="Q340" s="31" t="str">
        <f>IF(P340=1,IFERROR(INDEX($L$18:$L$379,MATCH(1,INDEX(($A$18:$A$379=A340)*(IFERROR($B$18:$B$379&gt;=E340-30,0))*(IFERROR($B$18:$B$379&lt;=E340+30,0))*($G$18:$G$379&gt;0)*($L$18:$L$379&lt;&gt;L340),0),0)),IFERROR(INDEX($L$381:$L$498,MATCH(1,INDEX(($A$381:$A$498=A340)*(IFERROR($B$381:$B$498&gt;=E340-30,0))*(IFERROR($B$381:$B$498&lt;=E340+30,0))*($G$381:$G$498&gt;0)*($L$381:$L$498&lt;&gt;L340),0),0)),"")),"")</f>
        <v/>
      </c>
      <c r="R340" s="32"/>
      <c r="S340" s="31" t="str">
        <f>IF(R340&lt;&gt;"",R340,Q340)</f>
        <v/>
      </c>
      <c r="T340" s="63">
        <f>IF(OR(N340="",O340=0),0,N340*O340)</f>
        <v>0</v>
      </c>
      <c r="U340" s="63">
        <f>IF(COUNTIF($S$18:$S$498,L340)=0,"",SUMIF($S$18:$S$498,L340,$T$18:$T$498))</f>
        <v>0</v>
      </c>
      <c r="V340" s="63" t="str">
        <f>IF(H340="","",IFERROR(H340+U340,H340))</f>
        <v/>
      </c>
      <c r="W340" s="63" t="str">
        <f>IF(OR(V340="",C340=""),"",V340/C340)</f>
        <v/>
      </c>
      <c r="X340" s="11" t="str">
        <f>IF(A340="","",IF(AND(U340&lt;&gt;"",U340&lt;&gt;0,M340=0),"Replacement lot receiving wash basis",IF(J340="","",IF(J340&gt;=0,"",IF(O340=0,"No replacement buy found",IF(P340&gt;1,"Manual selection needed","Auto matched"))))))</f>
        <v/>
      </c>
      <c r="Z340" t="str">
        <f>IF(K340="Yes",COUNTIF($K$18:K340,"Yes"),"")</f>
        <v/>
      </c>
    </row>
    <row r="341" spans="1:26" ht="34.15" customHeight="1" x14ac:dyDescent="0.2">
      <c r="A341" s="9"/>
      <c r="B341" s="69"/>
      <c r="C341" s="30"/>
      <c r="D341" s="70"/>
      <c r="E341" s="69"/>
      <c r="F341" s="70"/>
      <c r="G341" s="30"/>
      <c r="H341" s="63" t="str">
        <f>IF(OR(C341="",D341=""),"",C341*D341)</f>
        <v/>
      </c>
      <c r="I341" s="63" t="str">
        <f>IF(OR(E341="",F341="",M341&lt;=0),"",M341*F341)</f>
        <v/>
      </c>
      <c r="J341" s="63" t="str">
        <f>IF(I341="","",I341-(M341*D341))</f>
        <v/>
      </c>
      <c r="K341" s="28" t="str">
        <f>IF(A341="","",IF(T341&gt;0,"Yes","No"))</f>
        <v/>
      </c>
      <c r="L341" s="28" t="str">
        <f>IF(A341="","",A341&amp;"-"&amp;TEXT(B341,"yyyymmdd")&amp;"-R"&amp;ROW())</f>
        <v/>
      </c>
      <c r="M341" s="28" t="str">
        <f>IF(OR(C341="",G341=""),"",C341-G341)</f>
        <v/>
      </c>
      <c r="N341" s="63" t="str">
        <f>IF(OR(M341&lt;=0,J341&gt;=0),"",ABS(J341)/M341)</f>
        <v/>
      </c>
      <c r="O341" s="63" t="str">
        <f>IF(OR(A341="",M341&lt;=0,J341&gt;=0),"",MIN(M341,SUMPRODUCT(($A$18:$A$379=A341)*(IFERROR($B$18:$B$379&gt;=E341-30,0))*(IFERROR($B$18:$B$379&lt;=E341+30,0))*($G$18:$G$379&gt;0)*($L$18:$L$379&lt;&gt;L341)*($G$18:$G$379))+SUMPRODUCT(($A$381:$A$498=A341)*(IFERROR($B$381:$B$498&gt;=E341-30,0))*(IFERROR($B$381:$B$498&lt;=E341+30,0))*($G$381:$G$498&gt;0)*($L$381:$L$498&lt;&gt;L341)*($G$381:$G$498))))</f>
        <v/>
      </c>
      <c r="P341" s="28" t="str">
        <f>IF(OR(A341="",M341&lt;=0,J341&gt;=0),"",SUMPRODUCT(($A$18:$A$379=A341)*(IFERROR($B$18:$B$379&gt;=E341-30,0))*(IFERROR($B$18:$B$379&lt;=E341+30,0))*($G$18:$G$379&gt;0)*($L$18:$L$379&lt;&gt;L341))+SUMPRODUCT(($A$381:$A$498=A341)*(IFERROR($B$381:$B$498&gt;=E341-30,0))*(IFERROR($B$381:$B$498&lt;=E341+30,0))*($G$381:$G$498&gt;0)*($L$381:$L$498&lt;&gt;L341)))</f>
        <v/>
      </c>
      <c r="Q341" s="31" t="str">
        <f>IF(P341=1,IFERROR(INDEX($L$18:$L$379,MATCH(1,INDEX(($A$18:$A$379=A341)*(IFERROR($B$18:$B$379&gt;=E341-30,0))*(IFERROR($B$18:$B$379&lt;=E341+30,0))*($G$18:$G$379&gt;0)*($L$18:$L$379&lt;&gt;L341),0),0)),IFERROR(INDEX($L$381:$L$498,MATCH(1,INDEX(($A$381:$A$498=A341)*(IFERROR($B$381:$B$498&gt;=E341-30,0))*(IFERROR($B$381:$B$498&lt;=E341+30,0))*($G$381:$G$498&gt;0)*($L$381:$L$498&lt;&gt;L341),0),0)),"")),"")</f>
        <v/>
      </c>
      <c r="R341" s="32"/>
      <c r="S341" s="31" t="str">
        <f>IF(R341&lt;&gt;"",R341,Q341)</f>
        <v/>
      </c>
      <c r="T341" s="63">
        <f>IF(OR(N341="",O341=0),0,N341*O341)</f>
        <v>0</v>
      </c>
      <c r="U341" s="63">
        <f>IF(COUNTIF($S$18:$S$498,L341)=0,"",SUMIF($S$18:$S$498,L341,$T$18:$T$498))</f>
        <v>0</v>
      </c>
      <c r="V341" s="63" t="str">
        <f>IF(H341="","",IFERROR(H341+U341,H341))</f>
        <v/>
      </c>
      <c r="W341" s="63" t="str">
        <f>IF(OR(V341="",C341=""),"",V341/C341)</f>
        <v/>
      </c>
      <c r="X341" s="11" t="str">
        <f>IF(A341="","",IF(AND(U341&lt;&gt;"",U341&lt;&gt;0,M341=0),"Replacement lot receiving wash basis",IF(J341="","",IF(J341&gt;=0,"",IF(O341=0,"No replacement buy found",IF(P341&gt;1,"Manual selection needed","Auto matched"))))))</f>
        <v/>
      </c>
      <c r="Z341" t="str">
        <f>IF(K341="Yes",COUNTIF($K$18:K341,"Yes"),"")</f>
        <v/>
      </c>
    </row>
    <row r="342" spans="1:26" ht="34.15" customHeight="1" x14ac:dyDescent="0.2">
      <c r="A342" s="9"/>
      <c r="B342" s="69"/>
      <c r="C342" s="30"/>
      <c r="D342" s="70"/>
      <c r="E342" s="69"/>
      <c r="F342" s="70"/>
      <c r="G342" s="30"/>
      <c r="H342" s="63" t="str">
        <f>IF(OR(C342="",D342=""),"",C342*D342)</f>
        <v/>
      </c>
      <c r="I342" s="63" t="str">
        <f>IF(OR(E342="",F342="",M342&lt;=0),"",M342*F342)</f>
        <v/>
      </c>
      <c r="J342" s="63" t="str">
        <f>IF(I342="","",I342-(M342*D342))</f>
        <v/>
      </c>
      <c r="K342" s="28" t="str">
        <f>IF(A342="","",IF(T342&gt;0,"Yes","No"))</f>
        <v/>
      </c>
      <c r="L342" s="28" t="str">
        <f>IF(A342="","",A342&amp;"-"&amp;TEXT(B342,"yyyymmdd")&amp;"-R"&amp;ROW())</f>
        <v/>
      </c>
      <c r="M342" s="28" t="str">
        <f>IF(OR(C342="",G342=""),"",C342-G342)</f>
        <v/>
      </c>
      <c r="N342" s="63" t="str">
        <f>IF(OR(M342&lt;=0,J342&gt;=0),"",ABS(J342)/M342)</f>
        <v/>
      </c>
      <c r="O342" s="63" t="str">
        <f>IF(OR(A342="",M342&lt;=0,J342&gt;=0),"",MIN(M342,SUMPRODUCT(($A$18:$A$379=A342)*(IFERROR($B$18:$B$379&gt;=E342-30,0))*(IFERROR($B$18:$B$379&lt;=E342+30,0))*($G$18:$G$379&gt;0)*($L$18:$L$379&lt;&gt;L342)*($G$18:$G$379))+SUMPRODUCT(($A$381:$A$498=A342)*(IFERROR($B$381:$B$498&gt;=E342-30,0))*(IFERROR($B$381:$B$498&lt;=E342+30,0))*($G$381:$G$498&gt;0)*($L$381:$L$498&lt;&gt;L342)*($G$381:$G$498))))</f>
        <v/>
      </c>
      <c r="P342" s="28" t="str">
        <f>IF(OR(A342="",M342&lt;=0,J342&gt;=0),"",SUMPRODUCT(($A$18:$A$379=A342)*(IFERROR($B$18:$B$379&gt;=E342-30,0))*(IFERROR($B$18:$B$379&lt;=E342+30,0))*($G$18:$G$379&gt;0)*($L$18:$L$379&lt;&gt;L342))+SUMPRODUCT(($A$381:$A$498=A342)*(IFERROR($B$381:$B$498&gt;=E342-30,0))*(IFERROR($B$381:$B$498&lt;=E342+30,0))*($G$381:$G$498&gt;0)*($L$381:$L$498&lt;&gt;L342)))</f>
        <v/>
      </c>
      <c r="Q342" s="31" t="str">
        <f>IF(P342=1,IFERROR(INDEX($L$18:$L$379,MATCH(1,INDEX(($A$18:$A$379=A342)*(IFERROR($B$18:$B$379&gt;=E342-30,0))*(IFERROR($B$18:$B$379&lt;=E342+30,0))*($G$18:$G$379&gt;0)*($L$18:$L$379&lt;&gt;L342),0),0)),IFERROR(INDEX($L$381:$L$498,MATCH(1,INDEX(($A$381:$A$498=A342)*(IFERROR($B$381:$B$498&gt;=E342-30,0))*(IFERROR($B$381:$B$498&lt;=E342+30,0))*($G$381:$G$498&gt;0)*($L$381:$L$498&lt;&gt;L342),0),0)),"")),"")</f>
        <v/>
      </c>
      <c r="R342" s="32"/>
      <c r="S342" s="31" t="str">
        <f>IF(R342&lt;&gt;"",R342,Q342)</f>
        <v/>
      </c>
      <c r="T342" s="63">
        <f>IF(OR(N342="",O342=0),0,N342*O342)</f>
        <v>0</v>
      </c>
      <c r="U342" s="63">
        <f>IF(COUNTIF($S$18:$S$498,L342)=0,"",SUMIF($S$18:$S$498,L342,$T$18:$T$498))</f>
        <v>0</v>
      </c>
      <c r="V342" s="63" t="str">
        <f>IF(H342="","",IFERROR(H342+U342,H342))</f>
        <v/>
      </c>
      <c r="W342" s="63" t="str">
        <f>IF(OR(V342="",C342=""),"",V342/C342)</f>
        <v/>
      </c>
      <c r="X342" s="11" t="str">
        <f>IF(A342="","",IF(AND(U342&lt;&gt;"",U342&lt;&gt;0,M342=0),"Replacement lot receiving wash basis",IF(J342="","",IF(J342&gt;=0,"",IF(O342=0,"No replacement buy found",IF(P342&gt;1,"Manual selection needed","Auto matched"))))))</f>
        <v/>
      </c>
      <c r="Z342" t="str">
        <f>IF(K342="Yes",COUNTIF($K$18:K342,"Yes"),"")</f>
        <v/>
      </c>
    </row>
    <row r="343" spans="1:26" ht="34.15" customHeight="1" x14ac:dyDescent="0.2">
      <c r="A343" s="9"/>
      <c r="B343" s="69"/>
      <c r="C343" s="30"/>
      <c r="D343" s="70"/>
      <c r="E343" s="69"/>
      <c r="F343" s="70"/>
      <c r="G343" s="30"/>
      <c r="H343" s="63" t="str">
        <f>IF(OR(C343="",D343=""),"",C343*D343)</f>
        <v/>
      </c>
      <c r="I343" s="63" t="str">
        <f>IF(OR(E343="",F343="",M343&lt;=0),"",M343*F343)</f>
        <v/>
      </c>
      <c r="J343" s="63" t="str">
        <f>IF(I343="","",I343-(M343*D343))</f>
        <v/>
      </c>
      <c r="K343" s="28" t="str">
        <f>IF(A343="","",IF(T343&gt;0,"Yes","No"))</f>
        <v/>
      </c>
      <c r="L343" s="28" t="str">
        <f>IF(A343="","",A343&amp;"-"&amp;TEXT(B343,"yyyymmdd")&amp;"-R"&amp;ROW())</f>
        <v/>
      </c>
      <c r="M343" s="28" t="str">
        <f>IF(OR(C343="",G343=""),"",C343-G343)</f>
        <v/>
      </c>
      <c r="N343" s="63" t="str">
        <f>IF(OR(M343&lt;=0,J343&gt;=0),"",ABS(J343)/M343)</f>
        <v/>
      </c>
      <c r="O343" s="63" t="str">
        <f>IF(OR(A343="",M343&lt;=0,J343&gt;=0),"",MIN(M343,SUMPRODUCT(($A$18:$A$379=A343)*(IFERROR($B$18:$B$379&gt;=E343-30,0))*(IFERROR($B$18:$B$379&lt;=E343+30,0))*($G$18:$G$379&gt;0)*($L$18:$L$379&lt;&gt;L343)*($G$18:$G$379))+SUMPRODUCT(($A$381:$A$498=A343)*(IFERROR($B$381:$B$498&gt;=E343-30,0))*(IFERROR($B$381:$B$498&lt;=E343+30,0))*($G$381:$G$498&gt;0)*($L$381:$L$498&lt;&gt;L343)*($G$381:$G$498))))</f>
        <v/>
      </c>
      <c r="P343" s="28" t="str">
        <f>IF(OR(A343="",M343&lt;=0,J343&gt;=0),"",SUMPRODUCT(($A$18:$A$379=A343)*(IFERROR($B$18:$B$379&gt;=E343-30,0))*(IFERROR($B$18:$B$379&lt;=E343+30,0))*($G$18:$G$379&gt;0)*($L$18:$L$379&lt;&gt;L343))+SUMPRODUCT(($A$381:$A$498=A343)*(IFERROR($B$381:$B$498&gt;=E343-30,0))*(IFERROR($B$381:$B$498&lt;=E343+30,0))*($G$381:$G$498&gt;0)*($L$381:$L$498&lt;&gt;L343)))</f>
        <v/>
      </c>
      <c r="Q343" s="31" t="str">
        <f>IF(P343=1,IFERROR(INDEX($L$18:$L$379,MATCH(1,INDEX(($A$18:$A$379=A343)*(IFERROR($B$18:$B$379&gt;=E343-30,0))*(IFERROR($B$18:$B$379&lt;=E343+30,0))*($G$18:$G$379&gt;0)*($L$18:$L$379&lt;&gt;L343),0),0)),IFERROR(INDEX($L$381:$L$498,MATCH(1,INDEX(($A$381:$A$498=A343)*(IFERROR($B$381:$B$498&gt;=E343-30,0))*(IFERROR($B$381:$B$498&lt;=E343+30,0))*($G$381:$G$498&gt;0)*($L$381:$L$498&lt;&gt;L343),0),0)),"")),"")</f>
        <v/>
      </c>
      <c r="R343" s="32"/>
      <c r="S343" s="31" t="str">
        <f>IF(R343&lt;&gt;"",R343,Q343)</f>
        <v/>
      </c>
      <c r="T343" s="63">
        <f>IF(OR(N343="",O343=0),0,N343*O343)</f>
        <v>0</v>
      </c>
      <c r="U343" s="63">
        <f>IF(COUNTIF($S$18:$S$498,L343)=0,"",SUMIF($S$18:$S$498,L343,$T$18:$T$498))</f>
        <v>0</v>
      </c>
      <c r="V343" s="63" t="str">
        <f>IF(H343="","",IFERROR(H343+U343,H343))</f>
        <v/>
      </c>
      <c r="W343" s="63" t="str">
        <f>IF(OR(V343="",C343=""),"",V343/C343)</f>
        <v/>
      </c>
      <c r="X343" s="11" t="str">
        <f>IF(A343="","",IF(AND(U343&lt;&gt;"",U343&lt;&gt;0,M343=0),"Replacement lot receiving wash basis",IF(J343="","",IF(J343&gt;=0,"",IF(O343=0,"No replacement buy found",IF(P343&gt;1,"Manual selection needed","Auto matched"))))))</f>
        <v/>
      </c>
      <c r="Z343" t="str">
        <f>IF(K343="Yes",COUNTIF($K$18:K343,"Yes"),"")</f>
        <v/>
      </c>
    </row>
    <row r="344" spans="1:26" ht="34.15" customHeight="1" x14ac:dyDescent="0.2">
      <c r="A344" s="9"/>
      <c r="B344" s="69"/>
      <c r="C344" s="30"/>
      <c r="D344" s="70"/>
      <c r="E344" s="69"/>
      <c r="F344" s="70"/>
      <c r="G344" s="30"/>
      <c r="H344" s="63" t="str">
        <f>IF(OR(C344="",D344=""),"",C344*D344)</f>
        <v/>
      </c>
      <c r="I344" s="63" t="str">
        <f>IF(OR(E344="",F344="",M344&lt;=0),"",M344*F344)</f>
        <v/>
      </c>
      <c r="J344" s="63" t="str">
        <f>IF(I344="","",I344-(M344*D344))</f>
        <v/>
      </c>
      <c r="K344" s="28" t="str">
        <f>IF(A344="","",IF(T344&gt;0,"Yes","No"))</f>
        <v/>
      </c>
      <c r="L344" s="28" t="str">
        <f>IF(A344="","",A344&amp;"-"&amp;TEXT(B344,"yyyymmdd")&amp;"-R"&amp;ROW())</f>
        <v/>
      </c>
      <c r="M344" s="28" t="str">
        <f>IF(OR(C344="",G344=""),"",C344-G344)</f>
        <v/>
      </c>
      <c r="N344" s="63" t="str">
        <f>IF(OR(M344&lt;=0,J344&gt;=0),"",ABS(J344)/M344)</f>
        <v/>
      </c>
      <c r="O344" s="63" t="str">
        <f>IF(OR(A344="",M344&lt;=0,J344&gt;=0),"",MIN(M344,SUMPRODUCT(($A$18:$A$379=A344)*(IFERROR($B$18:$B$379&gt;=E344-30,0))*(IFERROR($B$18:$B$379&lt;=E344+30,0))*($G$18:$G$379&gt;0)*($L$18:$L$379&lt;&gt;L344)*($G$18:$G$379))+SUMPRODUCT(($A$381:$A$498=A344)*(IFERROR($B$381:$B$498&gt;=E344-30,0))*(IFERROR($B$381:$B$498&lt;=E344+30,0))*($G$381:$G$498&gt;0)*($L$381:$L$498&lt;&gt;L344)*($G$381:$G$498))))</f>
        <v/>
      </c>
      <c r="P344" s="28" t="str">
        <f>IF(OR(A344="",M344&lt;=0,J344&gt;=0),"",SUMPRODUCT(($A$18:$A$379=A344)*(IFERROR($B$18:$B$379&gt;=E344-30,0))*(IFERROR($B$18:$B$379&lt;=E344+30,0))*($G$18:$G$379&gt;0)*($L$18:$L$379&lt;&gt;L344))+SUMPRODUCT(($A$381:$A$498=A344)*(IFERROR($B$381:$B$498&gt;=E344-30,0))*(IFERROR($B$381:$B$498&lt;=E344+30,0))*($G$381:$G$498&gt;0)*($L$381:$L$498&lt;&gt;L344)))</f>
        <v/>
      </c>
      <c r="Q344" s="31" t="str">
        <f>IF(P344=1,IFERROR(INDEX($L$18:$L$379,MATCH(1,INDEX(($A$18:$A$379=A344)*(IFERROR($B$18:$B$379&gt;=E344-30,0))*(IFERROR($B$18:$B$379&lt;=E344+30,0))*($G$18:$G$379&gt;0)*($L$18:$L$379&lt;&gt;L344),0),0)),IFERROR(INDEX($L$381:$L$498,MATCH(1,INDEX(($A$381:$A$498=A344)*(IFERROR($B$381:$B$498&gt;=E344-30,0))*(IFERROR($B$381:$B$498&lt;=E344+30,0))*($G$381:$G$498&gt;0)*($L$381:$L$498&lt;&gt;L344),0),0)),"")),"")</f>
        <v/>
      </c>
      <c r="R344" s="32"/>
      <c r="S344" s="31" t="str">
        <f>IF(R344&lt;&gt;"",R344,Q344)</f>
        <v/>
      </c>
      <c r="T344" s="63">
        <f>IF(OR(N344="",O344=0),0,N344*O344)</f>
        <v>0</v>
      </c>
      <c r="U344" s="63">
        <f>IF(COUNTIF($S$18:$S$498,L344)=0,"",SUMIF($S$18:$S$498,L344,$T$18:$T$498))</f>
        <v>0</v>
      </c>
      <c r="V344" s="63" t="str">
        <f>IF(H344="","",IFERROR(H344+U344,H344))</f>
        <v/>
      </c>
      <c r="W344" s="63" t="str">
        <f>IF(OR(V344="",C344=""),"",V344/C344)</f>
        <v/>
      </c>
      <c r="X344" s="11" t="str">
        <f>IF(A344="","",IF(AND(U344&lt;&gt;"",U344&lt;&gt;0,M344=0),"Replacement lot receiving wash basis",IF(J344="","",IF(J344&gt;=0,"",IF(O344=0,"No replacement buy found",IF(P344&gt;1,"Manual selection needed","Auto matched"))))))</f>
        <v/>
      </c>
      <c r="Z344" t="str">
        <f>IF(K344="Yes",COUNTIF($K$18:K344,"Yes"),"")</f>
        <v/>
      </c>
    </row>
    <row r="345" spans="1:26" ht="34.15" customHeight="1" x14ac:dyDescent="0.2">
      <c r="A345" s="9"/>
      <c r="B345" s="69"/>
      <c r="C345" s="30"/>
      <c r="D345" s="70"/>
      <c r="E345" s="69"/>
      <c r="F345" s="70"/>
      <c r="G345" s="30"/>
      <c r="H345" s="63" t="str">
        <f>IF(OR(C345="",D345=""),"",C345*D345)</f>
        <v/>
      </c>
      <c r="I345" s="63" t="str">
        <f>IF(OR(E345="",F345="",M345&lt;=0),"",M345*F345)</f>
        <v/>
      </c>
      <c r="J345" s="63" t="str">
        <f>IF(I345="","",I345-(M345*D345))</f>
        <v/>
      </c>
      <c r="K345" s="28" t="str">
        <f>IF(A345="","",IF(T345&gt;0,"Yes","No"))</f>
        <v/>
      </c>
      <c r="L345" s="28" t="str">
        <f>IF(A345="","",A345&amp;"-"&amp;TEXT(B345,"yyyymmdd")&amp;"-R"&amp;ROW())</f>
        <v/>
      </c>
      <c r="M345" s="28" t="str">
        <f>IF(OR(C345="",G345=""),"",C345-G345)</f>
        <v/>
      </c>
      <c r="N345" s="63" t="str">
        <f>IF(OR(M345&lt;=0,J345&gt;=0),"",ABS(J345)/M345)</f>
        <v/>
      </c>
      <c r="O345" s="63" t="str">
        <f>IF(OR(A345="",M345&lt;=0,J345&gt;=0),"",MIN(M345,SUMPRODUCT(($A$18:$A$379=A345)*(IFERROR($B$18:$B$379&gt;=E345-30,0))*(IFERROR($B$18:$B$379&lt;=E345+30,0))*($G$18:$G$379&gt;0)*($L$18:$L$379&lt;&gt;L345)*($G$18:$G$379))+SUMPRODUCT(($A$381:$A$498=A345)*(IFERROR($B$381:$B$498&gt;=E345-30,0))*(IFERROR($B$381:$B$498&lt;=E345+30,0))*($G$381:$G$498&gt;0)*($L$381:$L$498&lt;&gt;L345)*($G$381:$G$498))))</f>
        <v/>
      </c>
      <c r="P345" s="28" t="str">
        <f>IF(OR(A345="",M345&lt;=0,J345&gt;=0),"",SUMPRODUCT(($A$18:$A$379=A345)*(IFERROR($B$18:$B$379&gt;=E345-30,0))*(IFERROR($B$18:$B$379&lt;=E345+30,0))*($G$18:$G$379&gt;0)*($L$18:$L$379&lt;&gt;L345))+SUMPRODUCT(($A$381:$A$498=A345)*(IFERROR($B$381:$B$498&gt;=E345-30,0))*(IFERROR($B$381:$B$498&lt;=E345+30,0))*($G$381:$G$498&gt;0)*($L$381:$L$498&lt;&gt;L345)))</f>
        <v/>
      </c>
      <c r="Q345" s="31" t="str">
        <f>IF(P345=1,IFERROR(INDEX($L$18:$L$379,MATCH(1,INDEX(($A$18:$A$379=A345)*(IFERROR($B$18:$B$379&gt;=E345-30,0))*(IFERROR($B$18:$B$379&lt;=E345+30,0))*($G$18:$G$379&gt;0)*($L$18:$L$379&lt;&gt;L345),0),0)),IFERROR(INDEX($L$381:$L$498,MATCH(1,INDEX(($A$381:$A$498=A345)*(IFERROR($B$381:$B$498&gt;=E345-30,0))*(IFERROR($B$381:$B$498&lt;=E345+30,0))*($G$381:$G$498&gt;0)*($L$381:$L$498&lt;&gt;L345),0),0)),"")),"")</f>
        <v/>
      </c>
      <c r="R345" s="32"/>
      <c r="S345" s="31" t="str">
        <f>IF(R345&lt;&gt;"",R345,Q345)</f>
        <v/>
      </c>
      <c r="T345" s="63">
        <f>IF(OR(N345="",O345=0),0,N345*O345)</f>
        <v>0</v>
      </c>
      <c r="U345" s="63">
        <f>IF(COUNTIF($S$18:$S$498,L345)=0,"",SUMIF($S$18:$S$498,L345,$T$18:$T$498))</f>
        <v>0</v>
      </c>
      <c r="V345" s="63" t="str">
        <f>IF(H345="","",IFERROR(H345+U345,H345))</f>
        <v/>
      </c>
      <c r="W345" s="63" t="str">
        <f>IF(OR(V345="",C345=""),"",V345/C345)</f>
        <v/>
      </c>
      <c r="X345" s="11" t="str">
        <f>IF(A345="","",IF(AND(U345&lt;&gt;"",U345&lt;&gt;0,M345=0),"Replacement lot receiving wash basis",IF(J345="","",IF(J345&gt;=0,"",IF(O345=0,"No replacement buy found",IF(P345&gt;1,"Manual selection needed","Auto matched"))))))</f>
        <v/>
      </c>
      <c r="Z345" t="str">
        <f>IF(K345="Yes",COUNTIF($K$18:K345,"Yes"),"")</f>
        <v/>
      </c>
    </row>
    <row r="346" spans="1:26" ht="34.15" customHeight="1" x14ac:dyDescent="0.2">
      <c r="A346" s="9"/>
      <c r="B346" s="69"/>
      <c r="C346" s="30"/>
      <c r="D346" s="70"/>
      <c r="E346" s="69"/>
      <c r="F346" s="70"/>
      <c r="G346" s="30"/>
      <c r="H346" s="63" t="str">
        <f>IF(OR(C346="",D346=""),"",C346*D346)</f>
        <v/>
      </c>
      <c r="I346" s="63" t="str">
        <f>IF(OR(E346="",F346="",M346&lt;=0),"",M346*F346)</f>
        <v/>
      </c>
      <c r="J346" s="63" t="str">
        <f>IF(I346="","",I346-(M346*D346))</f>
        <v/>
      </c>
      <c r="K346" s="28" t="str">
        <f>IF(A346="","",IF(T346&gt;0,"Yes","No"))</f>
        <v/>
      </c>
      <c r="L346" s="28" t="str">
        <f>IF(A346="","",A346&amp;"-"&amp;TEXT(B346,"yyyymmdd")&amp;"-R"&amp;ROW())</f>
        <v/>
      </c>
      <c r="M346" s="28" t="str">
        <f>IF(OR(C346="",G346=""),"",C346-G346)</f>
        <v/>
      </c>
      <c r="N346" s="63" t="str">
        <f>IF(OR(M346&lt;=0,J346&gt;=0),"",ABS(J346)/M346)</f>
        <v/>
      </c>
      <c r="O346" s="63" t="str">
        <f>IF(OR(A346="",M346&lt;=0,J346&gt;=0),"",MIN(M346,SUMPRODUCT(($A$18:$A$379=A346)*(IFERROR($B$18:$B$379&gt;=E346-30,0))*(IFERROR($B$18:$B$379&lt;=E346+30,0))*($G$18:$G$379&gt;0)*($L$18:$L$379&lt;&gt;L346)*($G$18:$G$379))+SUMPRODUCT(($A$381:$A$498=A346)*(IFERROR($B$381:$B$498&gt;=E346-30,0))*(IFERROR($B$381:$B$498&lt;=E346+30,0))*($G$381:$G$498&gt;0)*($L$381:$L$498&lt;&gt;L346)*($G$381:$G$498))))</f>
        <v/>
      </c>
      <c r="P346" s="28" t="str">
        <f>IF(OR(A346="",M346&lt;=0,J346&gt;=0),"",SUMPRODUCT(($A$18:$A$379=A346)*(IFERROR($B$18:$B$379&gt;=E346-30,0))*(IFERROR($B$18:$B$379&lt;=E346+30,0))*($G$18:$G$379&gt;0)*($L$18:$L$379&lt;&gt;L346))+SUMPRODUCT(($A$381:$A$498=A346)*(IFERROR($B$381:$B$498&gt;=E346-30,0))*(IFERROR($B$381:$B$498&lt;=E346+30,0))*($G$381:$G$498&gt;0)*($L$381:$L$498&lt;&gt;L346)))</f>
        <v/>
      </c>
      <c r="Q346" s="31" t="str">
        <f>IF(P346=1,IFERROR(INDEX($L$18:$L$379,MATCH(1,INDEX(($A$18:$A$379=A346)*(IFERROR($B$18:$B$379&gt;=E346-30,0))*(IFERROR($B$18:$B$379&lt;=E346+30,0))*($G$18:$G$379&gt;0)*($L$18:$L$379&lt;&gt;L346),0),0)),IFERROR(INDEX($L$381:$L$498,MATCH(1,INDEX(($A$381:$A$498=A346)*(IFERROR($B$381:$B$498&gt;=E346-30,0))*(IFERROR($B$381:$B$498&lt;=E346+30,0))*($G$381:$G$498&gt;0)*($L$381:$L$498&lt;&gt;L346),0),0)),"")),"")</f>
        <v/>
      </c>
      <c r="R346" s="32"/>
      <c r="S346" s="31" t="str">
        <f>IF(R346&lt;&gt;"",R346,Q346)</f>
        <v/>
      </c>
      <c r="T346" s="63">
        <f>IF(OR(N346="",O346=0),0,N346*O346)</f>
        <v>0</v>
      </c>
      <c r="U346" s="63">
        <f>IF(COUNTIF($S$18:$S$498,L346)=0,"",SUMIF($S$18:$S$498,L346,$T$18:$T$498))</f>
        <v>0</v>
      </c>
      <c r="V346" s="63" t="str">
        <f>IF(H346="","",IFERROR(H346+U346,H346))</f>
        <v/>
      </c>
      <c r="W346" s="63" t="str">
        <f>IF(OR(V346="",C346=""),"",V346/C346)</f>
        <v/>
      </c>
      <c r="X346" s="11" t="str">
        <f>IF(A346="","",IF(AND(U346&lt;&gt;"",U346&lt;&gt;0,M346=0),"Replacement lot receiving wash basis",IF(J346="","",IF(J346&gt;=0,"",IF(O346=0,"No replacement buy found",IF(P346&gt;1,"Manual selection needed","Auto matched"))))))</f>
        <v/>
      </c>
      <c r="Z346" t="str">
        <f>IF(K346="Yes",COUNTIF($K$18:K346,"Yes"),"")</f>
        <v/>
      </c>
    </row>
    <row r="347" spans="1:26" ht="34.15" customHeight="1" x14ac:dyDescent="0.2">
      <c r="A347" s="9"/>
      <c r="B347" s="69"/>
      <c r="C347" s="30"/>
      <c r="D347" s="70"/>
      <c r="E347" s="69"/>
      <c r="F347" s="70"/>
      <c r="G347" s="30"/>
      <c r="H347" s="63" t="str">
        <f>IF(OR(C347="",D347=""),"",C347*D347)</f>
        <v/>
      </c>
      <c r="I347" s="63" t="str">
        <f>IF(OR(E347="",F347="",M347&lt;=0),"",M347*F347)</f>
        <v/>
      </c>
      <c r="J347" s="63" t="str">
        <f>IF(I347="","",I347-(M347*D347))</f>
        <v/>
      </c>
      <c r="K347" s="28" t="str">
        <f>IF(A347="","",IF(T347&gt;0,"Yes","No"))</f>
        <v/>
      </c>
      <c r="L347" s="28" t="str">
        <f>IF(A347="","",A347&amp;"-"&amp;TEXT(B347,"yyyymmdd")&amp;"-R"&amp;ROW())</f>
        <v/>
      </c>
      <c r="M347" s="28" t="str">
        <f>IF(OR(C347="",G347=""),"",C347-G347)</f>
        <v/>
      </c>
      <c r="N347" s="63" t="str">
        <f>IF(OR(M347&lt;=0,J347&gt;=0),"",ABS(J347)/M347)</f>
        <v/>
      </c>
      <c r="O347" s="63" t="str">
        <f>IF(OR(A347="",M347&lt;=0,J347&gt;=0),"",MIN(M347,SUMPRODUCT(($A$18:$A$379=A347)*(IFERROR($B$18:$B$379&gt;=E347-30,0))*(IFERROR($B$18:$B$379&lt;=E347+30,0))*($G$18:$G$379&gt;0)*($L$18:$L$379&lt;&gt;L347)*($G$18:$G$379))+SUMPRODUCT(($A$381:$A$498=A347)*(IFERROR($B$381:$B$498&gt;=E347-30,0))*(IFERROR($B$381:$B$498&lt;=E347+30,0))*($G$381:$G$498&gt;0)*($L$381:$L$498&lt;&gt;L347)*($G$381:$G$498))))</f>
        <v/>
      </c>
      <c r="P347" s="28" t="str">
        <f>IF(OR(A347="",M347&lt;=0,J347&gt;=0),"",SUMPRODUCT(($A$18:$A$379=A347)*(IFERROR($B$18:$B$379&gt;=E347-30,0))*(IFERROR($B$18:$B$379&lt;=E347+30,0))*($G$18:$G$379&gt;0)*($L$18:$L$379&lt;&gt;L347))+SUMPRODUCT(($A$381:$A$498=A347)*(IFERROR($B$381:$B$498&gt;=E347-30,0))*(IFERROR($B$381:$B$498&lt;=E347+30,0))*($G$381:$G$498&gt;0)*($L$381:$L$498&lt;&gt;L347)))</f>
        <v/>
      </c>
      <c r="Q347" s="31" t="str">
        <f>IF(P347=1,IFERROR(INDEX($L$18:$L$379,MATCH(1,INDEX(($A$18:$A$379=A347)*(IFERROR($B$18:$B$379&gt;=E347-30,0))*(IFERROR($B$18:$B$379&lt;=E347+30,0))*($G$18:$G$379&gt;0)*($L$18:$L$379&lt;&gt;L347),0),0)),IFERROR(INDEX($L$381:$L$498,MATCH(1,INDEX(($A$381:$A$498=A347)*(IFERROR($B$381:$B$498&gt;=E347-30,0))*(IFERROR($B$381:$B$498&lt;=E347+30,0))*($G$381:$G$498&gt;0)*($L$381:$L$498&lt;&gt;L347),0),0)),"")),"")</f>
        <v/>
      </c>
      <c r="R347" s="32"/>
      <c r="S347" s="31" t="str">
        <f>IF(R347&lt;&gt;"",R347,Q347)</f>
        <v/>
      </c>
      <c r="T347" s="63">
        <f>IF(OR(N347="",O347=0),0,N347*O347)</f>
        <v>0</v>
      </c>
      <c r="U347" s="63">
        <f>IF(COUNTIF($S$18:$S$498,L347)=0,"",SUMIF($S$18:$S$498,L347,$T$18:$T$498))</f>
        <v>0</v>
      </c>
      <c r="V347" s="63" t="str">
        <f>IF(H347="","",IFERROR(H347+U347,H347))</f>
        <v/>
      </c>
      <c r="W347" s="63" t="str">
        <f>IF(OR(V347="",C347=""),"",V347/C347)</f>
        <v/>
      </c>
      <c r="X347" s="11" t="str">
        <f>IF(A347="","",IF(AND(U347&lt;&gt;"",U347&lt;&gt;0,M347=0),"Replacement lot receiving wash basis",IF(J347="","",IF(J347&gt;=0,"",IF(O347=0,"No replacement buy found",IF(P347&gt;1,"Manual selection needed","Auto matched"))))))</f>
        <v/>
      </c>
      <c r="Z347" t="str">
        <f>IF(K347="Yes",COUNTIF($K$18:K347,"Yes"),"")</f>
        <v/>
      </c>
    </row>
    <row r="348" spans="1:26" ht="34.15" customHeight="1" x14ac:dyDescent="0.2">
      <c r="A348" s="9"/>
      <c r="B348" s="69"/>
      <c r="C348" s="30"/>
      <c r="D348" s="70"/>
      <c r="E348" s="69"/>
      <c r="F348" s="70"/>
      <c r="G348" s="30"/>
      <c r="H348" s="63" t="str">
        <f>IF(OR(C348="",D348=""),"",C348*D348)</f>
        <v/>
      </c>
      <c r="I348" s="63" t="str">
        <f>IF(OR(E348="",F348="",M348&lt;=0),"",M348*F348)</f>
        <v/>
      </c>
      <c r="J348" s="63" t="str">
        <f>IF(I348="","",I348-(M348*D348))</f>
        <v/>
      </c>
      <c r="K348" s="28" t="str">
        <f>IF(A348="","",IF(T348&gt;0,"Yes","No"))</f>
        <v/>
      </c>
      <c r="L348" s="28" t="str">
        <f>IF(A348="","",A348&amp;"-"&amp;TEXT(B348,"yyyymmdd")&amp;"-R"&amp;ROW())</f>
        <v/>
      </c>
      <c r="M348" s="28" t="str">
        <f>IF(OR(C348="",G348=""),"",C348-G348)</f>
        <v/>
      </c>
      <c r="N348" s="63" t="str">
        <f>IF(OR(M348&lt;=0,J348&gt;=0),"",ABS(J348)/M348)</f>
        <v/>
      </c>
      <c r="O348" s="63" t="str">
        <f>IF(OR(A348="",M348&lt;=0,J348&gt;=0),"",MIN(M348,SUMPRODUCT(($A$18:$A$379=A348)*(IFERROR($B$18:$B$379&gt;=E348-30,0))*(IFERROR($B$18:$B$379&lt;=E348+30,0))*($G$18:$G$379&gt;0)*($L$18:$L$379&lt;&gt;L348)*($G$18:$G$379))+SUMPRODUCT(($A$381:$A$498=A348)*(IFERROR($B$381:$B$498&gt;=E348-30,0))*(IFERROR($B$381:$B$498&lt;=E348+30,0))*($G$381:$G$498&gt;0)*($L$381:$L$498&lt;&gt;L348)*($G$381:$G$498))))</f>
        <v/>
      </c>
      <c r="P348" s="28" t="str">
        <f>IF(OR(A348="",M348&lt;=0,J348&gt;=0),"",SUMPRODUCT(($A$18:$A$379=A348)*(IFERROR($B$18:$B$379&gt;=E348-30,0))*(IFERROR($B$18:$B$379&lt;=E348+30,0))*($G$18:$G$379&gt;0)*($L$18:$L$379&lt;&gt;L348))+SUMPRODUCT(($A$381:$A$498=A348)*(IFERROR($B$381:$B$498&gt;=E348-30,0))*(IFERROR($B$381:$B$498&lt;=E348+30,0))*($G$381:$G$498&gt;0)*($L$381:$L$498&lt;&gt;L348)))</f>
        <v/>
      </c>
      <c r="Q348" s="31" t="str">
        <f>IF(P348=1,IFERROR(INDEX($L$18:$L$379,MATCH(1,INDEX(($A$18:$A$379=A348)*(IFERROR($B$18:$B$379&gt;=E348-30,0))*(IFERROR($B$18:$B$379&lt;=E348+30,0))*($G$18:$G$379&gt;0)*($L$18:$L$379&lt;&gt;L348),0),0)),IFERROR(INDEX($L$381:$L$498,MATCH(1,INDEX(($A$381:$A$498=A348)*(IFERROR($B$381:$B$498&gt;=E348-30,0))*(IFERROR($B$381:$B$498&lt;=E348+30,0))*($G$381:$G$498&gt;0)*($L$381:$L$498&lt;&gt;L348),0),0)),"")),"")</f>
        <v/>
      </c>
      <c r="R348" s="32"/>
      <c r="S348" s="31" t="str">
        <f>IF(R348&lt;&gt;"",R348,Q348)</f>
        <v/>
      </c>
      <c r="T348" s="63">
        <f>IF(OR(N348="",O348=0),0,N348*O348)</f>
        <v>0</v>
      </c>
      <c r="U348" s="63">
        <f>IF(COUNTIF($S$18:$S$498,L348)=0,"",SUMIF($S$18:$S$498,L348,$T$18:$T$498))</f>
        <v>0</v>
      </c>
      <c r="V348" s="63" t="str">
        <f>IF(H348="","",IFERROR(H348+U348,H348))</f>
        <v/>
      </c>
      <c r="W348" s="63" t="str">
        <f>IF(OR(V348="",C348=""),"",V348/C348)</f>
        <v/>
      </c>
      <c r="X348" s="11" t="str">
        <f>IF(A348="","",IF(AND(U348&lt;&gt;"",U348&lt;&gt;0,M348=0),"Replacement lot receiving wash basis",IF(J348="","",IF(J348&gt;=0,"",IF(O348=0,"No replacement buy found",IF(P348&gt;1,"Manual selection needed","Auto matched"))))))</f>
        <v/>
      </c>
      <c r="Z348" t="str">
        <f>IF(K348="Yes",COUNTIF($K$18:K348,"Yes"),"")</f>
        <v/>
      </c>
    </row>
    <row r="349" spans="1:26" ht="34.15" customHeight="1" x14ac:dyDescent="0.2">
      <c r="A349" s="9"/>
      <c r="B349" s="69"/>
      <c r="C349" s="30"/>
      <c r="D349" s="70"/>
      <c r="E349" s="69"/>
      <c r="F349" s="70"/>
      <c r="G349" s="30"/>
      <c r="H349" s="63" t="str">
        <f>IF(OR(C349="",D349=""),"",C349*D349)</f>
        <v/>
      </c>
      <c r="I349" s="63" t="str">
        <f>IF(OR(E349="",F349="",M349&lt;=0),"",M349*F349)</f>
        <v/>
      </c>
      <c r="J349" s="63" t="str">
        <f>IF(I349="","",I349-(M349*D349))</f>
        <v/>
      </c>
      <c r="K349" s="28" t="str">
        <f>IF(A349="","",IF(T349&gt;0,"Yes","No"))</f>
        <v/>
      </c>
      <c r="L349" s="28" t="str">
        <f>IF(A349="","",A349&amp;"-"&amp;TEXT(B349,"yyyymmdd")&amp;"-R"&amp;ROW())</f>
        <v/>
      </c>
      <c r="M349" s="28" t="str">
        <f>IF(OR(C349="",G349=""),"",C349-G349)</f>
        <v/>
      </c>
      <c r="N349" s="63" t="str">
        <f>IF(OR(M349&lt;=0,J349&gt;=0),"",ABS(J349)/M349)</f>
        <v/>
      </c>
      <c r="O349" s="63" t="str">
        <f>IF(OR(A349="",M349&lt;=0,J349&gt;=0),"",MIN(M349,SUMPRODUCT(($A$18:$A$379=A349)*(IFERROR($B$18:$B$379&gt;=E349-30,0))*(IFERROR($B$18:$B$379&lt;=E349+30,0))*($G$18:$G$379&gt;0)*($L$18:$L$379&lt;&gt;L349)*($G$18:$G$379))+SUMPRODUCT(($A$381:$A$498=A349)*(IFERROR($B$381:$B$498&gt;=E349-30,0))*(IFERROR($B$381:$B$498&lt;=E349+30,0))*($G$381:$G$498&gt;0)*($L$381:$L$498&lt;&gt;L349)*($G$381:$G$498))))</f>
        <v/>
      </c>
      <c r="P349" s="28" t="str">
        <f>IF(OR(A349="",M349&lt;=0,J349&gt;=0),"",SUMPRODUCT(($A$18:$A$379=A349)*(IFERROR($B$18:$B$379&gt;=E349-30,0))*(IFERROR($B$18:$B$379&lt;=E349+30,0))*($G$18:$G$379&gt;0)*($L$18:$L$379&lt;&gt;L349))+SUMPRODUCT(($A$381:$A$498=A349)*(IFERROR($B$381:$B$498&gt;=E349-30,0))*(IFERROR($B$381:$B$498&lt;=E349+30,0))*($G$381:$G$498&gt;0)*($L$381:$L$498&lt;&gt;L349)))</f>
        <v/>
      </c>
      <c r="Q349" s="31" t="str">
        <f>IF(P349=1,IFERROR(INDEX($L$18:$L$379,MATCH(1,INDEX(($A$18:$A$379=A349)*(IFERROR($B$18:$B$379&gt;=E349-30,0))*(IFERROR($B$18:$B$379&lt;=E349+30,0))*($G$18:$G$379&gt;0)*($L$18:$L$379&lt;&gt;L349),0),0)),IFERROR(INDEX($L$381:$L$498,MATCH(1,INDEX(($A$381:$A$498=A349)*(IFERROR($B$381:$B$498&gt;=E349-30,0))*(IFERROR($B$381:$B$498&lt;=E349+30,0))*($G$381:$G$498&gt;0)*($L$381:$L$498&lt;&gt;L349),0),0)),"")),"")</f>
        <v/>
      </c>
      <c r="R349" s="32"/>
      <c r="S349" s="31" t="str">
        <f>IF(R349&lt;&gt;"",R349,Q349)</f>
        <v/>
      </c>
      <c r="T349" s="63">
        <f>IF(OR(N349="",O349=0),0,N349*O349)</f>
        <v>0</v>
      </c>
      <c r="U349" s="63">
        <f>IF(COUNTIF($S$18:$S$498,L349)=0,"",SUMIF($S$18:$S$498,L349,$T$18:$T$498))</f>
        <v>0</v>
      </c>
      <c r="V349" s="63" t="str">
        <f>IF(H349="","",IFERROR(H349+U349,H349))</f>
        <v/>
      </c>
      <c r="W349" s="63" t="str">
        <f>IF(OR(V349="",C349=""),"",V349/C349)</f>
        <v/>
      </c>
      <c r="X349" s="11" t="str">
        <f>IF(A349="","",IF(AND(U349&lt;&gt;"",U349&lt;&gt;0,M349=0),"Replacement lot receiving wash basis",IF(J349="","",IF(J349&gt;=0,"",IF(O349=0,"No replacement buy found",IF(P349&gt;1,"Manual selection needed","Auto matched"))))))</f>
        <v/>
      </c>
      <c r="Z349" t="str">
        <f>IF(K349="Yes",COUNTIF($K$18:K349,"Yes"),"")</f>
        <v/>
      </c>
    </row>
    <row r="350" spans="1:26" ht="34.15" customHeight="1" x14ac:dyDescent="0.2">
      <c r="A350" s="9"/>
      <c r="B350" s="69"/>
      <c r="C350" s="30"/>
      <c r="D350" s="70"/>
      <c r="E350" s="69"/>
      <c r="F350" s="70"/>
      <c r="G350" s="30"/>
      <c r="H350" s="63" t="str">
        <f>IF(OR(C350="",D350=""),"",C350*D350)</f>
        <v/>
      </c>
      <c r="I350" s="63" t="str">
        <f>IF(OR(E350="",F350="",M350&lt;=0),"",M350*F350)</f>
        <v/>
      </c>
      <c r="J350" s="63" t="str">
        <f>IF(I350="","",I350-(M350*D350))</f>
        <v/>
      </c>
      <c r="K350" s="28" t="str">
        <f>IF(A350="","",IF(T350&gt;0,"Yes","No"))</f>
        <v/>
      </c>
      <c r="L350" s="28" t="str">
        <f>IF(A350="","",A350&amp;"-"&amp;TEXT(B350,"yyyymmdd")&amp;"-R"&amp;ROW())</f>
        <v/>
      </c>
      <c r="M350" s="28" t="str">
        <f>IF(OR(C350="",G350=""),"",C350-G350)</f>
        <v/>
      </c>
      <c r="N350" s="63" t="str">
        <f>IF(OR(M350&lt;=0,J350&gt;=0),"",ABS(J350)/M350)</f>
        <v/>
      </c>
      <c r="O350" s="63" t="str">
        <f>IF(OR(A350="",M350&lt;=0,J350&gt;=0),"",MIN(M350,SUMPRODUCT(($A$18:$A$379=A350)*(IFERROR($B$18:$B$379&gt;=E350-30,0))*(IFERROR($B$18:$B$379&lt;=E350+30,0))*($G$18:$G$379&gt;0)*($L$18:$L$379&lt;&gt;L350)*($G$18:$G$379))+SUMPRODUCT(($A$381:$A$498=A350)*(IFERROR($B$381:$B$498&gt;=E350-30,0))*(IFERROR($B$381:$B$498&lt;=E350+30,0))*($G$381:$G$498&gt;0)*($L$381:$L$498&lt;&gt;L350)*($G$381:$G$498))))</f>
        <v/>
      </c>
      <c r="P350" s="28" t="str">
        <f>IF(OR(A350="",M350&lt;=0,J350&gt;=0),"",SUMPRODUCT(($A$18:$A$379=A350)*(IFERROR($B$18:$B$379&gt;=E350-30,0))*(IFERROR($B$18:$B$379&lt;=E350+30,0))*($G$18:$G$379&gt;0)*($L$18:$L$379&lt;&gt;L350))+SUMPRODUCT(($A$381:$A$498=A350)*(IFERROR($B$381:$B$498&gt;=E350-30,0))*(IFERROR($B$381:$B$498&lt;=E350+30,0))*($G$381:$G$498&gt;0)*($L$381:$L$498&lt;&gt;L350)))</f>
        <v/>
      </c>
      <c r="Q350" s="31" t="str">
        <f>IF(P350=1,IFERROR(INDEX($L$18:$L$379,MATCH(1,INDEX(($A$18:$A$379=A350)*(IFERROR($B$18:$B$379&gt;=E350-30,0))*(IFERROR($B$18:$B$379&lt;=E350+30,0))*($G$18:$G$379&gt;0)*($L$18:$L$379&lt;&gt;L350),0),0)),IFERROR(INDEX($L$381:$L$498,MATCH(1,INDEX(($A$381:$A$498=A350)*(IFERROR($B$381:$B$498&gt;=E350-30,0))*(IFERROR($B$381:$B$498&lt;=E350+30,0))*($G$381:$G$498&gt;0)*($L$381:$L$498&lt;&gt;L350),0),0)),"")),"")</f>
        <v/>
      </c>
      <c r="R350" s="32"/>
      <c r="S350" s="31" t="str">
        <f>IF(R350&lt;&gt;"",R350,Q350)</f>
        <v/>
      </c>
      <c r="T350" s="63">
        <f>IF(OR(N350="",O350=0),0,N350*O350)</f>
        <v>0</v>
      </c>
      <c r="U350" s="63">
        <f>IF(COUNTIF($S$18:$S$498,L350)=0,"",SUMIF($S$18:$S$498,L350,$T$18:$T$498))</f>
        <v>0</v>
      </c>
      <c r="V350" s="63" t="str">
        <f>IF(H350="","",IFERROR(H350+U350,H350))</f>
        <v/>
      </c>
      <c r="W350" s="63" t="str">
        <f>IF(OR(V350="",C350=""),"",V350/C350)</f>
        <v/>
      </c>
      <c r="X350" s="11" t="str">
        <f>IF(A350="","",IF(AND(U350&lt;&gt;"",U350&lt;&gt;0,M350=0),"Replacement lot receiving wash basis",IF(J350="","",IF(J350&gt;=0,"",IF(O350=0,"No replacement buy found",IF(P350&gt;1,"Manual selection needed","Auto matched"))))))</f>
        <v/>
      </c>
      <c r="Z350" t="str">
        <f>IF(K350="Yes",COUNTIF($K$18:K350,"Yes"),"")</f>
        <v/>
      </c>
    </row>
    <row r="351" spans="1:26" ht="34.15" customHeight="1" x14ac:dyDescent="0.2">
      <c r="A351" s="9"/>
      <c r="B351" s="69"/>
      <c r="C351" s="30"/>
      <c r="D351" s="70"/>
      <c r="E351" s="69"/>
      <c r="F351" s="70"/>
      <c r="G351" s="30"/>
      <c r="H351" s="63" t="str">
        <f>IF(OR(C351="",D351=""),"",C351*D351)</f>
        <v/>
      </c>
      <c r="I351" s="63" t="str">
        <f>IF(OR(E351="",F351="",M351&lt;=0),"",M351*F351)</f>
        <v/>
      </c>
      <c r="J351" s="63" t="str">
        <f>IF(I351="","",I351-(M351*D351))</f>
        <v/>
      </c>
      <c r="K351" s="28" t="str">
        <f>IF(A351="","",IF(T351&gt;0,"Yes","No"))</f>
        <v/>
      </c>
      <c r="L351" s="28" t="str">
        <f>IF(A351="","",A351&amp;"-"&amp;TEXT(B351,"yyyymmdd")&amp;"-R"&amp;ROW())</f>
        <v/>
      </c>
      <c r="M351" s="28" t="str">
        <f>IF(OR(C351="",G351=""),"",C351-G351)</f>
        <v/>
      </c>
      <c r="N351" s="63" t="str">
        <f>IF(OR(M351&lt;=0,J351&gt;=0),"",ABS(J351)/M351)</f>
        <v/>
      </c>
      <c r="O351" s="63" t="str">
        <f>IF(OR(A351="",M351&lt;=0,J351&gt;=0),"",MIN(M351,SUMPRODUCT(($A$18:$A$379=A351)*(IFERROR($B$18:$B$379&gt;=E351-30,0))*(IFERROR($B$18:$B$379&lt;=E351+30,0))*($G$18:$G$379&gt;0)*($L$18:$L$379&lt;&gt;L351)*($G$18:$G$379))+SUMPRODUCT(($A$381:$A$498=A351)*(IFERROR($B$381:$B$498&gt;=E351-30,0))*(IFERROR($B$381:$B$498&lt;=E351+30,0))*($G$381:$G$498&gt;0)*($L$381:$L$498&lt;&gt;L351)*($G$381:$G$498))))</f>
        <v/>
      </c>
      <c r="P351" s="28" t="str">
        <f>IF(OR(A351="",M351&lt;=0,J351&gt;=0),"",SUMPRODUCT(($A$18:$A$379=A351)*(IFERROR($B$18:$B$379&gt;=E351-30,0))*(IFERROR($B$18:$B$379&lt;=E351+30,0))*($G$18:$G$379&gt;0)*($L$18:$L$379&lt;&gt;L351))+SUMPRODUCT(($A$381:$A$498=A351)*(IFERROR($B$381:$B$498&gt;=E351-30,0))*(IFERROR($B$381:$B$498&lt;=E351+30,0))*($G$381:$G$498&gt;0)*($L$381:$L$498&lt;&gt;L351)))</f>
        <v/>
      </c>
      <c r="Q351" s="31" t="str">
        <f>IF(P351=1,IFERROR(INDEX($L$18:$L$379,MATCH(1,INDEX(($A$18:$A$379=A351)*(IFERROR($B$18:$B$379&gt;=E351-30,0))*(IFERROR($B$18:$B$379&lt;=E351+30,0))*($G$18:$G$379&gt;0)*($L$18:$L$379&lt;&gt;L351),0),0)),IFERROR(INDEX($L$381:$L$498,MATCH(1,INDEX(($A$381:$A$498=A351)*(IFERROR($B$381:$B$498&gt;=E351-30,0))*(IFERROR($B$381:$B$498&lt;=E351+30,0))*($G$381:$G$498&gt;0)*($L$381:$L$498&lt;&gt;L351),0),0)),"")),"")</f>
        <v/>
      </c>
      <c r="R351" s="32"/>
      <c r="S351" s="31" t="str">
        <f>IF(R351&lt;&gt;"",R351,Q351)</f>
        <v/>
      </c>
      <c r="T351" s="63">
        <f>IF(OR(N351="",O351=0),0,N351*O351)</f>
        <v>0</v>
      </c>
      <c r="U351" s="63">
        <f>IF(COUNTIF($S$18:$S$498,L351)=0,"",SUMIF($S$18:$S$498,L351,$T$18:$T$498))</f>
        <v>0</v>
      </c>
      <c r="V351" s="63" t="str">
        <f>IF(H351="","",IFERROR(H351+U351,H351))</f>
        <v/>
      </c>
      <c r="W351" s="63" t="str">
        <f>IF(OR(V351="",C351=""),"",V351/C351)</f>
        <v/>
      </c>
      <c r="X351" s="11" t="str">
        <f>IF(A351="","",IF(AND(U351&lt;&gt;"",U351&lt;&gt;0,M351=0),"Replacement lot receiving wash basis",IF(J351="","",IF(J351&gt;=0,"",IF(O351=0,"No replacement buy found",IF(P351&gt;1,"Manual selection needed","Auto matched"))))))</f>
        <v/>
      </c>
      <c r="Z351" t="str">
        <f>IF(K351="Yes",COUNTIF($K$18:K351,"Yes"),"")</f>
        <v/>
      </c>
    </row>
    <row r="352" spans="1:26" ht="34.15" customHeight="1" x14ac:dyDescent="0.2">
      <c r="A352" s="9"/>
      <c r="B352" s="69"/>
      <c r="C352" s="30"/>
      <c r="D352" s="70"/>
      <c r="E352" s="69"/>
      <c r="F352" s="70"/>
      <c r="G352" s="30"/>
      <c r="H352" s="63" t="str">
        <f>IF(OR(C352="",D352=""),"",C352*D352)</f>
        <v/>
      </c>
      <c r="I352" s="63" t="str">
        <f>IF(OR(E352="",F352="",M352&lt;=0),"",M352*F352)</f>
        <v/>
      </c>
      <c r="J352" s="63" t="str">
        <f>IF(I352="","",I352-(M352*D352))</f>
        <v/>
      </c>
      <c r="K352" s="28" t="str">
        <f>IF(A352="","",IF(T352&gt;0,"Yes","No"))</f>
        <v/>
      </c>
      <c r="L352" s="28" t="str">
        <f>IF(A352="","",A352&amp;"-"&amp;TEXT(B352,"yyyymmdd")&amp;"-R"&amp;ROW())</f>
        <v/>
      </c>
      <c r="M352" s="28" t="str">
        <f>IF(OR(C352="",G352=""),"",C352-G352)</f>
        <v/>
      </c>
      <c r="N352" s="63" t="str">
        <f>IF(OR(M352&lt;=0,J352&gt;=0),"",ABS(J352)/M352)</f>
        <v/>
      </c>
      <c r="O352" s="63" t="str">
        <f>IF(OR(A352="",M352&lt;=0,J352&gt;=0),"",MIN(M352,SUMPRODUCT(($A$18:$A$379=A352)*(IFERROR($B$18:$B$379&gt;=E352-30,0))*(IFERROR($B$18:$B$379&lt;=E352+30,0))*($G$18:$G$379&gt;0)*($L$18:$L$379&lt;&gt;L352)*($G$18:$G$379))+SUMPRODUCT(($A$381:$A$498=A352)*(IFERROR($B$381:$B$498&gt;=E352-30,0))*(IFERROR($B$381:$B$498&lt;=E352+30,0))*($G$381:$G$498&gt;0)*($L$381:$L$498&lt;&gt;L352)*($G$381:$G$498))))</f>
        <v/>
      </c>
      <c r="P352" s="28" t="str">
        <f>IF(OR(A352="",M352&lt;=0,J352&gt;=0),"",SUMPRODUCT(($A$18:$A$379=A352)*(IFERROR($B$18:$B$379&gt;=E352-30,0))*(IFERROR($B$18:$B$379&lt;=E352+30,0))*($G$18:$G$379&gt;0)*($L$18:$L$379&lt;&gt;L352))+SUMPRODUCT(($A$381:$A$498=A352)*(IFERROR($B$381:$B$498&gt;=E352-30,0))*(IFERROR($B$381:$B$498&lt;=E352+30,0))*($G$381:$G$498&gt;0)*($L$381:$L$498&lt;&gt;L352)))</f>
        <v/>
      </c>
      <c r="Q352" s="31" t="str">
        <f>IF(P352=1,IFERROR(INDEX($L$18:$L$379,MATCH(1,INDEX(($A$18:$A$379=A352)*(IFERROR($B$18:$B$379&gt;=E352-30,0))*(IFERROR($B$18:$B$379&lt;=E352+30,0))*($G$18:$G$379&gt;0)*($L$18:$L$379&lt;&gt;L352),0),0)),IFERROR(INDEX($L$381:$L$498,MATCH(1,INDEX(($A$381:$A$498=A352)*(IFERROR($B$381:$B$498&gt;=E352-30,0))*(IFERROR($B$381:$B$498&lt;=E352+30,0))*($G$381:$G$498&gt;0)*($L$381:$L$498&lt;&gt;L352),0),0)),"")),"")</f>
        <v/>
      </c>
      <c r="R352" s="32"/>
      <c r="S352" s="31" t="str">
        <f>IF(R352&lt;&gt;"",R352,Q352)</f>
        <v/>
      </c>
      <c r="T352" s="63">
        <f>IF(OR(N352="",O352=0),0,N352*O352)</f>
        <v>0</v>
      </c>
      <c r="U352" s="63">
        <f>IF(COUNTIF($S$18:$S$498,L352)=0,"",SUMIF($S$18:$S$498,L352,$T$18:$T$498))</f>
        <v>0</v>
      </c>
      <c r="V352" s="63" t="str">
        <f>IF(H352="","",IFERROR(H352+U352,H352))</f>
        <v/>
      </c>
      <c r="W352" s="63" t="str">
        <f>IF(OR(V352="",C352=""),"",V352/C352)</f>
        <v/>
      </c>
      <c r="X352" s="11" t="str">
        <f>IF(A352="","",IF(AND(U352&lt;&gt;"",U352&lt;&gt;0,M352=0),"Replacement lot receiving wash basis",IF(J352="","",IF(J352&gt;=0,"",IF(O352=0,"No replacement buy found",IF(P352&gt;1,"Manual selection needed","Auto matched"))))))</f>
        <v/>
      </c>
      <c r="Z352" t="str">
        <f>IF(K352="Yes",COUNTIF($K$18:K352,"Yes"),"")</f>
        <v/>
      </c>
    </row>
    <row r="353" spans="1:26" ht="34.15" customHeight="1" x14ac:dyDescent="0.2">
      <c r="A353" s="9"/>
      <c r="B353" s="69"/>
      <c r="C353" s="30"/>
      <c r="D353" s="70"/>
      <c r="E353" s="69"/>
      <c r="F353" s="70"/>
      <c r="G353" s="30"/>
      <c r="H353" s="63" t="str">
        <f>IF(OR(C353="",D353=""),"",C353*D353)</f>
        <v/>
      </c>
      <c r="I353" s="63" t="str">
        <f>IF(OR(E353="",F353="",M353&lt;=0),"",M353*F353)</f>
        <v/>
      </c>
      <c r="J353" s="63" t="str">
        <f>IF(I353="","",I353-(M353*D353))</f>
        <v/>
      </c>
      <c r="K353" s="28" t="str">
        <f>IF(A353="","",IF(T353&gt;0,"Yes","No"))</f>
        <v/>
      </c>
      <c r="L353" s="28" t="str">
        <f>IF(A353="","",A353&amp;"-"&amp;TEXT(B353,"yyyymmdd")&amp;"-R"&amp;ROW())</f>
        <v/>
      </c>
      <c r="M353" s="28" t="str">
        <f>IF(OR(C353="",G353=""),"",C353-G353)</f>
        <v/>
      </c>
      <c r="N353" s="63" t="str">
        <f>IF(OR(M353&lt;=0,J353&gt;=0),"",ABS(J353)/M353)</f>
        <v/>
      </c>
      <c r="O353" s="63" t="str">
        <f>IF(OR(A353="",M353&lt;=0,J353&gt;=0),"",MIN(M353,SUMPRODUCT(($A$18:$A$379=A353)*(IFERROR($B$18:$B$379&gt;=E353-30,0))*(IFERROR($B$18:$B$379&lt;=E353+30,0))*($G$18:$G$379&gt;0)*($L$18:$L$379&lt;&gt;L353)*($G$18:$G$379))+SUMPRODUCT(($A$381:$A$498=A353)*(IFERROR($B$381:$B$498&gt;=E353-30,0))*(IFERROR($B$381:$B$498&lt;=E353+30,0))*($G$381:$G$498&gt;0)*($L$381:$L$498&lt;&gt;L353)*($G$381:$G$498))))</f>
        <v/>
      </c>
      <c r="P353" s="28" t="str">
        <f>IF(OR(A353="",M353&lt;=0,J353&gt;=0),"",SUMPRODUCT(($A$18:$A$379=A353)*(IFERROR($B$18:$B$379&gt;=E353-30,0))*(IFERROR($B$18:$B$379&lt;=E353+30,0))*($G$18:$G$379&gt;0)*($L$18:$L$379&lt;&gt;L353))+SUMPRODUCT(($A$381:$A$498=A353)*(IFERROR($B$381:$B$498&gt;=E353-30,0))*(IFERROR($B$381:$B$498&lt;=E353+30,0))*($G$381:$G$498&gt;0)*($L$381:$L$498&lt;&gt;L353)))</f>
        <v/>
      </c>
      <c r="Q353" s="31" t="str">
        <f>IF(P353=1,IFERROR(INDEX($L$18:$L$379,MATCH(1,INDEX(($A$18:$A$379=A353)*(IFERROR($B$18:$B$379&gt;=E353-30,0))*(IFERROR($B$18:$B$379&lt;=E353+30,0))*($G$18:$G$379&gt;0)*($L$18:$L$379&lt;&gt;L353),0),0)),IFERROR(INDEX($L$381:$L$498,MATCH(1,INDEX(($A$381:$A$498=A353)*(IFERROR($B$381:$B$498&gt;=E353-30,0))*(IFERROR($B$381:$B$498&lt;=E353+30,0))*($G$381:$G$498&gt;0)*($L$381:$L$498&lt;&gt;L353),0),0)),"")),"")</f>
        <v/>
      </c>
      <c r="R353" s="32"/>
      <c r="S353" s="31" t="str">
        <f>IF(R353&lt;&gt;"",R353,Q353)</f>
        <v/>
      </c>
      <c r="T353" s="63">
        <f>IF(OR(N353="",O353=0),0,N353*O353)</f>
        <v>0</v>
      </c>
      <c r="U353" s="63">
        <f>IF(COUNTIF($S$18:$S$498,L353)=0,"",SUMIF($S$18:$S$498,L353,$T$18:$T$498))</f>
        <v>0</v>
      </c>
      <c r="V353" s="63" t="str">
        <f>IF(H353="","",IFERROR(H353+U353,H353))</f>
        <v/>
      </c>
      <c r="W353" s="63" t="str">
        <f>IF(OR(V353="",C353=""),"",V353/C353)</f>
        <v/>
      </c>
      <c r="X353" s="11" t="str">
        <f>IF(A353="","",IF(AND(U353&lt;&gt;"",U353&lt;&gt;0,M353=0),"Replacement lot receiving wash basis",IF(J353="","",IF(J353&gt;=0,"",IF(O353=0,"No replacement buy found",IF(P353&gt;1,"Manual selection needed","Auto matched"))))))</f>
        <v/>
      </c>
      <c r="Z353" t="str">
        <f>IF(K353="Yes",COUNTIF($K$18:K353,"Yes"),"")</f>
        <v/>
      </c>
    </row>
    <row r="354" spans="1:26" ht="34.15" customHeight="1" x14ac:dyDescent="0.2">
      <c r="A354" s="9"/>
      <c r="B354" s="69"/>
      <c r="C354" s="30"/>
      <c r="D354" s="70"/>
      <c r="E354" s="69"/>
      <c r="F354" s="70"/>
      <c r="G354" s="30"/>
      <c r="H354" s="63" t="str">
        <f>IF(OR(C354="",D354=""),"",C354*D354)</f>
        <v/>
      </c>
      <c r="I354" s="63" t="str">
        <f>IF(OR(E354="",F354="",M354&lt;=0),"",M354*F354)</f>
        <v/>
      </c>
      <c r="J354" s="63" t="str">
        <f>IF(I354="","",I354-(M354*D354))</f>
        <v/>
      </c>
      <c r="K354" s="28" t="str">
        <f>IF(A354="","",IF(T354&gt;0,"Yes","No"))</f>
        <v/>
      </c>
      <c r="L354" s="28" t="str">
        <f>IF(A354="","",A354&amp;"-"&amp;TEXT(B354,"yyyymmdd")&amp;"-R"&amp;ROW())</f>
        <v/>
      </c>
      <c r="M354" s="28" t="str">
        <f>IF(OR(C354="",G354=""),"",C354-G354)</f>
        <v/>
      </c>
      <c r="N354" s="63" t="str">
        <f>IF(OR(M354&lt;=0,J354&gt;=0),"",ABS(J354)/M354)</f>
        <v/>
      </c>
      <c r="O354" s="63" t="str">
        <f>IF(OR(A354="",M354&lt;=0,J354&gt;=0),"",MIN(M354,SUMPRODUCT(($A$18:$A$379=A354)*(IFERROR($B$18:$B$379&gt;=E354-30,0))*(IFERROR($B$18:$B$379&lt;=E354+30,0))*($G$18:$G$379&gt;0)*($L$18:$L$379&lt;&gt;L354)*($G$18:$G$379))+SUMPRODUCT(($A$381:$A$498=A354)*(IFERROR($B$381:$B$498&gt;=E354-30,0))*(IFERROR($B$381:$B$498&lt;=E354+30,0))*($G$381:$G$498&gt;0)*($L$381:$L$498&lt;&gt;L354)*($G$381:$G$498))))</f>
        <v/>
      </c>
      <c r="P354" s="28" t="str">
        <f>IF(OR(A354="",M354&lt;=0,J354&gt;=0),"",SUMPRODUCT(($A$18:$A$379=A354)*(IFERROR($B$18:$B$379&gt;=E354-30,0))*(IFERROR($B$18:$B$379&lt;=E354+30,0))*($G$18:$G$379&gt;0)*($L$18:$L$379&lt;&gt;L354))+SUMPRODUCT(($A$381:$A$498=A354)*(IFERROR($B$381:$B$498&gt;=E354-30,0))*(IFERROR($B$381:$B$498&lt;=E354+30,0))*($G$381:$G$498&gt;0)*($L$381:$L$498&lt;&gt;L354)))</f>
        <v/>
      </c>
      <c r="Q354" s="31" t="str">
        <f>IF(P354=1,IFERROR(INDEX($L$18:$L$379,MATCH(1,INDEX(($A$18:$A$379=A354)*(IFERROR($B$18:$B$379&gt;=E354-30,0))*(IFERROR($B$18:$B$379&lt;=E354+30,0))*($G$18:$G$379&gt;0)*($L$18:$L$379&lt;&gt;L354),0),0)),IFERROR(INDEX($L$381:$L$498,MATCH(1,INDEX(($A$381:$A$498=A354)*(IFERROR($B$381:$B$498&gt;=E354-30,0))*(IFERROR($B$381:$B$498&lt;=E354+30,0))*($G$381:$G$498&gt;0)*($L$381:$L$498&lt;&gt;L354),0),0)),"")),"")</f>
        <v/>
      </c>
      <c r="R354" s="32"/>
      <c r="S354" s="31" t="str">
        <f>IF(R354&lt;&gt;"",R354,Q354)</f>
        <v/>
      </c>
      <c r="T354" s="63">
        <f>IF(OR(N354="",O354=0),0,N354*O354)</f>
        <v>0</v>
      </c>
      <c r="U354" s="63">
        <f>IF(COUNTIF($S$18:$S$498,L354)=0,"",SUMIF($S$18:$S$498,L354,$T$18:$T$498))</f>
        <v>0</v>
      </c>
      <c r="V354" s="63" t="str">
        <f>IF(H354="","",IFERROR(H354+U354,H354))</f>
        <v/>
      </c>
      <c r="W354" s="63" t="str">
        <f>IF(OR(V354="",C354=""),"",V354/C354)</f>
        <v/>
      </c>
      <c r="X354" s="11" t="str">
        <f>IF(A354="","",IF(AND(U354&lt;&gt;"",U354&lt;&gt;0,M354=0),"Replacement lot receiving wash basis",IF(J354="","",IF(J354&gt;=0,"",IF(O354=0,"No replacement buy found",IF(P354&gt;1,"Manual selection needed","Auto matched"))))))</f>
        <v/>
      </c>
      <c r="Z354" t="str">
        <f>IF(K354="Yes",COUNTIF($K$18:K354,"Yes"),"")</f>
        <v/>
      </c>
    </row>
    <row r="355" spans="1:26" ht="34.15" customHeight="1" x14ac:dyDescent="0.2">
      <c r="A355" s="9"/>
      <c r="B355" s="69"/>
      <c r="C355" s="30"/>
      <c r="D355" s="70"/>
      <c r="E355" s="69"/>
      <c r="F355" s="70"/>
      <c r="G355" s="30"/>
      <c r="H355" s="63" t="str">
        <f>IF(OR(C355="",D355=""),"",C355*D355)</f>
        <v/>
      </c>
      <c r="I355" s="63" t="str">
        <f>IF(OR(E355="",F355="",M355&lt;=0),"",M355*F355)</f>
        <v/>
      </c>
      <c r="J355" s="63" t="str">
        <f>IF(I355="","",I355-(M355*D355))</f>
        <v/>
      </c>
      <c r="K355" s="28" t="str">
        <f>IF(A355="","",IF(T355&gt;0,"Yes","No"))</f>
        <v/>
      </c>
      <c r="L355" s="28" t="str">
        <f>IF(A355="","",A355&amp;"-"&amp;TEXT(B355,"yyyymmdd")&amp;"-R"&amp;ROW())</f>
        <v/>
      </c>
      <c r="M355" s="28" t="str">
        <f>IF(OR(C355="",G355=""),"",C355-G355)</f>
        <v/>
      </c>
      <c r="N355" s="63" t="str">
        <f>IF(OR(M355&lt;=0,J355&gt;=0),"",ABS(J355)/M355)</f>
        <v/>
      </c>
      <c r="O355" s="63" t="str">
        <f>IF(OR(A355="",M355&lt;=0,J355&gt;=0),"",MIN(M355,SUMPRODUCT(($A$18:$A$379=A355)*(IFERROR($B$18:$B$379&gt;=E355-30,0))*(IFERROR($B$18:$B$379&lt;=E355+30,0))*($G$18:$G$379&gt;0)*($L$18:$L$379&lt;&gt;L355)*($G$18:$G$379))+SUMPRODUCT(($A$381:$A$498=A355)*(IFERROR($B$381:$B$498&gt;=E355-30,0))*(IFERROR($B$381:$B$498&lt;=E355+30,0))*($G$381:$G$498&gt;0)*($L$381:$L$498&lt;&gt;L355)*($G$381:$G$498))))</f>
        <v/>
      </c>
      <c r="P355" s="28" t="str">
        <f>IF(OR(A355="",M355&lt;=0,J355&gt;=0),"",SUMPRODUCT(($A$18:$A$379=A355)*(IFERROR($B$18:$B$379&gt;=E355-30,0))*(IFERROR($B$18:$B$379&lt;=E355+30,0))*($G$18:$G$379&gt;0)*($L$18:$L$379&lt;&gt;L355))+SUMPRODUCT(($A$381:$A$498=A355)*(IFERROR($B$381:$B$498&gt;=E355-30,0))*(IFERROR($B$381:$B$498&lt;=E355+30,0))*($G$381:$G$498&gt;0)*($L$381:$L$498&lt;&gt;L355)))</f>
        <v/>
      </c>
      <c r="Q355" s="31" t="str">
        <f>IF(P355=1,IFERROR(INDEX($L$18:$L$379,MATCH(1,INDEX(($A$18:$A$379=A355)*(IFERROR($B$18:$B$379&gt;=E355-30,0))*(IFERROR($B$18:$B$379&lt;=E355+30,0))*($G$18:$G$379&gt;0)*($L$18:$L$379&lt;&gt;L355),0),0)),IFERROR(INDEX($L$381:$L$498,MATCH(1,INDEX(($A$381:$A$498=A355)*(IFERROR($B$381:$B$498&gt;=E355-30,0))*(IFERROR($B$381:$B$498&lt;=E355+30,0))*($G$381:$G$498&gt;0)*($L$381:$L$498&lt;&gt;L355),0),0)),"")),"")</f>
        <v/>
      </c>
      <c r="R355" s="32"/>
      <c r="S355" s="31" t="str">
        <f>IF(R355&lt;&gt;"",R355,Q355)</f>
        <v/>
      </c>
      <c r="T355" s="63">
        <f>IF(OR(N355="",O355=0),0,N355*O355)</f>
        <v>0</v>
      </c>
      <c r="U355" s="63">
        <f>IF(COUNTIF($S$18:$S$498,L355)=0,"",SUMIF($S$18:$S$498,L355,$T$18:$T$498))</f>
        <v>0</v>
      </c>
      <c r="V355" s="63" t="str">
        <f>IF(H355="","",IFERROR(H355+U355,H355))</f>
        <v/>
      </c>
      <c r="W355" s="63" t="str">
        <f>IF(OR(V355="",C355=""),"",V355/C355)</f>
        <v/>
      </c>
      <c r="X355" s="11" t="str">
        <f>IF(A355="","",IF(AND(U355&lt;&gt;"",U355&lt;&gt;0,M355=0),"Replacement lot receiving wash basis",IF(J355="","",IF(J355&gt;=0,"",IF(O355=0,"No replacement buy found",IF(P355&gt;1,"Manual selection needed","Auto matched"))))))</f>
        <v/>
      </c>
      <c r="Z355" t="str">
        <f>IF(K355="Yes",COUNTIF($K$18:K355,"Yes"),"")</f>
        <v/>
      </c>
    </row>
    <row r="356" spans="1:26" ht="34.15" customHeight="1" x14ac:dyDescent="0.2">
      <c r="A356" s="9"/>
      <c r="B356" s="69"/>
      <c r="C356" s="30"/>
      <c r="D356" s="70"/>
      <c r="E356" s="69"/>
      <c r="F356" s="70"/>
      <c r="G356" s="30"/>
      <c r="H356" s="63" t="str">
        <f>IF(OR(C356="",D356=""),"",C356*D356)</f>
        <v/>
      </c>
      <c r="I356" s="63" t="str">
        <f>IF(OR(E356="",F356="",M356&lt;=0),"",M356*F356)</f>
        <v/>
      </c>
      <c r="J356" s="63" t="str">
        <f>IF(I356="","",I356-(M356*D356))</f>
        <v/>
      </c>
      <c r="K356" s="28" t="str">
        <f>IF(A356="","",IF(T356&gt;0,"Yes","No"))</f>
        <v/>
      </c>
      <c r="L356" s="28" t="str">
        <f>IF(A356="","",A356&amp;"-"&amp;TEXT(B356,"yyyymmdd")&amp;"-R"&amp;ROW())</f>
        <v/>
      </c>
      <c r="M356" s="28" t="str">
        <f>IF(OR(C356="",G356=""),"",C356-G356)</f>
        <v/>
      </c>
      <c r="N356" s="63" t="str">
        <f>IF(OR(M356&lt;=0,J356&gt;=0),"",ABS(J356)/M356)</f>
        <v/>
      </c>
      <c r="O356" s="63" t="str">
        <f>IF(OR(A356="",M356&lt;=0,J356&gt;=0),"",MIN(M356,SUMPRODUCT(($A$18:$A$379=A356)*(IFERROR($B$18:$B$379&gt;=E356-30,0))*(IFERROR($B$18:$B$379&lt;=E356+30,0))*($G$18:$G$379&gt;0)*($L$18:$L$379&lt;&gt;L356)*($G$18:$G$379))+SUMPRODUCT(($A$381:$A$498=A356)*(IFERROR($B$381:$B$498&gt;=E356-30,0))*(IFERROR($B$381:$B$498&lt;=E356+30,0))*($G$381:$G$498&gt;0)*($L$381:$L$498&lt;&gt;L356)*($G$381:$G$498))))</f>
        <v/>
      </c>
      <c r="P356" s="28" t="str">
        <f>IF(OR(A356="",M356&lt;=0,J356&gt;=0),"",SUMPRODUCT(($A$18:$A$379=A356)*(IFERROR($B$18:$B$379&gt;=E356-30,0))*(IFERROR($B$18:$B$379&lt;=E356+30,0))*($G$18:$G$379&gt;0)*($L$18:$L$379&lt;&gt;L356))+SUMPRODUCT(($A$381:$A$498=A356)*(IFERROR($B$381:$B$498&gt;=E356-30,0))*(IFERROR($B$381:$B$498&lt;=E356+30,0))*($G$381:$G$498&gt;0)*($L$381:$L$498&lt;&gt;L356)))</f>
        <v/>
      </c>
      <c r="Q356" s="31" t="str">
        <f>IF(P356=1,IFERROR(INDEX($L$18:$L$379,MATCH(1,INDEX(($A$18:$A$379=A356)*(IFERROR($B$18:$B$379&gt;=E356-30,0))*(IFERROR($B$18:$B$379&lt;=E356+30,0))*($G$18:$G$379&gt;0)*($L$18:$L$379&lt;&gt;L356),0),0)),IFERROR(INDEX($L$381:$L$498,MATCH(1,INDEX(($A$381:$A$498=A356)*(IFERROR($B$381:$B$498&gt;=E356-30,0))*(IFERROR($B$381:$B$498&lt;=E356+30,0))*($G$381:$G$498&gt;0)*($L$381:$L$498&lt;&gt;L356),0),0)),"")),"")</f>
        <v/>
      </c>
      <c r="R356" s="32"/>
      <c r="S356" s="31" t="str">
        <f>IF(R356&lt;&gt;"",R356,Q356)</f>
        <v/>
      </c>
      <c r="T356" s="63">
        <f>IF(OR(N356="",O356=0),0,N356*O356)</f>
        <v>0</v>
      </c>
      <c r="U356" s="63">
        <f>IF(COUNTIF($S$18:$S$498,L356)=0,"",SUMIF($S$18:$S$498,L356,$T$18:$T$498))</f>
        <v>0</v>
      </c>
      <c r="V356" s="63" t="str">
        <f>IF(H356="","",IFERROR(H356+U356,H356))</f>
        <v/>
      </c>
      <c r="W356" s="63" t="str">
        <f>IF(OR(V356="",C356=""),"",V356/C356)</f>
        <v/>
      </c>
      <c r="X356" s="11" t="str">
        <f>IF(A356="","",IF(AND(U356&lt;&gt;"",U356&lt;&gt;0,M356=0),"Replacement lot receiving wash basis",IF(J356="","",IF(J356&gt;=0,"",IF(O356=0,"No replacement buy found",IF(P356&gt;1,"Manual selection needed","Auto matched"))))))</f>
        <v/>
      </c>
      <c r="Z356" t="str">
        <f>IF(K356="Yes",COUNTIF($K$18:K356,"Yes"),"")</f>
        <v/>
      </c>
    </row>
    <row r="357" spans="1:26" ht="34.15" customHeight="1" x14ac:dyDescent="0.2">
      <c r="A357" s="9"/>
      <c r="B357" s="69"/>
      <c r="C357" s="30"/>
      <c r="D357" s="70"/>
      <c r="E357" s="69"/>
      <c r="F357" s="70"/>
      <c r="G357" s="30"/>
      <c r="H357" s="63" t="str">
        <f>IF(OR(C357="",D357=""),"",C357*D357)</f>
        <v/>
      </c>
      <c r="I357" s="63" t="str">
        <f>IF(OR(E357="",F357="",M357&lt;=0),"",M357*F357)</f>
        <v/>
      </c>
      <c r="J357" s="63" t="str">
        <f>IF(I357="","",I357-(M357*D357))</f>
        <v/>
      </c>
      <c r="K357" s="28" t="str">
        <f>IF(A357="","",IF(T357&gt;0,"Yes","No"))</f>
        <v/>
      </c>
      <c r="L357" s="28" t="str">
        <f>IF(A357="","",A357&amp;"-"&amp;TEXT(B357,"yyyymmdd")&amp;"-R"&amp;ROW())</f>
        <v/>
      </c>
      <c r="M357" s="28" t="str">
        <f>IF(OR(C357="",G357=""),"",C357-G357)</f>
        <v/>
      </c>
      <c r="N357" s="63" t="str">
        <f>IF(OR(M357&lt;=0,J357&gt;=0),"",ABS(J357)/M357)</f>
        <v/>
      </c>
      <c r="O357" s="63" t="str">
        <f>IF(OR(A357="",M357&lt;=0,J357&gt;=0),"",MIN(M357,SUMPRODUCT(($A$18:$A$379=A357)*(IFERROR($B$18:$B$379&gt;=E357-30,0))*(IFERROR($B$18:$B$379&lt;=E357+30,0))*($G$18:$G$379&gt;0)*($L$18:$L$379&lt;&gt;L357)*($G$18:$G$379))+SUMPRODUCT(($A$381:$A$498=A357)*(IFERROR($B$381:$B$498&gt;=E357-30,0))*(IFERROR($B$381:$B$498&lt;=E357+30,0))*($G$381:$G$498&gt;0)*($L$381:$L$498&lt;&gt;L357)*($G$381:$G$498))))</f>
        <v/>
      </c>
      <c r="P357" s="28" t="str">
        <f>IF(OR(A357="",M357&lt;=0,J357&gt;=0),"",SUMPRODUCT(($A$18:$A$379=A357)*(IFERROR($B$18:$B$379&gt;=E357-30,0))*(IFERROR($B$18:$B$379&lt;=E357+30,0))*($G$18:$G$379&gt;0)*($L$18:$L$379&lt;&gt;L357))+SUMPRODUCT(($A$381:$A$498=A357)*(IFERROR($B$381:$B$498&gt;=E357-30,0))*(IFERROR($B$381:$B$498&lt;=E357+30,0))*($G$381:$G$498&gt;0)*($L$381:$L$498&lt;&gt;L357)))</f>
        <v/>
      </c>
      <c r="Q357" s="31" t="str">
        <f>IF(P357=1,IFERROR(INDEX($L$18:$L$379,MATCH(1,INDEX(($A$18:$A$379=A357)*(IFERROR($B$18:$B$379&gt;=E357-30,0))*(IFERROR($B$18:$B$379&lt;=E357+30,0))*($G$18:$G$379&gt;0)*($L$18:$L$379&lt;&gt;L357),0),0)),IFERROR(INDEX($L$381:$L$498,MATCH(1,INDEX(($A$381:$A$498=A357)*(IFERROR($B$381:$B$498&gt;=E357-30,0))*(IFERROR($B$381:$B$498&lt;=E357+30,0))*($G$381:$G$498&gt;0)*($L$381:$L$498&lt;&gt;L357),0),0)),"")),"")</f>
        <v/>
      </c>
      <c r="R357" s="32"/>
      <c r="S357" s="31" t="str">
        <f>IF(R357&lt;&gt;"",R357,Q357)</f>
        <v/>
      </c>
      <c r="T357" s="63">
        <f>IF(OR(N357="",O357=0),0,N357*O357)</f>
        <v>0</v>
      </c>
      <c r="U357" s="63">
        <f>IF(COUNTIF($S$18:$S$498,L357)=0,"",SUMIF($S$18:$S$498,L357,$T$18:$T$498))</f>
        <v>0</v>
      </c>
      <c r="V357" s="63" t="str">
        <f>IF(H357="","",IFERROR(H357+U357,H357))</f>
        <v/>
      </c>
      <c r="W357" s="63" t="str">
        <f>IF(OR(V357="",C357=""),"",V357/C357)</f>
        <v/>
      </c>
      <c r="X357" s="11" t="str">
        <f>IF(A357="","",IF(AND(U357&lt;&gt;"",U357&lt;&gt;0,M357=0),"Replacement lot receiving wash basis",IF(J357="","",IF(J357&gt;=0,"",IF(O357=0,"No replacement buy found",IF(P357&gt;1,"Manual selection needed","Auto matched"))))))</f>
        <v/>
      </c>
      <c r="Z357" t="str">
        <f>IF(K357="Yes",COUNTIF($K$18:K357,"Yes"),"")</f>
        <v/>
      </c>
    </row>
    <row r="358" spans="1:26" ht="34.15" customHeight="1" x14ac:dyDescent="0.2">
      <c r="A358" s="9"/>
      <c r="B358" s="69"/>
      <c r="C358" s="30"/>
      <c r="D358" s="70"/>
      <c r="E358" s="69"/>
      <c r="F358" s="70"/>
      <c r="G358" s="30"/>
      <c r="H358" s="63" t="str">
        <f>IF(OR(C358="",D358=""),"",C358*D358)</f>
        <v/>
      </c>
      <c r="I358" s="63" t="str">
        <f>IF(OR(E358="",F358="",M358&lt;=0),"",M358*F358)</f>
        <v/>
      </c>
      <c r="J358" s="63" t="str">
        <f>IF(I358="","",I358-(M358*D358))</f>
        <v/>
      </c>
      <c r="K358" s="28" t="str">
        <f>IF(A358="","",IF(T358&gt;0,"Yes","No"))</f>
        <v/>
      </c>
      <c r="L358" s="28" t="str">
        <f>IF(A358="","",A358&amp;"-"&amp;TEXT(B358,"yyyymmdd")&amp;"-R"&amp;ROW())</f>
        <v/>
      </c>
      <c r="M358" s="28" t="str">
        <f>IF(OR(C358="",G358=""),"",C358-G358)</f>
        <v/>
      </c>
      <c r="N358" s="63" t="str">
        <f>IF(OR(M358&lt;=0,J358&gt;=0),"",ABS(J358)/M358)</f>
        <v/>
      </c>
      <c r="O358" s="63" t="str">
        <f>IF(OR(A358="",M358&lt;=0,J358&gt;=0),"",MIN(M358,SUMPRODUCT(($A$18:$A$379=A358)*(IFERROR($B$18:$B$379&gt;=E358-30,0))*(IFERROR($B$18:$B$379&lt;=E358+30,0))*($G$18:$G$379&gt;0)*($L$18:$L$379&lt;&gt;L358)*($G$18:$G$379))+SUMPRODUCT(($A$381:$A$498=A358)*(IFERROR($B$381:$B$498&gt;=E358-30,0))*(IFERROR($B$381:$B$498&lt;=E358+30,0))*($G$381:$G$498&gt;0)*($L$381:$L$498&lt;&gt;L358)*($G$381:$G$498))))</f>
        <v/>
      </c>
      <c r="P358" s="28" t="str">
        <f>IF(OR(A358="",M358&lt;=0,J358&gt;=0),"",SUMPRODUCT(($A$18:$A$379=A358)*(IFERROR($B$18:$B$379&gt;=E358-30,0))*(IFERROR($B$18:$B$379&lt;=E358+30,0))*($G$18:$G$379&gt;0)*($L$18:$L$379&lt;&gt;L358))+SUMPRODUCT(($A$381:$A$498=A358)*(IFERROR($B$381:$B$498&gt;=E358-30,0))*(IFERROR($B$381:$B$498&lt;=E358+30,0))*($G$381:$G$498&gt;0)*($L$381:$L$498&lt;&gt;L358)))</f>
        <v/>
      </c>
      <c r="Q358" s="31" t="str">
        <f>IF(P358=1,IFERROR(INDEX($L$18:$L$379,MATCH(1,INDEX(($A$18:$A$379=A358)*(IFERROR($B$18:$B$379&gt;=E358-30,0))*(IFERROR($B$18:$B$379&lt;=E358+30,0))*($G$18:$G$379&gt;0)*($L$18:$L$379&lt;&gt;L358),0),0)),IFERROR(INDEX($L$381:$L$498,MATCH(1,INDEX(($A$381:$A$498=A358)*(IFERROR($B$381:$B$498&gt;=E358-30,0))*(IFERROR($B$381:$B$498&lt;=E358+30,0))*($G$381:$G$498&gt;0)*($L$381:$L$498&lt;&gt;L358),0),0)),"")),"")</f>
        <v/>
      </c>
      <c r="R358" s="32"/>
      <c r="S358" s="31" t="str">
        <f>IF(R358&lt;&gt;"",R358,Q358)</f>
        <v/>
      </c>
      <c r="T358" s="63">
        <f>IF(OR(N358="",O358=0),0,N358*O358)</f>
        <v>0</v>
      </c>
      <c r="U358" s="63">
        <f>IF(COUNTIF($S$18:$S$498,L358)=0,"",SUMIF($S$18:$S$498,L358,$T$18:$T$498))</f>
        <v>0</v>
      </c>
      <c r="V358" s="63" t="str">
        <f>IF(H358="","",IFERROR(H358+U358,H358))</f>
        <v/>
      </c>
      <c r="W358" s="63" t="str">
        <f>IF(OR(V358="",C358=""),"",V358/C358)</f>
        <v/>
      </c>
      <c r="X358" s="11" t="str">
        <f>IF(A358="","",IF(AND(U358&lt;&gt;"",U358&lt;&gt;0,M358=0),"Replacement lot receiving wash basis",IF(J358="","",IF(J358&gt;=0,"",IF(O358=0,"No replacement buy found",IF(P358&gt;1,"Manual selection needed","Auto matched"))))))</f>
        <v/>
      </c>
      <c r="Z358" t="str">
        <f>IF(K358="Yes",COUNTIF($K$18:K358,"Yes"),"")</f>
        <v/>
      </c>
    </row>
    <row r="359" spans="1:26" ht="34.15" customHeight="1" x14ac:dyDescent="0.2">
      <c r="A359" s="9"/>
      <c r="B359" s="69"/>
      <c r="C359" s="30"/>
      <c r="D359" s="70"/>
      <c r="E359" s="69"/>
      <c r="F359" s="70"/>
      <c r="G359" s="30"/>
      <c r="H359" s="63" t="str">
        <f>IF(OR(C359="",D359=""),"",C359*D359)</f>
        <v/>
      </c>
      <c r="I359" s="63" t="str">
        <f>IF(OR(E359="",F359="",M359&lt;=0),"",M359*F359)</f>
        <v/>
      </c>
      <c r="J359" s="63" t="str">
        <f>IF(I359="","",I359-(M359*D359))</f>
        <v/>
      </c>
      <c r="K359" s="28" t="str">
        <f>IF(A359="","",IF(T359&gt;0,"Yes","No"))</f>
        <v/>
      </c>
      <c r="L359" s="28" t="str">
        <f>IF(A359="","",A359&amp;"-"&amp;TEXT(B359,"yyyymmdd")&amp;"-R"&amp;ROW())</f>
        <v/>
      </c>
      <c r="M359" s="28" t="str">
        <f>IF(OR(C359="",G359=""),"",C359-G359)</f>
        <v/>
      </c>
      <c r="N359" s="63" t="str">
        <f>IF(OR(M359&lt;=0,J359&gt;=0),"",ABS(J359)/M359)</f>
        <v/>
      </c>
      <c r="O359" s="63" t="str">
        <f>IF(OR(A359="",M359&lt;=0,J359&gt;=0),"",MIN(M359,SUMPRODUCT(($A$18:$A$379=A359)*(IFERROR($B$18:$B$379&gt;=E359-30,0))*(IFERROR($B$18:$B$379&lt;=E359+30,0))*($G$18:$G$379&gt;0)*($L$18:$L$379&lt;&gt;L359)*($G$18:$G$379))+SUMPRODUCT(($A$381:$A$498=A359)*(IFERROR($B$381:$B$498&gt;=E359-30,0))*(IFERROR($B$381:$B$498&lt;=E359+30,0))*($G$381:$G$498&gt;0)*($L$381:$L$498&lt;&gt;L359)*($G$381:$G$498))))</f>
        <v/>
      </c>
      <c r="P359" s="28" t="str">
        <f>IF(OR(A359="",M359&lt;=0,J359&gt;=0),"",SUMPRODUCT(($A$18:$A$379=A359)*(IFERROR($B$18:$B$379&gt;=E359-30,0))*(IFERROR($B$18:$B$379&lt;=E359+30,0))*($G$18:$G$379&gt;0)*($L$18:$L$379&lt;&gt;L359))+SUMPRODUCT(($A$381:$A$498=A359)*(IFERROR($B$381:$B$498&gt;=E359-30,0))*(IFERROR($B$381:$B$498&lt;=E359+30,0))*($G$381:$G$498&gt;0)*($L$381:$L$498&lt;&gt;L359)))</f>
        <v/>
      </c>
      <c r="Q359" s="31" t="str">
        <f>IF(P359=1,IFERROR(INDEX($L$18:$L$379,MATCH(1,INDEX(($A$18:$A$379=A359)*(IFERROR($B$18:$B$379&gt;=E359-30,0))*(IFERROR($B$18:$B$379&lt;=E359+30,0))*($G$18:$G$379&gt;0)*($L$18:$L$379&lt;&gt;L359),0),0)),IFERROR(INDEX($L$381:$L$498,MATCH(1,INDEX(($A$381:$A$498=A359)*(IFERROR($B$381:$B$498&gt;=E359-30,0))*(IFERROR($B$381:$B$498&lt;=E359+30,0))*($G$381:$G$498&gt;0)*($L$381:$L$498&lt;&gt;L359),0),0)),"")),"")</f>
        <v/>
      </c>
      <c r="R359" s="32"/>
      <c r="S359" s="31" t="str">
        <f>IF(R359&lt;&gt;"",R359,Q359)</f>
        <v/>
      </c>
      <c r="T359" s="63">
        <f>IF(OR(N359="",O359=0),0,N359*O359)</f>
        <v>0</v>
      </c>
      <c r="U359" s="63">
        <f>IF(COUNTIF($S$18:$S$498,L359)=0,"",SUMIF($S$18:$S$498,L359,$T$18:$T$498))</f>
        <v>0</v>
      </c>
      <c r="V359" s="63" t="str">
        <f>IF(H359="","",IFERROR(H359+U359,H359))</f>
        <v/>
      </c>
      <c r="W359" s="63" t="str">
        <f>IF(OR(V359="",C359=""),"",V359/C359)</f>
        <v/>
      </c>
      <c r="X359" s="11" t="str">
        <f>IF(A359="","",IF(AND(U359&lt;&gt;"",U359&lt;&gt;0,M359=0),"Replacement lot receiving wash basis",IF(J359="","",IF(J359&gt;=0,"",IF(O359=0,"No replacement buy found",IF(P359&gt;1,"Manual selection needed","Auto matched"))))))</f>
        <v/>
      </c>
      <c r="Z359" t="str">
        <f>IF(K359="Yes",COUNTIF($K$18:K359,"Yes"),"")</f>
        <v/>
      </c>
    </row>
    <row r="360" spans="1:26" ht="34.15" customHeight="1" x14ac:dyDescent="0.2">
      <c r="A360" s="9"/>
      <c r="B360" s="69"/>
      <c r="C360" s="30"/>
      <c r="D360" s="70"/>
      <c r="E360" s="69"/>
      <c r="F360" s="70"/>
      <c r="G360" s="30"/>
      <c r="H360" s="63" t="str">
        <f>IF(OR(C360="",D360=""),"",C360*D360)</f>
        <v/>
      </c>
      <c r="I360" s="63" t="str">
        <f>IF(OR(E360="",F360="",M360&lt;=0),"",M360*F360)</f>
        <v/>
      </c>
      <c r="J360" s="63" t="str">
        <f>IF(I360="","",I360-(M360*D360))</f>
        <v/>
      </c>
      <c r="K360" s="28" t="str">
        <f>IF(A360="","",IF(T360&gt;0,"Yes","No"))</f>
        <v/>
      </c>
      <c r="L360" s="28" t="str">
        <f>IF(A360="","",A360&amp;"-"&amp;TEXT(B360,"yyyymmdd")&amp;"-R"&amp;ROW())</f>
        <v/>
      </c>
      <c r="M360" s="28" t="str">
        <f>IF(OR(C360="",G360=""),"",C360-G360)</f>
        <v/>
      </c>
      <c r="N360" s="63" t="str">
        <f>IF(OR(M360&lt;=0,J360&gt;=0),"",ABS(J360)/M360)</f>
        <v/>
      </c>
      <c r="O360" s="63" t="str">
        <f>IF(OR(A360="",M360&lt;=0,J360&gt;=0),"",MIN(M360,SUMPRODUCT(($A$18:$A$379=A360)*(IFERROR($B$18:$B$379&gt;=E360-30,0))*(IFERROR($B$18:$B$379&lt;=E360+30,0))*($G$18:$G$379&gt;0)*($L$18:$L$379&lt;&gt;L360)*($G$18:$G$379))+SUMPRODUCT(($A$381:$A$498=A360)*(IFERROR($B$381:$B$498&gt;=E360-30,0))*(IFERROR($B$381:$B$498&lt;=E360+30,0))*($G$381:$G$498&gt;0)*($L$381:$L$498&lt;&gt;L360)*($G$381:$G$498))))</f>
        <v/>
      </c>
      <c r="P360" s="28" t="str">
        <f>IF(OR(A360="",M360&lt;=0,J360&gt;=0),"",SUMPRODUCT(($A$18:$A$379=A360)*(IFERROR($B$18:$B$379&gt;=E360-30,0))*(IFERROR($B$18:$B$379&lt;=E360+30,0))*($G$18:$G$379&gt;0)*($L$18:$L$379&lt;&gt;L360))+SUMPRODUCT(($A$381:$A$498=A360)*(IFERROR($B$381:$B$498&gt;=E360-30,0))*(IFERROR($B$381:$B$498&lt;=E360+30,0))*($G$381:$G$498&gt;0)*($L$381:$L$498&lt;&gt;L360)))</f>
        <v/>
      </c>
      <c r="Q360" s="31" t="str">
        <f>IF(P360=1,IFERROR(INDEX($L$18:$L$379,MATCH(1,INDEX(($A$18:$A$379=A360)*(IFERROR($B$18:$B$379&gt;=E360-30,0))*(IFERROR($B$18:$B$379&lt;=E360+30,0))*($G$18:$G$379&gt;0)*($L$18:$L$379&lt;&gt;L360),0),0)),IFERROR(INDEX($L$381:$L$498,MATCH(1,INDEX(($A$381:$A$498=A360)*(IFERROR($B$381:$B$498&gt;=E360-30,0))*(IFERROR($B$381:$B$498&lt;=E360+30,0))*($G$381:$G$498&gt;0)*($L$381:$L$498&lt;&gt;L360),0),0)),"")),"")</f>
        <v/>
      </c>
      <c r="R360" s="32"/>
      <c r="S360" s="31" t="str">
        <f>IF(R360&lt;&gt;"",R360,Q360)</f>
        <v/>
      </c>
      <c r="T360" s="63">
        <f>IF(OR(N360="",O360=0),0,N360*O360)</f>
        <v>0</v>
      </c>
      <c r="U360" s="63">
        <f>IF(COUNTIF($S$18:$S$498,L360)=0,"",SUMIF($S$18:$S$498,L360,$T$18:$T$498))</f>
        <v>0</v>
      </c>
      <c r="V360" s="63" t="str">
        <f>IF(H360="","",IFERROR(H360+U360,H360))</f>
        <v/>
      </c>
      <c r="W360" s="63" t="str">
        <f>IF(OR(V360="",C360=""),"",V360/C360)</f>
        <v/>
      </c>
      <c r="X360" s="11" t="str">
        <f>IF(A360="","",IF(AND(U360&lt;&gt;"",U360&lt;&gt;0,M360=0),"Replacement lot receiving wash basis",IF(J360="","",IF(J360&gt;=0,"",IF(O360=0,"No replacement buy found",IF(P360&gt;1,"Manual selection needed","Auto matched"))))))</f>
        <v/>
      </c>
      <c r="Z360" t="str">
        <f>IF(K360="Yes",COUNTIF($K$18:K360,"Yes"),"")</f>
        <v/>
      </c>
    </row>
    <row r="361" spans="1:26" ht="34.15" customHeight="1" x14ac:dyDescent="0.2">
      <c r="A361" s="9"/>
      <c r="B361" s="69"/>
      <c r="C361" s="30"/>
      <c r="D361" s="70"/>
      <c r="E361" s="69"/>
      <c r="F361" s="70"/>
      <c r="G361" s="30"/>
      <c r="H361" s="63" t="str">
        <f>IF(OR(C361="",D361=""),"",C361*D361)</f>
        <v/>
      </c>
      <c r="I361" s="63" t="str">
        <f>IF(OR(E361="",F361="",M361&lt;=0),"",M361*F361)</f>
        <v/>
      </c>
      <c r="J361" s="63" t="str">
        <f>IF(I361="","",I361-(M361*D361))</f>
        <v/>
      </c>
      <c r="K361" s="28" t="str">
        <f>IF(A361="","",IF(T361&gt;0,"Yes","No"))</f>
        <v/>
      </c>
      <c r="L361" s="28" t="str">
        <f>IF(A361="","",A361&amp;"-"&amp;TEXT(B361,"yyyymmdd")&amp;"-R"&amp;ROW())</f>
        <v/>
      </c>
      <c r="M361" s="28" t="str">
        <f>IF(OR(C361="",G361=""),"",C361-G361)</f>
        <v/>
      </c>
      <c r="N361" s="63" t="str">
        <f>IF(OR(M361&lt;=0,J361&gt;=0),"",ABS(J361)/M361)</f>
        <v/>
      </c>
      <c r="O361" s="63" t="str">
        <f>IF(OR(A361="",M361&lt;=0,J361&gt;=0),"",MIN(M361,SUMPRODUCT(($A$18:$A$379=A361)*(IFERROR($B$18:$B$379&gt;=E361-30,0))*(IFERROR($B$18:$B$379&lt;=E361+30,0))*($G$18:$G$379&gt;0)*($L$18:$L$379&lt;&gt;L361)*($G$18:$G$379))+SUMPRODUCT(($A$381:$A$498=A361)*(IFERROR($B$381:$B$498&gt;=E361-30,0))*(IFERROR($B$381:$B$498&lt;=E361+30,0))*($G$381:$G$498&gt;0)*($L$381:$L$498&lt;&gt;L361)*($G$381:$G$498))))</f>
        <v/>
      </c>
      <c r="P361" s="28" t="str">
        <f>IF(OR(A361="",M361&lt;=0,J361&gt;=0),"",SUMPRODUCT(($A$18:$A$379=A361)*(IFERROR($B$18:$B$379&gt;=E361-30,0))*(IFERROR($B$18:$B$379&lt;=E361+30,0))*($G$18:$G$379&gt;0)*($L$18:$L$379&lt;&gt;L361))+SUMPRODUCT(($A$381:$A$498=A361)*(IFERROR($B$381:$B$498&gt;=E361-30,0))*(IFERROR($B$381:$B$498&lt;=E361+30,0))*($G$381:$G$498&gt;0)*($L$381:$L$498&lt;&gt;L361)))</f>
        <v/>
      </c>
      <c r="Q361" s="31" t="str">
        <f>IF(P361=1,IFERROR(INDEX($L$18:$L$379,MATCH(1,INDEX(($A$18:$A$379=A361)*(IFERROR($B$18:$B$379&gt;=E361-30,0))*(IFERROR($B$18:$B$379&lt;=E361+30,0))*($G$18:$G$379&gt;0)*($L$18:$L$379&lt;&gt;L361),0),0)),IFERROR(INDEX($L$381:$L$498,MATCH(1,INDEX(($A$381:$A$498=A361)*(IFERROR($B$381:$B$498&gt;=E361-30,0))*(IFERROR($B$381:$B$498&lt;=E361+30,0))*($G$381:$G$498&gt;0)*($L$381:$L$498&lt;&gt;L361),0),0)),"")),"")</f>
        <v/>
      </c>
      <c r="R361" s="32"/>
      <c r="S361" s="31" t="str">
        <f>IF(R361&lt;&gt;"",R361,Q361)</f>
        <v/>
      </c>
      <c r="T361" s="63">
        <f>IF(OR(N361="",O361=0),0,N361*O361)</f>
        <v>0</v>
      </c>
      <c r="U361" s="63">
        <f>IF(COUNTIF($S$18:$S$498,L361)=0,"",SUMIF($S$18:$S$498,L361,$T$18:$T$498))</f>
        <v>0</v>
      </c>
      <c r="V361" s="63" t="str">
        <f>IF(H361="","",IFERROR(H361+U361,H361))</f>
        <v/>
      </c>
      <c r="W361" s="63" t="str">
        <f>IF(OR(V361="",C361=""),"",V361/C361)</f>
        <v/>
      </c>
      <c r="X361" s="11" t="str">
        <f>IF(A361="","",IF(AND(U361&lt;&gt;"",U361&lt;&gt;0,M361=0),"Replacement lot receiving wash basis",IF(J361="","",IF(J361&gt;=0,"",IF(O361=0,"No replacement buy found",IF(P361&gt;1,"Manual selection needed","Auto matched"))))))</f>
        <v/>
      </c>
      <c r="Z361" t="str">
        <f>IF(K361="Yes",COUNTIF($K$18:K361,"Yes"),"")</f>
        <v/>
      </c>
    </row>
    <row r="362" spans="1:26" ht="34.15" customHeight="1" x14ac:dyDescent="0.2">
      <c r="A362" s="9"/>
      <c r="B362" s="69"/>
      <c r="C362" s="30"/>
      <c r="D362" s="70"/>
      <c r="E362" s="69"/>
      <c r="F362" s="70"/>
      <c r="G362" s="30"/>
      <c r="H362" s="63" t="str">
        <f>IF(OR(C362="",D362=""),"",C362*D362)</f>
        <v/>
      </c>
      <c r="I362" s="63" t="str">
        <f>IF(OR(E362="",F362="",M362&lt;=0),"",M362*F362)</f>
        <v/>
      </c>
      <c r="J362" s="63" t="str">
        <f>IF(I362="","",I362-(M362*D362))</f>
        <v/>
      </c>
      <c r="K362" s="28" t="str">
        <f>IF(A362="","",IF(T362&gt;0,"Yes","No"))</f>
        <v/>
      </c>
      <c r="L362" s="28" t="str">
        <f>IF(A362="","",A362&amp;"-"&amp;TEXT(B362,"yyyymmdd")&amp;"-R"&amp;ROW())</f>
        <v/>
      </c>
      <c r="M362" s="28" t="str">
        <f>IF(OR(C362="",G362=""),"",C362-G362)</f>
        <v/>
      </c>
      <c r="N362" s="63" t="str">
        <f>IF(OR(M362&lt;=0,J362&gt;=0),"",ABS(J362)/M362)</f>
        <v/>
      </c>
      <c r="O362" s="63" t="str">
        <f>IF(OR(A362="",M362&lt;=0,J362&gt;=0),"",MIN(M362,SUMPRODUCT(($A$18:$A$379=A362)*(IFERROR($B$18:$B$379&gt;=E362-30,0))*(IFERROR($B$18:$B$379&lt;=E362+30,0))*($G$18:$G$379&gt;0)*($L$18:$L$379&lt;&gt;L362)*($G$18:$G$379))+SUMPRODUCT(($A$381:$A$498=A362)*(IFERROR($B$381:$B$498&gt;=E362-30,0))*(IFERROR($B$381:$B$498&lt;=E362+30,0))*($G$381:$G$498&gt;0)*($L$381:$L$498&lt;&gt;L362)*($G$381:$G$498))))</f>
        <v/>
      </c>
      <c r="P362" s="28" t="str">
        <f>IF(OR(A362="",M362&lt;=0,J362&gt;=0),"",SUMPRODUCT(($A$18:$A$379=A362)*(IFERROR($B$18:$B$379&gt;=E362-30,0))*(IFERROR($B$18:$B$379&lt;=E362+30,0))*($G$18:$G$379&gt;0)*($L$18:$L$379&lt;&gt;L362))+SUMPRODUCT(($A$381:$A$498=A362)*(IFERROR($B$381:$B$498&gt;=E362-30,0))*(IFERROR($B$381:$B$498&lt;=E362+30,0))*($G$381:$G$498&gt;0)*($L$381:$L$498&lt;&gt;L362)))</f>
        <v/>
      </c>
      <c r="Q362" s="31" t="str">
        <f>IF(P362=1,IFERROR(INDEX($L$18:$L$379,MATCH(1,INDEX(($A$18:$A$379=A362)*(IFERROR($B$18:$B$379&gt;=E362-30,0))*(IFERROR($B$18:$B$379&lt;=E362+30,0))*($G$18:$G$379&gt;0)*($L$18:$L$379&lt;&gt;L362),0),0)),IFERROR(INDEX($L$381:$L$498,MATCH(1,INDEX(($A$381:$A$498=A362)*(IFERROR($B$381:$B$498&gt;=E362-30,0))*(IFERROR($B$381:$B$498&lt;=E362+30,0))*($G$381:$G$498&gt;0)*($L$381:$L$498&lt;&gt;L362),0),0)),"")),"")</f>
        <v/>
      </c>
      <c r="R362" s="32"/>
      <c r="S362" s="31" t="str">
        <f>IF(R362&lt;&gt;"",R362,Q362)</f>
        <v/>
      </c>
      <c r="T362" s="63">
        <f>IF(OR(N362="",O362=0),0,N362*O362)</f>
        <v>0</v>
      </c>
      <c r="U362" s="63">
        <f>IF(COUNTIF($S$18:$S$498,L362)=0,"",SUMIF($S$18:$S$498,L362,$T$18:$T$498))</f>
        <v>0</v>
      </c>
      <c r="V362" s="63" t="str">
        <f>IF(H362="","",IFERROR(H362+U362,H362))</f>
        <v/>
      </c>
      <c r="W362" s="63" t="str">
        <f>IF(OR(V362="",C362=""),"",V362/C362)</f>
        <v/>
      </c>
      <c r="X362" s="11" t="str">
        <f>IF(A362="","",IF(AND(U362&lt;&gt;"",U362&lt;&gt;0,M362=0),"Replacement lot receiving wash basis",IF(J362="","",IF(J362&gt;=0,"",IF(O362=0,"No replacement buy found",IF(P362&gt;1,"Manual selection needed","Auto matched"))))))</f>
        <v/>
      </c>
      <c r="Z362" t="str">
        <f>IF(K362="Yes",COUNTIF($K$18:K362,"Yes"),"")</f>
        <v/>
      </c>
    </row>
    <row r="363" spans="1:26" ht="34.15" customHeight="1" x14ac:dyDescent="0.2">
      <c r="A363" s="9"/>
      <c r="B363" s="69"/>
      <c r="C363" s="30"/>
      <c r="D363" s="70"/>
      <c r="E363" s="69"/>
      <c r="F363" s="70"/>
      <c r="G363" s="30"/>
      <c r="H363" s="63" t="str">
        <f>IF(OR(C363="",D363=""),"",C363*D363)</f>
        <v/>
      </c>
      <c r="I363" s="63" t="str">
        <f>IF(OR(E363="",F363="",M363&lt;=0),"",M363*F363)</f>
        <v/>
      </c>
      <c r="J363" s="63" t="str">
        <f>IF(I363="","",I363-(M363*D363))</f>
        <v/>
      </c>
      <c r="K363" s="28" t="str">
        <f>IF(A363="","",IF(T363&gt;0,"Yes","No"))</f>
        <v/>
      </c>
      <c r="L363" s="28" t="str">
        <f>IF(A363="","",A363&amp;"-"&amp;TEXT(B363,"yyyymmdd")&amp;"-R"&amp;ROW())</f>
        <v/>
      </c>
      <c r="M363" s="28" t="str">
        <f>IF(OR(C363="",G363=""),"",C363-G363)</f>
        <v/>
      </c>
      <c r="N363" s="63" t="str">
        <f>IF(OR(M363&lt;=0,J363&gt;=0),"",ABS(J363)/M363)</f>
        <v/>
      </c>
      <c r="O363" s="63" t="str">
        <f>IF(OR(A363="",M363&lt;=0,J363&gt;=0),"",MIN(M363,SUMPRODUCT(($A$18:$A$379=A363)*(IFERROR($B$18:$B$379&gt;=E363-30,0))*(IFERROR($B$18:$B$379&lt;=E363+30,0))*($G$18:$G$379&gt;0)*($L$18:$L$379&lt;&gt;L363)*($G$18:$G$379))+SUMPRODUCT(($A$381:$A$498=A363)*(IFERROR($B$381:$B$498&gt;=E363-30,0))*(IFERROR($B$381:$B$498&lt;=E363+30,0))*($G$381:$G$498&gt;0)*($L$381:$L$498&lt;&gt;L363)*($G$381:$G$498))))</f>
        <v/>
      </c>
      <c r="P363" s="28" t="str">
        <f>IF(OR(A363="",M363&lt;=0,J363&gt;=0),"",SUMPRODUCT(($A$18:$A$379=A363)*(IFERROR($B$18:$B$379&gt;=E363-30,0))*(IFERROR($B$18:$B$379&lt;=E363+30,0))*($G$18:$G$379&gt;0)*($L$18:$L$379&lt;&gt;L363))+SUMPRODUCT(($A$381:$A$498=A363)*(IFERROR($B$381:$B$498&gt;=E363-30,0))*(IFERROR($B$381:$B$498&lt;=E363+30,0))*($G$381:$G$498&gt;0)*($L$381:$L$498&lt;&gt;L363)))</f>
        <v/>
      </c>
      <c r="Q363" s="31" t="str">
        <f>IF(P363=1,IFERROR(INDEX($L$18:$L$379,MATCH(1,INDEX(($A$18:$A$379=A363)*(IFERROR($B$18:$B$379&gt;=E363-30,0))*(IFERROR($B$18:$B$379&lt;=E363+30,0))*($G$18:$G$379&gt;0)*($L$18:$L$379&lt;&gt;L363),0),0)),IFERROR(INDEX($L$381:$L$498,MATCH(1,INDEX(($A$381:$A$498=A363)*(IFERROR($B$381:$B$498&gt;=E363-30,0))*(IFERROR($B$381:$B$498&lt;=E363+30,0))*($G$381:$G$498&gt;0)*($L$381:$L$498&lt;&gt;L363),0),0)),"")),"")</f>
        <v/>
      </c>
      <c r="R363" s="32"/>
      <c r="S363" s="31" t="str">
        <f>IF(R363&lt;&gt;"",R363,Q363)</f>
        <v/>
      </c>
      <c r="T363" s="63">
        <f>IF(OR(N363="",O363=0),0,N363*O363)</f>
        <v>0</v>
      </c>
      <c r="U363" s="63">
        <f>IF(COUNTIF($S$18:$S$498,L363)=0,"",SUMIF($S$18:$S$498,L363,$T$18:$T$498))</f>
        <v>0</v>
      </c>
      <c r="V363" s="63" t="str">
        <f>IF(H363="","",IFERROR(H363+U363,H363))</f>
        <v/>
      </c>
      <c r="W363" s="63" t="str">
        <f>IF(OR(V363="",C363=""),"",V363/C363)</f>
        <v/>
      </c>
      <c r="X363" s="11" t="str">
        <f>IF(A363="","",IF(AND(U363&lt;&gt;"",U363&lt;&gt;0,M363=0),"Replacement lot receiving wash basis",IF(J363="","",IF(J363&gt;=0,"",IF(O363=0,"No replacement buy found",IF(P363&gt;1,"Manual selection needed","Auto matched"))))))</f>
        <v/>
      </c>
      <c r="Z363" t="str">
        <f>IF(K363="Yes",COUNTIF($K$18:K363,"Yes"),"")</f>
        <v/>
      </c>
    </row>
    <row r="364" spans="1:26" ht="34.15" customHeight="1" x14ac:dyDescent="0.2">
      <c r="A364" s="9"/>
      <c r="B364" s="69"/>
      <c r="C364" s="30"/>
      <c r="D364" s="70"/>
      <c r="E364" s="69"/>
      <c r="F364" s="70"/>
      <c r="G364" s="30"/>
      <c r="H364" s="63" t="str">
        <f>IF(OR(C364="",D364=""),"",C364*D364)</f>
        <v/>
      </c>
      <c r="I364" s="63" t="str">
        <f>IF(OR(E364="",F364="",M364&lt;=0),"",M364*F364)</f>
        <v/>
      </c>
      <c r="J364" s="63" t="str">
        <f>IF(I364="","",I364-(M364*D364))</f>
        <v/>
      </c>
      <c r="K364" s="28" t="str">
        <f>IF(A364="","",IF(T364&gt;0,"Yes","No"))</f>
        <v/>
      </c>
      <c r="L364" s="28" t="str">
        <f>IF(A364="","",A364&amp;"-"&amp;TEXT(B364,"yyyymmdd")&amp;"-R"&amp;ROW())</f>
        <v/>
      </c>
      <c r="M364" s="28" t="str">
        <f>IF(OR(C364="",G364=""),"",C364-G364)</f>
        <v/>
      </c>
      <c r="N364" s="63" t="str">
        <f>IF(OR(M364&lt;=0,J364&gt;=0),"",ABS(J364)/M364)</f>
        <v/>
      </c>
      <c r="O364" s="63" t="str">
        <f>IF(OR(A364="",M364&lt;=0,J364&gt;=0),"",MIN(M364,SUMPRODUCT(($A$18:$A$379=A364)*(IFERROR($B$18:$B$379&gt;=E364-30,0))*(IFERROR($B$18:$B$379&lt;=E364+30,0))*($G$18:$G$379&gt;0)*($L$18:$L$379&lt;&gt;L364)*($G$18:$G$379))+SUMPRODUCT(($A$381:$A$498=A364)*(IFERROR($B$381:$B$498&gt;=E364-30,0))*(IFERROR($B$381:$B$498&lt;=E364+30,0))*($G$381:$G$498&gt;0)*($L$381:$L$498&lt;&gt;L364)*($G$381:$G$498))))</f>
        <v/>
      </c>
      <c r="P364" s="28" t="str">
        <f>IF(OR(A364="",M364&lt;=0,J364&gt;=0),"",SUMPRODUCT(($A$18:$A$379=A364)*(IFERROR($B$18:$B$379&gt;=E364-30,0))*(IFERROR($B$18:$B$379&lt;=E364+30,0))*($G$18:$G$379&gt;0)*($L$18:$L$379&lt;&gt;L364))+SUMPRODUCT(($A$381:$A$498=A364)*(IFERROR($B$381:$B$498&gt;=E364-30,0))*(IFERROR($B$381:$B$498&lt;=E364+30,0))*($G$381:$G$498&gt;0)*($L$381:$L$498&lt;&gt;L364)))</f>
        <v/>
      </c>
      <c r="Q364" s="31" t="str">
        <f>IF(P364=1,IFERROR(INDEX($L$18:$L$379,MATCH(1,INDEX(($A$18:$A$379=A364)*(IFERROR($B$18:$B$379&gt;=E364-30,0))*(IFERROR($B$18:$B$379&lt;=E364+30,0))*($G$18:$G$379&gt;0)*($L$18:$L$379&lt;&gt;L364),0),0)),IFERROR(INDEX($L$381:$L$498,MATCH(1,INDEX(($A$381:$A$498=A364)*(IFERROR($B$381:$B$498&gt;=E364-30,0))*(IFERROR($B$381:$B$498&lt;=E364+30,0))*($G$381:$G$498&gt;0)*($L$381:$L$498&lt;&gt;L364),0),0)),"")),"")</f>
        <v/>
      </c>
      <c r="R364" s="32"/>
      <c r="S364" s="31" t="str">
        <f>IF(R364&lt;&gt;"",R364,Q364)</f>
        <v/>
      </c>
      <c r="T364" s="63">
        <f>IF(OR(N364="",O364=0),0,N364*O364)</f>
        <v>0</v>
      </c>
      <c r="U364" s="63">
        <f>IF(COUNTIF($S$18:$S$498,L364)=0,"",SUMIF($S$18:$S$498,L364,$T$18:$T$498))</f>
        <v>0</v>
      </c>
      <c r="V364" s="63" t="str">
        <f>IF(H364="","",IFERROR(H364+U364,H364))</f>
        <v/>
      </c>
      <c r="W364" s="63" t="str">
        <f>IF(OR(V364="",C364=""),"",V364/C364)</f>
        <v/>
      </c>
      <c r="X364" s="11" t="str">
        <f>IF(A364="","",IF(AND(U364&lt;&gt;"",U364&lt;&gt;0,M364=0),"Replacement lot receiving wash basis",IF(J364="","",IF(J364&gt;=0,"",IF(O364=0,"No replacement buy found",IF(P364&gt;1,"Manual selection needed","Auto matched"))))))</f>
        <v/>
      </c>
      <c r="Z364" t="str">
        <f>IF(K364="Yes",COUNTIF($K$18:K364,"Yes"),"")</f>
        <v/>
      </c>
    </row>
    <row r="365" spans="1:26" ht="34.15" customHeight="1" x14ac:dyDescent="0.2">
      <c r="A365" s="9"/>
      <c r="B365" s="69"/>
      <c r="C365" s="30"/>
      <c r="D365" s="70"/>
      <c r="E365" s="69"/>
      <c r="F365" s="70"/>
      <c r="G365" s="30"/>
      <c r="H365" s="63" t="str">
        <f>IF(OR(C365="",D365=""),"",C365*D365)</f>
        <v/>
      </c>
      <c r="I365" s="63" t="str">
        <f>IF(OR(E365="",F365="",M365&lt;=0),"",M365*F365)</f>
        <v/>
      </c>
      <c r="J365" s="63" t="str">
        <f>IF(I365="","",I365-(M365*D365))</f>
        <v/>
      </c>
      <c r="K365" s="28" t="str">
        <f>IF(A365="","",IF(T365&gt;0,"Yes","No"))</f>
        <v/>
      </c>
      <c r="L365" s="28" t="str">
        <f>IF(A365="","",A365&amp;"-"&amp;TEXT(B365,"yyyymmdd")&amp;"-R"&amp;ROW())</f>
        <v/>
      </c>
      <c r="M365" s="28" t="str">
        <f>IF(OR(C365="",G365=""),"",C365-G365)</f>
        <v/>
      </c>
      <c r="N365" s="63" t="str">
        <f>IF(OR(M365&lt;=0,J365&gt;=0),"",ABS(J365)/M365)</f>
        <v/>
      </c>
      <c r="O365" s="63" t="str">
        <f>IF(OR(A365="",M365&lt;=0,J365&gt;=0),"",MIN(M365,SUMPRODUCT(($A$18:$A$379=A365)*(IFERROR($B$18:$B$379&gt;=E365-30,0))*(IFERROR($B$18:$B$379&lt;=E365+30,0))*($G$18:$G$379&gt;0)*($L$18:$L$379&lt;&gt;L365)*($G$18:$G$379))+SUMPRODUCT(($A$381:$A$498=A365)*(IFERROR($B$381:$B$498&gt;=E365-30,0))*(IFERROR($B$381:$B$498&lt;=E365+30,0))*($G$381:$G$498&gt;0)*($L$381:$L$498&lt;&gt;L365)*($G$381:$G$498))))</f>
        <v/>
      </c>
      <c r="P365" s="28" t="str">
        <f>IF(OR(A365="",M365&lt;=0,J365&gt;=0),"",SUMPRODUCT(($A$18:$A$379=A365)*(IFERROR($B$18:$B$379&gt;=E365-30,0))*(IFERROR($B$18:$B$379&lt;=E365+30,0))*($G$18:$G$379&gt;0)*($L$18:$L$379&lt;&gt;L365))+SUMPRODUCT(($A$381:$A$498=A365)*(IFERROR($B$381:$B$498&gt;=E365-30,0))*(IFERROR($B$381:$B$498&lt;=E365+30,0))*($G$381:$G$498&gt;0)*($L$381:$L$498&lt;&gt;L365)))</f>
        <v/>
      </c>
      <c r="Q365" s="31" t="str">
        <f>IF(P365=1,IFERROR(INDEX($L$18:$L$379,MATCH(1,INDEX(($A$18:$A$379=A365)*(IFERROR($B$18:$B$379&gt;=E365-30,0))*(IFERROR($B$18:$B$379&lt;=E365+30,0))*($G$18:$G$379&gt;0)*($L$18:$L$379&lt;&gt;L365),0),0)),IFERROR(INDEX($L$381:$L$498,MATCH(1,INDEX(($A$381:$A$498=A365)*(IFERROR($B$381:$B$498&gt;=E365-30,0))*(IFERROR($B$381:$B$498&lt;=E365+30,0))*($G$381:$G$498&gt;0)*($L$381:$L$498&lt;&gt;L365),0),0)),"")),"")</f>
        <v/>
      </c>
      <c r="R365" s="32"/>
      <c r="S365" s="31" t="str">
        <f>IF(R365&lt;&gt;"",R365,Q365)</f>
        <v/>
      </c>
      <c r="T365" s="63">
        <f>IF(OR(N365="",O365=0),0,N365*O365)</f>
        <v>0</v>
      </c>
      <c r="U365" s="63">
        <f>IF(COUNTIF($S$18:$S$498,L365)=0,"",SUMIF($S$18:$S$498,L365,$T$18:$T$498))</f>
        <v>0</v>
      </c>
      <c r="V365" s="63" t="str">
        <f>IF(H365="","",IFERROR(H365+U365,H365))</f>
        <v/>
      </c>
      <c r="W365" s="63" t="str">
        <f>IF(OR(V365="",C365=""),"",V365/C365)</f>
        <v/>
      </c>
      <c r="X365" s="11" t="str">
        <f>IF(A365="","",IF(AND(U365&lt;&gt;"",U365&lt;&gt;0,M365=0),"Replacement lot receiving wash basis",IF(J365="","",IF(J365&gt;=0,"",IF(O365=0,"No replacement buy found",IF(P365&gt;1,"Manual selection needed","Auto matched"))))))</f>
        <v/>
      </c>
      <c r="Z365" t="str">
        <f>IF(K365="Yes",COUNTIF($K$18:K365,"Yes"),"")</f>
        <v/>
      </c>
    </row>
    <row r="366" spans="1:26" ht="34.15" customHeight="1" x14ac:dyDescent="0.2">
      <c r="A366" s="9"/>
      <c r="B366" s="69"/>
      <c r="C366" s="30"/>
      <c r="D366" s="70"/>
      <c r="E366" s="69"/>
      <c r="F366" s="70"/>
      <c r="G366" s="30"/>
      <c r="H366" s="63" t="str">
        <f>IF(OR(C366="",D366=""),"",C366*D366)</f>
        <v/>
      </c>
      <c r="I366" s="63" t="str">
        <f>IF(OR(E366="",F366="",M366&lt;=0),"",M366*F366)</f>
        <v/>
      </c>
      <c r="J366" s="63" t="str">
        <f>IF(I366="","",I366-(M366*D366))</f>
        <v/>
      </c>
      <c r="K366" s="28" t="str">
        <f>IF(A366="","",IF(T366&gt;0,"Yes","No"))</f>
        <v/>
      </c>
      <c r="L366" s="28" t="str">
        <f>IF(A366="","",A366&amp;"-"&amp;TEXT(B366,"yyyymmdd")&amp;"-R"&amp;ROW())</f>
        <v/>
      </c>
      <c r="M366" s="28" t="str">
        <f>IF(OR(C366="",G366=""),"",C366-G366)</f>
        <v/>
      </c>
      <c r="N366" s="63" t="str">
        <f>IF(OR(M366&lt;=0,J366&gt;=0),"",ABS(J366)/M366)</f>
        <v/>
      </c>
      <c r="O366" s="63" t="str">
        <f>IF(OR(A366="",M366&lt;=0,J366&gt;=0),"",MIN(M366,SUMPRODUCT(($A$18:$A$379=A366)*(IFERROR($B$18:$B$379&gt;=E366-30,0))*(IFERROR($B$18:$B$379&lt;=E366+30,0))*($G$18:$G$379&gt;0)*($L$18:$L$379&lt;&gt;L366)*($G$18:$G$379))+SUMPRODUCT(($A$381:$A$498=A366)*(IFERROR($B$381:$B$498&gt;=E366-30,0))*(IFERROR($B$381:$B$498&lt;=E366+30,0))*($G$381:$G$498&gt;0)*($L$381:$L$498&lt;&gt;L366)*($G$381:$G$498))))</f>
        <v/>
      </c>
      <c r="P366" s="28" t="str">
        <f>IF(OR(A366="",M366&lt;=0,J366&gt;=0),"",SUMPRODUCT(($A$18:$A$379=A366)*(IFERROR($B$18:$B$379&gt;=E366-30,0))*(IFERROR($B$18:$B$379&lt;=E366+30,0))*($G$18:$G$379&gt;0)*($L$18:$L$379&lt;&gt;L366))+SUMPRODUCT(($A$381:$A$498=A366)*(IFERROR($B$381:$B$498&gt;=E366-30,0))*(IFERROR($B$381:$B$498&lt;=E366+30,0))*($G$381:$G$498&gt;0)*($L$381:$L$498&lt;&gt;L366)))</f>
        <v/>
      </c>
      <c r="Q366" s="31" t="str">
        <f>IF(P366=1,IFERROR(INDEX($L$18:$L$379,MATCH(1,INDEX(($A$18:$A$379=A366)*(IFERROR($B$18:$B$379&gt;=E366-30,0))*(IFERROR($B$18:$B$379&lt;=E366+30,0))*($G$18:$G$379&gt;0)*($L$18:$L$379&lt;&gt;L366),0),0)),IFERROR(INDEX($L$381:$L$498,MATCH(1,INDEX(($A$381:$A$498=A366)*(IFERROR($B$381:$B$498&gt;=E366-30,0))*(IFERROR($B$381:$B$498&lt;=E366+30,0))*($G$381:$G$498&gt;0)*($L$381:$L$498&lt;&gt;L366),0),0)),"")),"")</f>
        <v/>
      </c>
      <c r="R366" s="32"/>
      <c r="S366" s="31" t="str">
        <f>IF(R366&lt;&gt;"",R366,Q366)</f>
        <v/>
      </c>
      <c r="T366" s="63">
        <f>IF(OR(N366="",O366=0),0,N366*O366)</f>
        <v>0</v>
      </c>
      <c r="U366" s="63">
        <f>IF(COUNTIF($S$18:$S$498,L366)=0,"",SUMIF($S$18:$S$498,L366,$T$18:$T$498))</f>
        <v>0</v>
      </c>
      <c r="V366" s="63" t="str">
        <f>IF(H366="","",IFERROR(H366+U366,H366))</f>
        <v/>
      </c>
      <c r="W366" s="63" t="str">
        <f>IF(OR(V366="",C366=""),"",V366/C366)</f>
        <v/>
      </c>
      <c r="X366" s="11" t="str">
        <f>IF(A366="","",IF(AND(U366&lt;&gt;"",U366&lt;&gt;0,M366=0),"Replacement lot receiving wash basis",IF(J366="","",IF(J366&gt;=0,"",IF(O366=0,"No replacement buy found",IF(P366&gt;1,"Manual selection needed","Auto matched"))))))</f>
        <v/>
      </c>
      <c r="Z366" t="str">
        <f>IF(K366="Yes",COUNTIF($K$18:K366,"Yes"),"")</f>
        <v/>
      </c>
    </row>
    <row r="367" spans="1:26" ht="34.15" customHeight="1" x14ac:dyDescent="0.2">
      <c r="A367" s="9"/>
      <c r="B367" s="69"/>
      <c r="C367" s="30"/>
      <c r="D367" s="70"/>
      <c r="E367" s="69"/>
      <c r="F367" s="70"/>
      <c r="G367" s="30"/>
      <c r="H367" s="63" t="str">
        <f>IF(OR(C367="",D367=""),"",C367*D367)</f>
        <v/>
      </c>
      <c r="I367" s="63" t="str">
        <f>IF(OR(E367="",F367="",M367&lt;=0),"",M367*F367)</f>
        <v/>
      </c>
      <c r="J367" s="63" t="str">
        <f>IF(I367="","",I367-(M367*D367))</f>
        <v/>
      </c>
      <c r="K367" s="28" t="str">
        <f>IF(A367="","",IF(T367&gt;0,"Yes","No"))</f>
        <v/>
      </c>
      <c r="L367" s="28" t="str">
        <f>IF(A367="","",A367&amp;"-"&amp;TEXT(B367,"yyyymmdd")&amp;"-R"&amp;ROW())</f>
        <v/>
      </c>
      <c r="M367" s="28" t="str">
        <f>IF(OR(C367="",G367=""),"",C367-G367)</f>
        <v/>
      </c>
      <c r="N367" s="63" t="str">
        <f>IF(OR(M367&lt;=0,J367&gt;=0),"",ABS(J367)/M367)</f>
        <v/>
      </c>
      <c r="O367" s="63" t="str">
        <f>IF(OR(A367="",M367&lt;=0,J367&gt;=0),"",MIN(M367,SUMPRODUCT(($A$18:$A$379=A367)*(IFERROR($B$18:$B$379&gt;=E367-30,0))*(IFERROR($B$18:$B$379&lt;=E367+30,0))*($G$18:$G$379&gt;0)*($L$18:$L$379&lt;&gt;L367)*($G$18:$G$379))+SUMPRODUCT(($A$381:$A$498=A367)*(IFERROR($B$381:$B$498&gt;=E367-30,0))*(IFERROR($B$381:$B$498&lt;=E367+30,0))*($G$381:$G$498&gt;0)*($L$381:$L$498&lt;&gt;L367)*($G$381:$G$498))))</f>
        <v/>
      </c>
      <c r="P367" s="28" t="str">
        <f>IF(OR(A367="",M367&lt;=0,J367&gt;=0),"",SUMPRODUCT(($A$18:$A$379=A367)*(IFERROR($B$18:$B$379&gt;=E367-30,0))*(IFERROR($B$18:$B$379&lt;=E367+30,0))*($G$18:$G$379&gt;0)*($L$18:$L$379&lt;&gt;L367))+SUMPRODUCT(($A$381:$A$498=A367)*(IFERROR($B$381:$B$498&gt;=E367-30,0))*(IFERROR($B$381:$B$498&lt;=E367+30,0))*($G$381:$G$498&gt;0)*($L$381:$L$498&lt;&gt;L367)))</f>
        <v/>
      </c>
      <c r="Q367" s="31" t="str">
        <f>IF(P367=1,IFERROR(INDEX($L$18:$L$379,MATCH(1,INDEX(($A$18:$A$379=A367)*(IFERROR($B$18:$B$379&gt;=E367-30,0))*(IFERROR($B$18:$B$379&lt;=E367+30,0))*($G$18:$G$379&gt;0)*($L$18:$L$379&lt;&gt;L367),0),0)),IFERROR(INDEX($L$381:$L$498,MATCH(1,INDEX(($A$381:$A$498=A367)*(IFERROR($B$381:$B$498&gt;=E367-30,0))*(IFERROR($B$381:$B$498&lt;=E367+30,0))*($G$381:$G$498&gt;0)*($L$381:$L$498&lt;&gt;L367),0),0)),"")),"")</f>
        <v/>
      </c>
      <c r="R367" s="32"/>
      <c r="S367" s="31" t="str">
        <f>IF(R367&lt;&gt;"",R367,Q367)</f>
        <v/>
      </c>
      <c r="T367" s="63">
        <f>IF(OR(N367="",O367=0),0,N367*O367)</f>
        <v>0</v>
      </c>
      <c r="U367" s="63">
        <f>IF(COUNTIF($S$18:$S$498,L367)=0,"",SUMIF($S$18:$S$498,L367,$T$18:$T$498))</f>
        <v>0</v>
      </c>
      <c r="V367" s="63" t="str">
        <f>IF(H367="","",IFERROR(H367+U367,H367))</f>
        <v/>
      </c>
      <c r="W367" s="63" t="str">
        <f>IF(OR(V367="",C367=""),"",V367/C367)</f>
        <v/>
      </c>
      <c r="X367" s="11" t="str">
        <f>IF(A367="","",IF(AND(U367&lt;&gt;"",U367&lt;&gt;0,M367=0),"Replacement lot receiving wash basis",IF(J367="","",IF(J367&gt;=0,"",IF(O367=0,"No replacement buy found",IF(P367&gt;1,"Manual selection needed","Auto matched"))))))</f>
        <v/>
      </c>
      <c r="Z367" t="str">
        <f>IF(K367="Yes",COUNTIF($K$18:K367,"Yes"),"")</f>
        <v/>
      </c>
    </row>
    <row r="368" spans="1:26" ht="34.15" customHeight="1" x14ac:dyDescent="0.2">
      <c r="A368" s="9"/>
      <c r="B368" s="69"/>
      <c r="C368" s="30"/>
      <c r="D368" s="70"/>
      <c r="E368" s="69"/>
      <c r="F368" s="70"/>
      <c r="G368" s="30"/>
      <c r="H368" s="63" t="str">
        <f>IF(OR(C368="",D368=""),"",C368*D368)</f>
        <v/>
      </c>
      <c r="I368" s="63" t="str">
        <f>IF(OR(E368="",F368="",M368&lt;=0),"",M368*F368)</f>
        <v/>
      </c>
      <c r="J368" s="63" t="str">
        <f>IF(I368="","",I368-(M368*D368))</f>
        <v/>
      </c>
      <c r="K368" s="28" t="str">
        <f>IF(A368="","",IF(T368&gt;0,"Yes","No"))</f>
        <v/>
      </c>
      <c r="L368" s="28" t="str">
        <f>IF(A368="","",A368&amp;"-"&amp;TEXT(B368,"yyyymmdd")&amp;"-R"&amp;ROW())</f>
        <v/>
      </c>
      <c r="M368" s="28" t="str">
        <f>IF(OR(C368="",G368=""),"",C368-G368)</f>
        <v/>
      </c>
      <c r="N368" s="63" t="str">
        <f>IF(OR(M368&lt;=0,J368&gt;=0),"",ABS(J368)/M368)</f>
        <v/>
      </c>
      <c r="O368" s="63" t="str">
        <f>IF(OR(A368="",M368&lt;=0,J368&gt;=0),"",MIN(M368,SUMPRODUCT(($A$18:$A$379=A368)*(IFERROR($B$18:$B$379&gt;=E368-30,0))*(IFERROR($B$18:$B$379&lt;=E368+30,0))*($G$18:$G$379&gt;0)*($L$18:$L$379&lt;&gt;L368)*($G$18:$G$379))+SUMPRODUCT(($A$381:$A$498=A368)*(IFERROR($B$381:$B$498&gt;=E368-30,0))*(IFERROR($B$381:$B$498&lt;=E368+30,0))*($G$381:$G$498&gt;0)*($L$381:$L$498&lt;&gt;L368)*($G$381:$G$498))))</f>
        <v/>
      </c>
      <c r="P368" s="28" t="str">
        <f>IF(OR(A368="",M368&lt;=0,J368&gt;=0),"",SUMPRODUCT(($A$18:$A$379=A368)*(IFERROR($B$18:$B$379&gt;=E368-30,0))*(IFERROR($B$18:$B$379&lt;=E368+30,0))*($G$18:$G$379&gt;0)*($L$18:$L$379&lt;&gt;L368))+SUMPRODUCT(($A$381:$A$498=A368)*(IFERROR($B$381:$B$498&gt;=E368-30,0))*(IFERROR($B$381:$B$498&lt;=E368+30,0))*($G$381:$G$498&gt;0)*($L$381:$L$498&lt;&gt;L368)))</f>
        <v/>
      </c>
      <c r="Q368" s="31" t="str">
        <f>IF(P368=1,IFERROR(INDEX($L$18:$L$379,MATCH(1,INDEX(($A$18:$A$379=A368)*(IFERROR($B$18:$B$379&gt;=E368-30,0))*(IFERROR($B$18:$B$379&lt;=E368+30,0))*($G$18:$G$379&gt;0)*($L$18:$L$379&lt;&gt;L368),0),0)),IFERROR(INDEX($L$381:$L$498,MATCH(1,INDEX(($A$381:$A$498=A368)*(IFERROR($B$381:$B$498&gt;=E368-30,0))*(IFERROR($B$381:$B$498&lt;=E368+30,0))*($G$381:$G$498&gt;0)*($L$381:$L$498&lt;&gt;L368),0),0)),"")),"")</f>
        <v/>
      </c>
      <c r="R368" s="32"/>
      <c r="S368" s="31" t="str">
        <f>IF(R368&lt;&gt;"",R368,Q368)</f>
        <v/>
      </c>
      <c r="T368" s="63">
        <f>IF(OR(N368="",O368=0),0,N368*O368)</f>
        <v>0</v>
      </c>
      <c r="U368" s="63">
        <f>IF(COUNTIF($S$18:$S$498,L368)=0,"",SUMIF($S$18:$S$498,L368,$T$18:$T$498))</f>
        <v>0</v>
      </c>
      <c r="V368" s="63" t="str">
        <f>IF(H368="","",IFERROR(H368+U368,H368))</f>
        <v/>
      </c>
      <c r="W368" s="63" t="str">
        <f>IF(OR(V368="",C368=""),"",V368/C368)</f>
        <v/>
      </c>
      <c r="X368" s="11" t="str">
        <f>IF(A368="","",IF(AND(U368&lt;&gt;"",U368&lt;&gt;0,M368=0),"Replacement lot receiving wash basis",IF(J368="","",IF(J368&gt;=0,"",IF(O368=0,"No replacement buy found",IF(P368&gt;1,"Manual selection needed","Auto matched"))))))</f>
        <v/>
      </c>
      <c r="Z368" t="str">
        <f>IF(K368="Yes",COUNTIF($K$18:K368,"Yes"),"")</f>
        <v/>
      </c>
    </row>
    <row r="369" spans="1:26" ht="34.15" customHeight="1" x14ac:dyDescent="0.2">
      <c r="A369" s="9"/>
      <c r="B369" s="69"/>
      <c r="C369" s="30"/>
      <c r="D369" s="70"/>
      <c r="E369" s="69"/>
      <c r="F369" s="70"/>
      <c r="G369" s="30"/>
      <c r="H369" s="63" t="str">
        <f>IF(OR(C369="",D369=""),"",C369*D369)</f>
        <v/>
      </c>
      <c r="I369" s="63" t="str">
        <f>IF(OR(E369="",F369="",M369&lt;=0),"",M369*F369)</f>
        <v/>
      </c>
      <c r="J369" s="63" t="str">
        <f>IF(I369="","",I369-(M369*D369))</f>
        <v/>
      </c>
      <c r="K369" s="28" t="str">
        <f>IF(A369="","",IF(T369&gt;0,"Yes","No"))</f>
        <v/>
      </c>
      <c r="L369" s="28" t="str">
        <f>IF(A369="","",A369&amp;"-"&amp;TEXT(B369,"yyyymmdd")&amp;"-R"&amp;ROW())</f>
        <v/>
      </c>
      <c r="M369" s="28" t="str">
        <f>IF(OR(C369="",G369=""),"",C369-G369)</f>
        <v/>
      </c>
      <c r="N369" s="63" t="str">
        <f>IF(OR(M369&lt;=0,J369&gt;=0),"",ABS(J369)/M369)</f>
        <v/>
      </c>
      <c r="O369" s="63" t="str">
        <f>IF(OR(A369="",M369&lt;=0,J369&gt;=0),"",MIN(M369,SUMPRODUCT(($A$18:$A$379=A369)*(IFERROR($B$18:$B$379&gt;=E369-30,0))*(IFERROR($B$18:$B$379&lt;=E369+30,0))*($G$18:$G$379&gt;0)*($L$18:$L$379&lt;&gt;L369)*($G$18:$G$379))+SUMPRODUCT(($A$381:$A$498=A369)*(IFERROR($B$381:$B$498&gt;=E369-30,0))*(IFERROR($B$381:$B$498&lt;=E369+30,0))*($G$381:$G$498&gt;0)*($L$381:$L$498&lt;&gt;L369)*($G$381:$G$498))))</f>
        <v/>
      </c>
      <c r="P369" s="28" t="str">
        <f>IF(OR(A369="",M369&lt;=0,J369&gt;=0),"",SUMPRODUCT(($A$18:$A$379=A369)*(IFERROR($B$18:$B$379&gt;=E369-30,0))*(IFERROR($B$18:$B$379&lt;=E369+30,0))*($G$18:$G$379&gt;0)*($L$18:$L$379&lt;&gt;L369))+SUMPRODUCT(($A$381:$A$498=A369)*(IFERROR($B$381:$B$498&gt;=E369-30,0))*(IFERROR($B$381:$B$498&lt;=E369+30,0))*($G$381:$G$498&gt;0)*($L$381:$L$498&lt;&gt;L369)))</f>
        <v/>
      </c>
      <c r="Q369" s="31" t="str">
        <f>IF(P369=1,IFERROR(INDEX($L$18:$L$379,MATCH(1,INDEX(($A$18:$A$379=A369)*(IFERROR($B$18:$B$379&gt;=E369-30,0))*(IFERROR($B$18:$B$379&lt;=E369+30,0))*($G$18:$G$379&gt;0)*($L$18:$L$379&lt;&gt;L369),0),0)),IFERROR(INDEX($L$381:$L$498,MATCH(1,INDEX(($A$381:$A$498=A369)*(IFERROR($B$381:$B$498&gt;=E369-30,0))*(IFERROR($B$381:$B$498&lt;=E369+30,0))*($G$381:$G$498&gt;0)*($L$381:$L$498&lt;&gt;L369),0),0)),"")),"")</f>
        <v/>
      </c>
      <c r="R369" s="32"/>
      <c r="S369" s="31" t="str">
        <f>IF(R369&lt;&gt;"",R369,Q369)</f>
        <v/>
      </c>
      <c r="T369" s="63">
        <f>IF(OR(N369="",O369=0),0,N369*O369)</f>
        <v>0</v>
      </c>
      <c r="U369" s="63">
        <f>IF(COUNTIF($S$18:$S$498,L369)=0,"",SUMIF($S$18:$S$498,L369,$T$18:$T$498))</f>
        <v>0</v>
      </c>
      <c r="V369" s="63" t="str">
        <f>IF(H369="","",IFERROR(H369+U369,H369))</f>
        <v/>
      </c>
      <c r="W369" s="63" t="str">
        <f>IF(OR(V369="",C369=""),"",V369/C369)</f>
        <v/>
      </c>
      <c r="X369" s="11" t="str">
        <f>IF(A369="","",IF(AND(U369&lt;&gt;"",U369&lt;&gt;0,M369=0),"Replacement lot receiving wash basis",IF(J369="","",IF(J369&gt;=0,"",IF(O369=0,"No replacement buy found",IF(P369&gt;1,"Manual selection needed","Auto matched"))))))</f>
        <v/>
      </c>
      <c r="Z369" t="str">
        <f>IF(K369="Yes",COUNTIF($K$18:K369,"Yes"),"")</f>
        <v/>
      </c>
    </row>
    <row r="370" spans="1:26" ht="34.15" customHeight="1" x14ac:dyDescent="0.2">
      <c r="A370" s="9"/>
      <c r="B370" s="69"/>
      <c r="C370" s="30"/>
      <c r="D370" s="70"/>
      <c r="E370" s="69"/>
      <c r="F370" s="70"/>
      <c r="G370" s="30"/>
      <c r="H370" s="63" t="str">
        <f>IF(OR(C370="",D370=""),"",C370*D370)</f>
        <v/>
      </c>
      <c r="I370" s="63" t="str">
        <f>IF(OR(E370="",F370="",M370&lt;=0),"",M370*F370)</f>
        <v/>
      </c>
      <c r="J370" s="63" t="str">
        <f>IF(I370="","",I370-(M370*D370))</f>
        <v/>
      </c>
      <c r="K370" s="28" t="str">
        <f>IF(A370="","",IF(T370&gt;0,"Yes","No"))</f>
        <v/>
      </c>
      <c r="L370" s="28" t="str">
        <f>IF(A370="","",A370&amp;"-"&amp;TEXT(B370,"yyyymmdd")&amp;"-R"&amp;ROW())</f>
        <v/>
      </c>
      <c r="M370" s="28" t="str">
        <f>IF(OR(C370="",G370=""),"",C370-G370)</f>
        <v/>
      </c>
      <c r="N370" s="63" t="str">
        <f>IF(OR(M370&lt;=0,J370&gt;=0),"",ABS(J370)/M370)</f>
        <v/>
      </c>
      <c r="O370" s="63" t="str">
        <f>IF(OR(A370="",M370&lt;=0,J370&gt;=0),"",MIN(M370,SUMPRODUCT(($A$18:$A$379=A370)*(IFERROR($B$18:$B$379&gt;=E370-30,0))*(IFERROR($B$18:$B$379&lt;=E370+30,0))*($G$18:$G$379&gt;0)*($L$18:$L$379&lt;&gt;L370)*($G$18:$G$379))+SUMPRODUCT(($A$381:$A$498=A370)*(IFERROR($B$381:$B$498&gt;=E370-30,0))*(IFERROR($B$381:$B$498&lt;=E370+30,0))*($G$381:$G$498&gt;0)*($L$381:$L$498&lt;&gt;L370)*($G$381:$G$498))))</f>
        <v/>
      </c>
      <c r="P370" s="28" t="str">
        <f>IF(OR(A370="",M370&lt;=0,J370&gt;=0),"",SUMPRODUCT(($A$18:$A$379=A370)*(IFERROR($B$18:$B$379&gt;=E370-30,0))*(IFERROR($B$18:$B$379&lt;=E370+30,0))*($G$18:$G$379&gt;0)*($L$18:$L$379&lt;&gt;L370))+SUMPRODUCT(($A$381:$A$498=A370)*(IFERROR($B$381:$B$498&gt;=E370-30,0))*(IFERROR($B$381:$B$498&lt;=E370+30,0))*($G$381:$G$498&gt;0)*($L$381:$L$498&lt;&gt;L370)))</f>
        <v/>
      </c>
      <c r="Q370" s="31" t="str">
        <f>IF(P370=1,IFERROR(INDEX($L$18:$L$379,MATCH(1,INDEX(($A$18:$A$379=A370)*(IFERROR($B$18:$B$379&gt;=E370-30,0))*(IFERROR($B$18:$B$379&lt;=E370+30,0))*($G$18:$G$379&gt;0)*($L$18:$L$379&lt;&gt;L370),0),0)),IFERROR(INDEX($L$381:$L$498,MATCH(1,INDEX(($A$381:$A$498=A370)*(IFERROR($B$381:$B$498&gt;=E370-30,0))*(IFERROR($B$381:$B$498&lt;=E370+30,0))*($G$381:$G$498&gt;0)*($L$381:$L$498&lt;&gt;L370),0),0)),"")),"")</f>
        <v/>
      </c>
      <c r="R370" s="32"/>
      <c r="S370" s="31" t="str">
        <f>IF(R370&lt;&gt;"",R370,Q370)</f>
        <v/>
      </c>
      <c r="T370" s="63">
        <f>IF(OR(N370="",O370=0),0,N370*O370)</f>
        <v>0</v>
      </c>
      <c r="U370" s="63">
        <f>IF(COUNTIF($S$18:$S$498,L370)=0,"",SUMIF($S$18:$S$498,L370,$T$18:$T$498))</f>
        <v>0</v>
      </c>
      <c r="V370" s="63" t="str">
        <f>IF(H370="","",IFERROR(H370+U370,H370))</f>
        <v/>
      </c>
      <c r="W370" s="63" t="str">
        <f>IF(OR(V370="",C370=""),"",V370/C370)</f>
        <v/>
      </c>
      <c r="X370" s="11" t="str">
        <f>IF(A370="","",IF(AND(U370&lt;&gt;"",U370&lt;&gt;0,M370=0),"Replacement lot receiving wash basis",IF(J370="","",IF(J370&gt;=0,"",IF(O370=0,"No replacement buy found",IF(P370&gt;1,"Manual selection needed","Auto matched"))))))</f>
        <v/>
      </c>
      <c r="Z370" t="str">
        <f>IF(K370="Yes",COUNTIF($K$18:K370,"Yes"),"")</f>
        <v/>
      </c>
    </row>
    <row r="371" spans="1:26" ht="34.15" customHeight="1" x14ac:dyDescent="0.2">
      <c r="A371" s="9"/>
      <c r="B371" s="69"/>
      <c r="C371" s="30"/>
      <c r="D371" s="70"/>
      <c r="E371" s="69"/>
      <c r="F371" s="70"/>
      <c r="G371" s="30"/>
      <c r="H371" s="63" t="str">
        <f>IF(OR(C371="",D371=""),"",C371*D371)</f>
        <v/>
      </c>
      <c r="I371" s="63" t="str">
        <f>IF(OR(E371="",F371="",M371&lt;=0),"",M371*F371)</f>
        <v/>
      </c>
      <c r="J371" s="63" t="str">
        <f>IF(I371="","",I371-(M371*D371))</f>
        <v/>
      </c>
      <c r="K371" s="28" t="str">
        <f>IF(A371="","",IF(T371&gt;0,"Yes","No"))</f>
        <v/>
      </c>
      <c r="L371" s="28" t="str">
        <f>IF(A371="","",A371&amp;"-"&amp;TEXT(B371,"yyyymmdd")&amp;"-R"&amp;ROW())</f>
        <v/>
      </c>
      <c r="M371" s="28" t="str">
        <f>IF(OR(C371="",G371=""),"",C371-G371)</f>
        <v/>
      </c>
      <c r="N371" s="63" t="str">
        <f>IF(OR(M371&lt;=0,J371&gt;=0),"",ABS(J371)/M371)</f>
        <v/>
      </c>
      <c r="O371" s="63" t="str">
        <f>IF(OR(A371="",M371&lt;=0,J371&gt;=0),"",MIN(M371,SUMPRODUCT(($A$18:$A$379=A371)*(IFERROR($B$18:$B$379&gt;=E371-30,0))*(IFERROR($B$18:$B$379&lt;=E371+30,0))*($G$18:$G$379&gt;0)*($L$18:$L$379&lt;&gt;L371)*($G$18:$G$379))+SUMPRODUCT(($A$381:$A$498=A371)*(IFERROR($B$381:$B$498&gt;=E371-30,0))*(IFERROR($B$381:$B$498&lt;=E371+30,0))*($G$381:$G$498&gt;0)*($L$381:$L$498&lt;&gt;L371)*($G$381:$G$498))))</f>
        <v/>
      </c>
      <c r="P371" s="28" t="str">
        <f>IF(OR(A371="",M371&lt;=0,J371&gt;=0),"",SUMPRODUCT(($A$18:$A$379=A371)*(IFERROR($B$18:$B$379&gt;=E371-30,0))*(IFERROR($B$18:$B$379&lt;=E371+30,0))*($G$18:$G$379&gt;0)*($L$18:$L$379&lt;&gt;L371))+SUMPRODUCT(($A$381:$A$498=A371)*(IFERROR($B$381:$B$498&gt;=E371-30,0))*(IFERROR($B$381:$B$498&lt;=E371+30,0))*($G$381:$G$498&gt;0)*($L$381:$L$498&lt;&gt;L371)))</f>
        <v/>
      </c>
      <c r="Q371" s="31" t="str">
        <f>IF(P371=1,IFERROR(INDEX($L$18:$L$379,MATCH(1,INDEX(($A$18:$A$379=A371)*(IFERROR($B$18:$B$379&gt;=E371-30,0))*(IFERROR($B$18:$B$379&lt;=E371+30,0))*($G$18:$G$379&gt;0)*($L$18:$L$379&lt;&gt;L371),0),0)),IFERROR(INDEX($L$381:$L$498,MATCH(1,INDEX(($A$381:$A$498=A371)*(IFERROR($B$381:$B$498&gt;=E371-30,0))*(IFERROR($B$381:$B$498&lt;=E371+30,0))*($G$381:$G$498&gt;0)*($L$381:$L$498&lt;&gt;L371),0),0)),"")),"")</f>
        <v/>
      </c>
      <c r="R371" s="32"/>
      <c r="S371" s="31" t="str">
        <f>IF(R371&lt;&gt;"",R371,Q371)</f>
        <v/>
      </c>
      <c r="T371" s="63">
        <f>IF(OR(N371="",O371=0),0,N371*O371)</f>
        <v>0</v>
      </c>
      <c r="U371" s="63">
        <f>IF(COUNTIF($S$18:$S$498,L371)=0,"",SUMIF($S$18:$S$498,L371,$T$18:$T$498))</f>
        <v>0</v>
      </c>
      <c r="V371" s="63" t="str">
        <f>IF(H371="","",IFERROR(H371+U371,H371))</f>
        <v/>
      </c>
      <c r="W371" s="63" t="str">
        <f>IF(OR(V371="",C371=""),"",V371/C371)</f>
        <v/>
      </c>
      <c r="X371" s="11" t="str">
        <f>IF(A371="","",IF(AND(U371&lt;&gt;"",U371&lt;&gt;0,M371=0),"Replacement lot receiving wash basis",IF(J371="","",IF(J371&gt;=0,"",IF(O371=0,"No replacement buy found",IF(P371&gt;1,"Manual selection needed","Auto matched"))))))</f>
        <v/>
      </c>
      <c r="Z371" t="str">
        <f>IF(K371="Yes",COUNTIF($K$18:K371,"Yes"),"")</f>
        <v/>
      </c>
    </row>
    <row r="372" spans="1:26" ht="34.15" customHeight="1" x14ac:dyDescent="0.2">
      <c r="A372" s="9"/>
      <c r="B372" s="69"/>
      <c r="C372" s="30"/>
      <c r="D372" s="70"/>
      <c r="E372" s="69"/>
      <c r="F372" s="70"/>
      <c r="G372" s="30"/>
      <c r="H372" s="63" t="str">
        <f>IF(OR(C372="",D372=""),"",C372*D372)</f>
        <v/>
      </c>
      <c r="I372" s="63" t="str">
        <f>IF(OR(E372="",F372="",M372&lt;=0),"",M372*F372)</f>
        <v/>
      </c>
      <c r="J372" s="63" t="str">
        <f>IF(I372="","",I372-(M372*D372))</f>
        <v/>
      </c>
      <c r="K372" s="28" t="str">
        <f>IF(A372="","",IF(T372&gt;0,"Yes","No"))</f>
        <v/>
      </c>
      <c r="L372" s="28" t="str">
        <f>IF(A372="","",A372&amp;"-"&amp;TEXT(B372,"yyyymmdd")&amp;"-R"&amp;ROW())</f>
        <v/>
      </c>
      <c r="M372" s="28" t="str">
        <f>IF(OR(C372="",G372=""),"",C372-G372)</f>
        <v/>
      </c>
      <c r="N372" s="63" t="str">
        <f>IF(OR(M372&lt;=0,J372&gt;=0),"",ABS(J372)/M372)</f>
        <v/>
      </c>
      <c r="O372" s="63" t="str">
        <f>IF(OR(A372="",M372&lt;=0,J372&gt;=0),"",MIN(M372,SUMPRODUCT(($A$18:$A$379=A372)*(IFERROR($B$18:$B$379&gt;=E372-30,0))*(IFERROR($B$18:$B$379&lt;=E372+30,0))*($G$18:$G$379&gt;0)*($L$18:$L$379&lt;&gt;L372)*($G$18:$G$379))+SUMPRODUCT(($A$381:$A$498=A372)*(IFERROR($B$381:$B$498&gt;=E372-30,0))*(IFERROR($B$381:$B$498&lt;=E372+30,0))*($G$381:$G$498&gt;0)*($L$381:$L$498&lt;&gt;L372)*($G$381:$G$498))))</f>
        <v/>
      </c>
      <c r="P372" s="28" t="str">
        <f>IF(OR(A372="",M372&lt;=0,J372&gt;=0),"",SUMPRODUCT(($A$18:$A$379=A372)*(IFERROR($B$18:$B$379&gt;=E372-30,0))*(IFERROR($B$18:$B$379&lt;=E372+30,0))*($G$18:$G$379&gt;0)*($L$18:$L$379&lt;&gt;L372))+SUMPRODUCT(($A$381:$A$498=A372)*(IFERROR($B$381:$B$498&gt;=E372-30,0))*(IFERROR($B$381:$B$498&lt;=E372+30,0))*($G$381:$G$498&gt;0)*($L$381:$L$498&lt;&gt;L372)))</f>
        <v/>
      </c>
      <c r="Q372" s="31" t="str">
        <f>IF(P372=1,IFERROR(INDEX($L$18:$L$379,MATCH(1,INDEX(($A$18:$A$379=A372)*(IFERROR($B$18:$B$379&gt;=E372-30,0))*(IFERROR($B$18:$B$379&lt;=E372+30,0))*($G$18:$G$379&gt;0)*($L$18:$L$379&lt;&gt;L372),0),0)),IFERROR(INDEX($L$381:$L$498,MATCH(1,INDEX(($A$381:$A$498=A372)*(IFERROR($B$381:$B$498&gt;=E372-30,0))*(IFERROR($B$381:$B$498&lt;=E372+30,0))*($G$381:$G$498&gt;0)*($L$381:$L$498&lt;&gt;L372),0),0)),"")),"")</f>
        <v/>
      </c>
      <c r="R372" s="32"/>
      <c r="S372" s="31" t="str">
        <f>IF(R372&lt;&gt;"",R372,Q372)</f>
        <v/>
      </c>
      <c r="T372" s="63">
        <f>IF(OR(N372="",O372=0),0,N372*O372)</f>
        <v>0</v>
      </c>
      <c r="U372" s="63">
        <f>IF(COUNTIF($S$18:$S$498,L372)=0,"",SUMIF($S$18:$S$498,L372,$T$18:$T$498))</f>
        <v>0</v>
      </c>
      <c r="V372" s="63" t="str">
        <f>IF(H372="","",IFERROR(H372+U372,H372))</f>
        <v/>
      </c>
      <c r="W372" s="63" t="str">
        <f>IF(OR(V372="",C372=""),"",V372/C372)</f>
        <v/>
      </c>
      <c r="X372" s="11" t="str">
        <f>IF(A372="","",IF(AND(U372&lt;&gt;"",U372&lt;&gt;0,M372=0),"Replacement lot receiving wash basis",IF(J372="","",IF(J372&gt;=0,"",IF(O372=0,"No replacement buy found",IF(P372&gt;1,"Manual selection needed","Auto matched"))))))</f>
        <v/>
      </c>
      <c r="Z372" t="str">
        <f>IF(K372="Yes",COUNTIF($K$18:K372,"Yes"),"")</f>
        <v/>
      </c>
    </row>
    <row r="373" spans="1:26" ht="34.15" customHeight="1" x14ac:dyDescent="0.2">
      <c r="A373" s="9"/>
      <c r="B373" s="69"/>
      <c r="C373" s="30"/>
      <c r="D373" s="70"/>
      <c r="E373" s="69"/>
      <c r="F373" s="70"/>
      <c r="G373" s="30"/>
      <c r="H373" s="63" t="str">
        <f>IF(OR(C373="",D373=""),"",C373*D373)</f>
        <v/>
      </c>
      <c r="I373" s="63" t="str">
        <f>IF(OR(E373="",F373="",M373&lt;=0),"",M373*F373)</f>
        <v/>
      </c>
      <c r="J373" s="63" t="str">
        <f>IF(I373="","",I373-(M373*D373))</f>
        <v/>
      </c>
      <c r="K373" s="28" t="str">
        <f>IF(A373="","",IF(T373&gt;0,"Yes","No"))</f>
        <v/>
      </c>
      <c r="L373" s="28" t="str">
        <f>IF(A373="","",A373&amp;"-"&amp;TEXT(B373,"yyyymmdd")&amp;"-R"&amp;ROW())</f>
        <v/>
      </c>
      <c r="M373" s="28" t="str">
        <f>IF(OR(C373="",G373=""),"",C373-G373)</f>
        <v/>
      </c>
      <c r="N373" s="63" t="str">
        <f>IF(OR(M373&lt;=0,J373&gt;=0),"",ABS(J373)/M373)</f>
        <v/>
      </c>
      <c r="O373" s="63" t="str">
        <f>IF(OR(A373="",M373&lt;=0,J373&gt;=0),"",MIN(M373,SUMPRODUCT(($A$18:$A$379=A373)*(IFERROR($B$18:$B$379&gt;=E373-30,0))*(IFERROR($B$18:$B$379&lt;=E373+30,0))*($G$18:$G$379&gt;0)*($L$18:$L$379&lt;&gt;L373)*($G$18:$G$379))+SUMPRODUCT(($A$381:$A$498=A373)*(IFERROR($B$381:$B$498&gt;=E373-30,0))*(IFERROR($B$381:$B$498&lt;=E373+30,0))*($G$381:$G$498&gt;0)*($L$381:$L$498&lt;&gt;L373)*($G$381:$G$498))))</f>
        <v/>
      </c>
      <c r="P373" s="28" t="str">
        <f>IF(OR(A373="",M373&lt;=0,J373&gt;=0),"",SUMPRODUCT(($A$18:$A$379=A373)*(IFERROR($B$18:$B$379&gt;=E373-30,0))*(IFERROR($B$18:$B$379&lt;=E373+30,0))*($G$18:$G$379&gt;0)*($L$18:$L$379&lt;&gt;L373))+SUMPRODUCT(($A$381:$A$498=A373)*(IFERROR($B$381:$B$498&gt;=E373-30,0))*(IFERROR($B$381:$B$498&lt;=E373+30,0))*($G$381:$G$498&gt;0)*($L$381:$L$498&lt;&gt;L373)))</f>
        <v/>
      </c>
      <c r="Q373" s="31" t="str">
        <f>IF(P373=1,IFERROR(INDEX($L$18:$L$379,MATCH(1,INDEX(($A$18:$A$379=A373)*(IFERROR($B$18:$B$379&gt;=E373-30,0))*(IFERROR($B$18:$B$379&lt;=E373+30,0))*($G$18:$G$379&gt;0)*($L$18:$L$379&lt;&gt;L373),0),0)),IFERROR(INDEX($L$381:$L$498,MATCH(1,INDEX(($A$381:$A$498=A373)*(IFERROR($B$381:$B$498&gt;=E373-30,0))*(IFERROR($B$381:$B$498&lt;=E373+30,0))*($G$381:$G$498&gt;0)*($L$381:$L$498&lt;&gt;L373),0),0)),"")),"")</f>
        <v/>
      </c>
      <c r="R373" s="32"/>
      <c r="S373" s="31" t="str">
        <f>IF(R373&lt;&gt;"",R373,Q373)</f>
        <v/>
      </c>
      <c r="T373" s="63">
        <f>IF(OR(N373="",O373=0),0,N373*O373)</f>
        <v>0</v>
      </c>
      <c r="U373" s="63">
        <f>IF(COUNTIF($S$18:$S$498,L373)=0,"",SUMIF($S$18:$S$498,L373,$T$18:$T$498))</f>
        <v>0</v>
      </c>
      <c r="V373" s="63" t="str">
        <f>IF(H373="","",IFERROR(H373+U373,H373))</f>
        <v/>
      </c>
      <c r="W373" s="63" t="str">
        <f>IF(OR(V373="",C373=""),"",V373/C373)</f>
        <v/>
      </c>
      <c r="X373" s="11" t="str">
        <f>IF(A373="","",IF(AND(U373&lt;&gt;"",U373&lt;&gt;0,M373=0),"Replacement lot receiving wash basis",IF(J373="","",IF(J373&gt;=0,"",IF(O373=0,"No replacement buy found",IF(P373&gt;1,"Manual selection needed","Auto matched"))))))</f>
        <v/>
      </c>
      <c r="Z373" t="str">
        <f>IF(K373="Yes",COUNTIF($K$18:K373,"Yes"),"")</f>
        <v/>
      </c>
    </row>
    <row r="374" spans="1:26" ht="34.15" customHeight="1" x14ac:dyDescent="0.2">
      <c r="A374" s="9"/>
      <c r="B374" s="69"/>
      <c r="C374" s="30"/>
      <c r="D374" s="70"/>
      <c r="E374" s="69"/>
      <c r="F374" s="70"/>
      <c r="G374" s="30"/>
      <c r="H374" s="63" t="str">
        <f>IF(OR(C374="",D374=""),"",C374*D374)</f>
        <v/>
      </c>
      <c r="I374" s="63" t="str">
        <f>IF(OR(E374="",F374="",M374&lt;=0),"",M374*F374)</f>
        <v/>
      </c>
      <c r="J374" s="63" t="str">
        <f>IF(I374="","",I374-(M374*D374))</f>
        <v/>
      </c>
      <c r="K374" s="28" t="str">
        <f>IF(A374="","",IF(T374&gt;0,"Yes","No"))</f>
        <v/>
      </c>
      <c r="L374" s="28" t="str">
        <f>IF(A374="","",A374&amp;"-"&amp;TEXT(B374,"yyyymmdd")&amp;"-R"&amp;ROW())</f>
        <v/>
      </c>
      <c r="M374" s="28" t="str">
        <f>IF(OR(C374="",G374=""),"",C374-G374)</f>
        <v/>
      </c>
      <c r="N374" s="63" t="str">
        <f>IF(OR(M374&lt;=0,J374&gt;=0),"",ABS(J374)/M374)</f>
        <v/>
      </c>
      <c r="O374" s="63" t="str">
        <f>IF(OR(A374="",M374&lt;=0,J374&gt;=0),"",MIN(M374,SUMPRODUCT(($A$18:$A$379=A374)*(IFERROR($B$18:$B$379&gt;=E374-30,0))*(IFERROR($B$18:$B$379&lt;=E374+30,0))*($G$18:$G$379&gt;0)*($L$18:$L$379&lt;&gt;L374)*($G$18:$G$379))+SUMPRODUCT(($A$381:$A$498=A374)*(IFERROR($B$381:$B$498&gt;=E374-30,0))*(IFERROR($B$381:$B$498&lt;=E374+30,0))*($G$381:$G$498&gt;0)*($L$381:$L$498&lt;&gt;L374)*($G$381:$G$498))))</f>
        <v/>
      </c>
      <c r="P374" s="28" t="str">
        <f>IF(OR(A374="",M374&lt;=0,J374&gt;=0),"",SUMPRODUCT(($A$18:$A$379=A374)*(IFERROR($B$18:$B$379&gt;=E374-30,0))*(IFERROR($B$18:$B$379&lt;=E374+30,0))*($G$18:$G$379&gt;0)*($L$18:$L$379&lt;&gt;L374))+SUMPRODUCT(($A$381:$A$498=A374)*(IFERROR($B$381:$B$498&gt;=E374-30,0))*(IFERROR($B$381:$B$498&lt;=E374+30,0))*($G$381:$G$498&gt;0)*($L$381:$L$498&lt;&gt;L374)))</f>
        <v/>
      </c>
      <c r="Q374" s="31" t="str">
        <f>IF(P374=1,IFERROR(INDEX($L$18:$L$379,MATCH(1,INDEX(($A$18:$A$379=A374)*(IFERROR($B$18:$B$379&gt;=E374-30,0))*(IFERROR($B$18:$B$379&lt;=E374+30,0))*($G$18:$G$379&gt;0)*($L$18:$L$379&lt;&gt;L374),0),0)),IFERROR(INDEX($L$381:$L$498,MATCH(1,INDEX(($A$381:$A$498=A374)*(IFERROR($B$381:$B$498&gt;=E374-30,0))*(IFERROR($B$381:$B$498&lt;=E374+30,0))*($G$381:$G$498&gt;0)*($L$381:$L$498&lt;&gt;L374),0),0)),"")),"")</f>
        <v/>
      </c>
      <c r="R374" s="32"/>
      <c r="S374" s="31" t="str">
        <f>IF(R374&lt;&gt;"",R374,Q374)</f>
        <v/>
      </c>
      <c r="T374" s="63">
        <f>IF(OR(N374="",O374=0),0,N374*O374)</f>
        <v>0</v>
      </c>
      <c r="U374" s="63">
        <f>IF(COUNTIF($S$18:$S$498,L374)=0,"",SUMIF($S$18:$S$498,L374,$T$18:$T$498))</f>
        <v>0</v>
      </c>
      <c r="V374" s="63" t="str">
        <f>IF(H374="","",IFERROR(H374+U374,H374))</f>
        <v/>
      </c>
      <c r="W374" s="63" t="str">
        <f>IF(OR(V374="",C374=""),"",V374/C374)</f>
        <v/>
      </c>
      <c r="X374" s="11" t="str">
        <f>IF(A374="","",IF(AND(U374&lt;&gt;"",U374&lt;&gt;0,M374=0),"Replacement lot receiving wash basis",IF(J374="","",IF(J374&gt;=0,"",IF(O374=0,"No replacement buy found",IF(P374&gt;1,"Manual selection needed","Auto matched"))))))</f>
        <v/>
      </c>
      <c r="Z374" t="str">
        <f>IF(K374="Yes",COUNTIF($K$18:K374,"Yes"),"")</f>
        <v/>
      </c>
    </row>
    <row r="375" spans="1:26" ht="34.15" customHeight="1" x14ac:dyDescent="0.2">
      <c r="A375" s="9"/>
      <c r="B375" s="69"/>
      <c r="C375" s="30"/>
      <c r="D375" s="70"/>
      <c r="E375" s="69"/>
      <c r="F375" s="70"/>
      <c r="G375" s="30"/>
      <c r="H375" s="63" t="str">
        <f>IF(OR(C375="",D375=""),"",C375*D375)</f>
        <v/>
      </c>
      <c r="I375" s="63" t="str">
        <f>IF(OR(E375="",F375="",M375&lt;=0),"",M375*F375)</f>
        <v/>
      </c>
      <c r="J375" s="63" t="str">
        <f>IF(I375="","",I375-(M375*D375))</f>
        <v/>
      </c>
      <c r="K375" s="28" t="str">
        <f>IF(A375="","",IF(T375&gt;0,"Yes","No"))</f>
        <v/>
      </c>
      <c r="L375" s="28" t="str">
        <f>IF(A375="","",A375&amp;"-"&amp;TEXT(B375,"yyyymmdd")&amp;"-R"&amp;ROW())</f>
        <v/>
      </c>
      <c r="M375" s="28" t="str">
        <f>IF(OR(C375="",G375=""),"",C375-G375)</f>
        <v/>
      </c>
      <c r="N375" s="63" t="str">
        <f>IF(OR(M375&lt;=0,J375&gt;=0),"",ABS(J375)/M375)</f>
        <v/>
      </c>
      <c r="O375" s="63" t="str">
        <f>IF(OR(A375="",M375&lt;=0,J375&gt;=0),"",MIN(M375,SUMPRODUCT(($A$18:$A$379=A375)*(IFERROR($B$18:$B$379&gt;=E375-30,0))*(IFERROR($B$18:$B$379&lt;=E375+30,0))*($G$18:$G$379&gt;0)*($L$18:$L$379&lt;&gt;L375)*($G$18:$G$379))+SUMPRODUCT(($A$381:$A$498=A375)*(IFERROR($B$381:$B$498&gt;=E375-30,0))*(IFERROR($B$381:$B$498&lt;=E375+30,0))*($G$381:$G$498&gt;0)*($L$381:$L$498&lt;&gt;L375)*($G$381:$G$498))))</f>
        <v/>
      </c>
      <c r="P375" s="28" t="str">
        <f>IF(OR(A375="",M375&lt;=0,J375&gt;=0),"",SUMPRODUCT(($A$18:$A$379=A375)*(IFERROR($B$18:$B$379&gt;=E375-30,0))*(IFERROR($B$18:$B$379&lt;=E375+30,0))*($G$18:$G$379&gt;0)*($L$18:$L$379&lt;&gt;L375))+SUMPRODUCT(($A$381:$A$498=A375)*(IFERROR($B$381:$B$498&gt;=E375-30,0))*(IFERROR($B$381:$B$498&lt;=E375+30,0))*($G$381:$G$498&gt;0)*($L$381:$L$498&lt;&gt;L375)))</f>
        <v/>
      </c>
      <c r="Q375" s="31" t="str">
        <f>IF(P375=1,IFERROR(INDEX($L$18:$L$379,MATCH(1,INDEX(($A$18:$A$379=A375)*(IFERROR($B$18:$B$379&gt;=E375-30,0))*(IFERROR($B$18:$B$379&lt;=E375+30,0))*($G$18:$G$379&gt;0)*($L$18:$L$379&lt;&gt;L375),0),0)),IFERROR(INDEX($L$381:$L$498,MATCH(1,INDEX(($A$381:$A$498=A375)*(IFERROR($B$381:$B$498&gt;=E375-30,0))*(IFERROR($B$381:$B$498&lt;=E375+30,0))*($G$381:$G$498&gt;0)*($L$381:$L$498&lt;&gt;L375),0),0)),"")),"")</f>
        <v/>
      </c>
      <c r="R375" s="32"/>
      <c r="S375" s="31" t="str">
        <f>IF(R375&lt;&gt;"",R375,Q375)</f>
        <v/>
      </c>
      <c r="T375" s="63">
        <f>IF(OR(N375="",O375=0),0,N375*O375)</f>
        <v>0</v>
      </c>
      <c r="U375" s="63">
        <f>IF(COUNTIF($S$18:$S$498,L375)=0,"",SUMIF($S$18:$S$498,L375,$T$18:$T$498))</f>
        <v>0</v>
      </c>
      <c r="V375" s="63" t="str">
        <f>IF(H375="","",IFERROR(H375+U375,H375))</f>
        <v/>
      </c>
      <c r="W375" s="63" t="str">
        <f>IF(OR(V375="",C375=""),"",V375/C375)</f>
        <v/>
      </c>
      <c r="X375" s="11" t="str">
        <f>IF(A375="","",IF(AND(U375&lt;&gt;"",U375&lt;&gt;0,M375=0),"Replacement lot receiving wash basis",IF(J375="","",IF(J375&gt;=0,"",IF(O375=0,"No replacement buy found",IF(P375&gt;1,"Manual selection needed","Auto matched"))))))</f>
        <v/>
      </c>
      <c r="Z375" t="str">
        <f>IF(K375="Yes",COUNTIF($K$18:K375,"Yes"),"")</f>
        <v/>
      </c>
    </row>
    <row r="376" spans="1:26" ht="34.15" customHeight="1" x14ac:dyDescent="0.2">
      <c r="A376" s="9"/>
      <c r="B376" s="69"/>
      <c r="C376" s="30"/>
      <c r="D376" s="70"/>
      <c r="E376" s="69"/>
      <c r="F376" s="70"/>
      <c r="G376" s="30"/>
      <c r="H376" s="63" t="str">
        <f>IF(OR(C376="",D376=""),"",C376*D376)</f>
        <v/>
      </c>
      <c r="I376" s="63" t="str">
        <f>IF(OR(E376="",F376="",M376&lt;=0),"",M376*F376)</f>
        <v/>
      </c>
      <c r="J376" s="63" t="str">
        <f>IF(I376="","",I376-(M376*D376))</f>
        <v/>
      </c>
      <c r="K376" s="28" t="str">
        <f>IF(A376="","",IF(T376&gt;0,"Yes","No"))</f>
        <v/>
      </c>
      <c r="L376" s="28" t="str">
        <f>IF(A376="","",A376&amp;"-"&amp;TEXT(B376,"yyyymmdd")&amp;"-R"&amp;ROW())</f>
        <v/>
      </c>
      <c r="M376" s="28" t="str">
        <f>IF(OR(C376="",G376=""),"",C376-G376)</f>
        <v/>
      </c>
      <c r="N376" s="63" t="str">
        <f>IF(OR(M376&lt;=0,J376&gt;=0),"",ABS(J376)/M376)</f>
        <v/>
      </c>
      <c r="O376" s="63" t="str">
        <f>IF(OR(A376="",M376&lt;=0,J376&gt;=0),"",MIN(M376,SUMPRODUCT(($A$18:$A$379=A376)*(IFERROR($B$18:$B$379&gt;=E376-30,0))*(IFERROR($B$18:$B$379&lt;=E376+30,0))*($G$18:$G$379&gt;0)*($L$18:$L$379&lt;&gt;L376)*($G$18:$G$379))+SUMPRODUCT(($A$381:$A$498=A376)*(IFERROR($B$381:$B$498&gt;=E376-30,0))*(IFERROR($B$381:$B$498&lt;=E376+30,0))*($G$381:$G$498&gt;0)*($L$381:$L$498&lt;&gt;L376)*($G$381:$G$498))))</f>
        <v/>
      </c>
      <c r="P376" s="28" t="str">
        <f>IF(OR(A376="",M376&lt;=0,J376&gt;=0),"",SUMPRODUCT(($A$18:$A$379=A376)*(IFERROR($B$18:$B$379&gt;=E376-30,0))*(IFERROR($B$18:$B$379&lt;=E376+30,0))*($G$18:$G$379&gt;0)*($L$18:$L$379&lt;&gt;L376))+SUMPRODUCT(($A$381:$A$498=A376)*(IFERROR($B$381:$B$498&gt;=E376-30,0))*(IFERROR($B$381:$B$498&lt;=E376+30,0))*($G$381:$G$498&gt;0)*($L$381:$L$498&lt;&gt;L376)))</f>
        <v/>
      </c>
      <c r="Q376" s="31" t="str">
        <f>IF(P376=1,IFERROR(INDEX($L$18:$L$379,MATCH(1,INDEX(($A$18:$A$379=A376)*(IFERROR($B$18:$B$379&gt;=E376-30,0))*(IFERROR($B$18:$B$379&lt;=E376+30,0))*($G$18:$G$379&gt;0)*($L$18:$L$379&lt;&gt;L376),0),0)),IFERROR(INDEX($L$381:$L$498,MATCH(1,INDEX(($A$381:$A$498=A376)*(IFERROR($B$381:$B$498&gt;=E376-30,0))*(IFERROR($B$381:$B$498&lt;=E376+30,0))*($G$381:$G$498&gt;0)*($L$381:$L$498&lt;&gt;L376),0),0)),"")),"")</f>
        <v/>
      </c>
      <c r="R376" s="32"/>
      <c r="S376" s="31" t="str">
        <f>IF(R376&lt;&gt;"",R376,Q376)</f>
        <v/>
      </c>
      <c r="T376" s="63">
        <f>IF(OR(N376="",O376=0),0,N376*O376)</f>
        <v>0</v>
      </c>
      <c r="U376" s="63">
        <f>IF(COUNTIF($S$18:$S$498,L376)=0,"",SUMIF($S$18:$S$498,L376,$T$18:$T$498))</f>
        <v>0</v>
      </c>
      <c r="V376" s="63" t="str">
        <f>IF(H376="","",IFERROR(H376+U376,H376))</f>
        <v/>
      </c>
      <c r="W376" s="63" t="str">
        <f>IF(OR(V376="",C376=""),"",V376/C376)</f>
        <v/>
      </c>
      <c r="X376" s="11" t="str">
        <f>IF(A376="","",IF(AND(U376&lt;&gt;"",U376&lt;&gt;0,M376=0),"Replacement lot receiving wash basis",IF(J376="","",IF(J376&gt;=0,"",IF(O376=0,"No replacement buy found",IF(P376&gt;1,"Manual selection needed","Auto matched"))))))</f>
        <v/>
      </c>
      <c r="Z376" t="str">
        <f>IF(K376="Yes",COUNTIF($K$18:K376,"Yes"),"")</f>
        <v/>
      </c>
    </row>
    <row r="377" spans="1:26" ht="34.15" customHeight="1" x14ac:dyDescent="0.2">
      <c r="A377" s="9"/>
      <c r="B377" s="69"/>
      <c r="C377" s="30"/>
      <c r="D377" s="70"/>
      <c r="E377" s="69"/>
      <c r="F377" s="70"/>
      <c r="G377" s="30"/>
      <c r="H377" s="63" t="str">
        <f>IF(OR(C377="",D377=""),"",C377*D377)</f>
        <v/>
      </c>
      <c r="I377" s="63" t="str">
        <f>IF(OR(E377="",F377="",M377&lt;=0),"",M377*F377)</f>
        <v/>
      </c>
      <c r="J377" s="63" t="str">
        <f>IF(I377="","",I377-(M377*D377))</f>
        <v/>
      </c>
      <c r="K377" s="28" t="str">
        <f>IF(A377="","",IF(T377&gt;0,"Yes","No"))</f>
        <v/>
      </c>
      <c r="L377" s="28" t="str">
        <f>IF(A377="","",A377&amp;"-"&amp;TEXT(B377,"yyyymmdd")&amp;"-R"&amp;ROW())</f>
        <v/>
      </c>
      <c r="M377" s="28" t="str">
        <f>IF(OR(C377="",G377=""),"",C377-G377)</f>
        <v/>
      </c>
      <c r="N377" s="63" t="str">
        <f>IF(OR(M377&lt;=0,J377&gt;=0),"",ABS(J377)/M377)</f>
        <v/>
      </c>
      <c r="O377" s="63" t="str">
        <f>IF(OR(A377="",M377&lt;=0,J377&gt;=0),"",MIN(M377,SUMPRODUCT(($A$18:$A$379=A377)*(IFERROR($B$18:$B$379&gt;=E377-30,0))*(IFERROR($B$18:$B$379&lt;=E377+30,0))*($G$18:$G$379&gt;0)*($L$18:$L$379&lt;&gt;L377)*($G$18:$G$379))+SUMPRODUCT(($A$381:$A$498=A377)*(IFERROR($B$381:$B$498&gt;=E377-30,0))*(IFERROR($B$381:$B$498&lt;=E377+30,0))*($G$381:$G$498&gt;0)*($L$381:$L$498&lt;&gt;L377)*($G$381:$G$498))))</f>
        <v/>
      </c>
      <c r="P377" s="28" t="str">
        <f>IF(OR(A377="",M377&lt;=0,J377&gt;=0),"",SUMPRODUCT(($A$18:$A$379=A377)*(IFERROR($B$18:$B$379&gt;=E377-30,0))*(IFERROR($B$18:$B$379&lt;=E377+30,0))*($G$18:$G$379&gt;0)*($L$18:$L$379&lt;&gt;L377))+SUMPRODUCT(($A$381:$A$498=A377)*(IFERROR($B$381:$B$498&gt;=E377-30,0))*(IFERROR($B$381:$B$498&lt;=E377+30,0))*($G$381:$G$498&gt;0)*($L$381:$L$498&lt;&gt;L377)))</f>
        <v/>
      </c>
      <c r="Q377" s="31" t="str">
        <f>IF(P377=1,IFERROR(INDEX($L$18:$L$379,MATCH(1,INDEX(($A$18:$A$379=A377)*(IFERROR($B$18:$B$379&gt;=E377-30,0))*(IFERROR($B$18:$B$379&lt;=E377+30,0))*($G$18:$G$379&gt;0)*($L$18:$L$379&lt;&gt;L377),0),0)),IFERROR(INDEX($L$381:$L$498,MATCH(1,INDEX(($A$381:$A$498=A377)*(IFERROR($B$381:$B$498&gt;=E377-30,0))*(IFERROR($B$381:$B$498&lt;=E377+30,0))*($G$381:$G$498&gt;0)*($L$381:$L$498&lt;&gt;L377),0),0)),"")),"")</f>
        <v/>
      </c>
      <c r="R377" s="32"/>
      <c r="S377" s="31" t="str">
        <f>IF(R377&lt;&gt;"",R377,Q377)</f>
        <v/>
      </c>
      <c r="T377" s="63">
        <f>IF(OR(N377="",O377=0),0,N377*O377)</f>
        <v>0</v>
      </c>
      <c r="U377" s="63">
        <f>IF(COUNTIF($S$18:$S$498,L377)=0,"",SUMIF($S$18:$S$498,L377,$T$18:$T$498))</f>
        <v>0</v>
      </c>
      <c r="V377" s="63" t="str">
        <f>IF(H377="","",IFERROR(H377+U377,H377))</f>
        <v/>
      </c>
      <c r="W377" s="63" t="str">
        <f>IF(OR(V377="",C377=""),"",V377/C377)</f>
        <v/>
      </c>
      <c r="X377" s="11" t="str">
        <f>IF(A377="","",IF(AND(U377&lt;&gt;"",U377&lt;&gt;0,M377=0),"Replacement lot receiving wash basis",IF(J377="","",IF(J377&gt;=0,"",IF(O377=0,"No replacement buy found",IF(P377&gt;1,"Manual selection needed","Auto matched"))))))</f>
        <v/>
      </c>
      <c r="Z377" t="str">
        <f>IF(K377="Yes",COUNTIF($K$18:K377,"Yes"),"")</f>
        <v/>
      </c>
    </row>
    <row r="378" spans="1:26" ht="34.15" customHeight="1" x14ac:dyDescent="0.2">
      <c r="A378" s="9"/>
      <c r="B378" s="69"/>
      <c r="C378" s="30"/>
      <c r="D378" s="70"/>
      <c r="E378" s="69"/>
      <c r="F378" s="70"/>
      <c r="G378" s="30"/>
      <c r="H378" s="63" t="str">
        <f>IF(OR(C378="",D378=""),"",C378*D378)</f>
        <v/>
      </c>
      <c r="I378" s="63" t="str">
        <f>IF(OR(E378="",F378="",M378&lt;=0),"",M378*F378)</f>
        <v/>
      </c>
      <c r="J378" s="63" t="str">
        <f>IF(I378="","",I378-(M378*D378))</f>
        <v/>
      </c>
      <c r="K378" s="28" t="str">
        <f>IF(A378="","",IF(T378&gt;0,"Yes","No"))</f>
        <v/>
      </c>
      <c r="L378" s="28" t="str">
        <f>IF(A378="","",A378&amp;"-"&amp;TEXT(B378,"yyyymmdd")&amp;"-R"&amp;ROW())</f>
        <v/>
      </c>
      <c r="M378" s="28" t="str">
        <f>IF(OR(C378="",G378=""),"",C378-G378)</f>
        <v/>
      </c>
      <c r="N378" s="63" t="str">
        <f>IF(OR(M378&lt;=0,J378&gt;=0),"",ABS(J378)/M378)</f>
        <v/>
      </c>
      <c r="O378" s="63" t="str">
        <f>IF(OR(A378="",M378&lt;=0,J378&gt;=0),"",MIN(M378,SUMPRODUCT(($A$18:$A$379=A378)*(IFERROR($B$18:$B$379&gt;=E378-30,0))*(IFERROR($B$18:$B$379&lt;=E378+30,0))*($G$18:$G$379&gt;0)*($L$18:$L$379&lt;&gt;L378)*($G$18:$G$379))+SUMPRODUCT(($A$381:$A$498=A378)*(IFERROR($B$381:$B$498&gt;=E378-30,0))*(IFERROR($B$381:$B$498&lt;=E378+30,0))*($G$381:$G$498&gt;0)*($L$381:$L$498&lt;&gt;L378)*($G$381:$G$498))))</f>
        <v/>
      </c>
      <c r="P378" s="28" t="str">
        <f>IF(OR(A378="",M378&lt;=0,J378&gt;=0),"",SUMPRODUCT(($A$18:$A$379=A378)*(IFERROR($B$18:$B$379&gt;=E378-30,0))*(IFERROR($B$18:$B$379&lt;=E378+30,0))*($G$18:$G$379&gt;0)*($L$18:$L$379&lt;&gt;L378))+SUMPRODUCT(($A$381:$A$498=A378)*(IFERROR($B$381:$B$498&gt;=E378-30,0))*(IFERROR($B$381:$B$498&lt;=E378+30,0))*($G$381:$G$498&gt;0)*($L$381:$L$498&lt;&gt;L378)))</f>
        <v/>
      </c>
      <c r="Q378" s="31" t="str">
        <f>IF(P378=1,IFERROR(INDEX($L$18:$L$379,MATCH(1,INDEX(($A$18:$A$379=A378)*(IFERROR($B$18:$B$379&gt;=E378-30,0))*(IFERROR($B$18:$B$379&lt;=E378+30,0))*($G$18:$G$379&gt;0)*($L$18:$L$379&lt;&gt;L378),0),0)),IFERROR(INDEX($L$381:$L$498,MATCH(1,INDEX(($A$381:$A$498=A378)*(IFERROR($B$381:$B$498&gt;=E378-30,0))*(IFERROR($B$381:$B$498&lt;=E378+30,0))*($G$381:$G$498&gt;0)*($L$381:$L$498&lt;&gt;L378),0),0)),"")),"")</f>
        <v/>
      </c>
      <c r="R378" s="32"/>
      <c r="S378" s="31" t="str">
        <f>IF(R378&lt;&gt;"",R378,Q378)</f>
        <v/>
      </c>
      <c r="T378" s="63">
        <f>IF(OR(N378="",O378=0),0,N378*O378)</f>
        <v>0</v>
      </c>
      <c r="U378" s="63">
        <f>IF(COUNTIF($S$18:$S$498,L378)=0,"",SUMIF($S$18:$S$498,L378,$T$18:$T$498))</f>
        <v>0</v>
      </c>
      <c r="V378" s="63" t="str">
        <f>IF(H378="","",IFERROR(H378+U378,H378))</f>
        <v/>
      </c>
      <c r="W378" s="63" t="str">
        <f>IF(OR(V378="",C378=""),"",V378/C378)</f>
        <v/>
      </c>
      <c r="X378" s="11" t="str">
        <f>IF(A378="","",IF(AND(U378&lt;&gt;"",U378&lt;&gt;0,M378=0),"Replacement lot receiving wash basis",IF(J378="","",IF(J378&gt;=0,"",IF(O378=0,"No replacement buy found",IF(P378&gt;1,"Manual selection needed","Auto matched"))))))</f>
        <v/>
      </c>
      <c r="Z378" t="str">
        <f>IF(K378="Yes",COUNTIF($K$18:K378,"Yes"),"")</f>
        <v/>
      </c>
    </row>
    <row r="379" spans="1:26" ht="51" customHeight="1" x14ac:dyDescent="0.2">
      <c r="A379" s="79" t="s">
        <v>64</v>
      </c>
      <c r="B379" s="78"/>
      <c r="C379" s="78"/>
      <c r="D379" s="78"/>
      <c r="E379" s="78"/>
      <c r="F379" s="78"/>
      <c r="G379" s="78"/>
      <c r="H379" s="78"/>
      <c r="I379" s="78"/>
      <c r="J379" s="78"/>
      <c r="K379" s="78"/>
      <c r="L379" s="78"/>
      <c r="M379" s="78"/>
      <c r="N379" s="78"/>
      <c r="O379" s="78"/>
      <c r="P379" s="78"/>
      <c r="Q379" s="78"/>
      <c r="R379" s="78"/>
      <c r="S379" s="78"/>
      <c r="T379" s="78"/>
      <c r="U379" s="78"/>
      <c r="V379" s="78"/>
      <c r="W379" s="78"/>
      <c r="X379" s="78"/>
      <c r="Z379" t="str">
        <f>IF(K379="Yes",COUNTIF($K$18:K379,"Yes"),"")</f>
        <v/>
      </c>
    </row>
    <row r="380" spans="1:26" ht="51.2" customHeight="1" x14ac:dyDescent="0.2">
      <c r="A380" s="6" t="s">
        <v>4</v>
      </c>
      <c r="B380" s="7" t="s">
        <v>39</v>
      </c>
      <c r="C380" s="7" t="s">
        <v>40</v>
      </c>
      <c r="D380" s="7" t="s">
        <v>41</v>
      </c>
      <c r="E380" s="7" t="s">
        <v>42</v>
      </c>
      <c r="F380" s="7" t="s">
        <v>43</v>
      </c>
      <c r="G380" s="7" t="s">
        <v>44</v>
      </c>
      <c r="H380" s="7" t="s">
        <v>45</v>
      </c>
      <c r="I380" s="7" t="s">
        <v>46</v>
      </c>
      <c r="J380" s="7" t="s">
        <v>47</v>
      </c>
      <c r="K380" s="7" t="s">
        <v>48</v>
      </c>
      <c r="L380" s="7" t="s">
        <v>49</v>
      </c>
      <c r="M380" s="7" t="s">
        <v>50</v>
      </c>
      <c r="N380" s="7" t="s">
        <v>51</v>
      </c>
      <c r="O380" s="7" t="s">
        <v>52</v>
      </c>
      <c r="P380" s="7" t="s">
        <v>53</v>
      </c>
      <c r="Q380" s="7" t="s">
        <v>54</v>
      </c>
      <c r="R380" s="7" t="s">
        <v>55</v>
      </c>
      <c r="S380" s="7" t="s">
        <v>56</v>
      </c>
      <c r="T380" s="7" t="s">
        <v>57</v>
      </c>
      <c r="U380" s="7" t="s">
        <v>58</v>
      </c>
      <c r="V380" s="7" t="s">
        <v>59</v>
      </c>
      <c r="W380" s="7" t="s">
        <v>60</v>
      </c>
      <c r="X380" s="8" t="s">
        <v>61</v>
      </c>
      <c r="Z380" t="str">
        <f>IF(K380="Yes",COUNTIF($K$18:K380,"Yes"),"")</f>
        <v/>
      </c>
    </row>
    <row r="381" spans="1:26" ht="34.15" customHeight="1" x14ac:dyDescent="0.2">
      <c r="A381" s="9" t="s">
        <v>31</v>
      </c>
      <c r="B381" s="69">
        <v>46098</v>
      </c>
      <c r="C381" s="30">
        <v>157.00299999999999</v>
      </c>
      <c r="D381" s="70">
        <v>88.55</v>
      </c>
      <c r="E381" s="69">
        <v>46101</v>
      </c>
      <c r="F381" s="70">
        <v>83.55</v>
      </c>
      <c r="G381" s="30">
        <v>0</v>
      </c>
      <c r="H381" s="63">
        <f>IF(OR(C381="",D381=""),"",C381*D381)</f>
        <v>13902.615649999998</v>
      </c>
      <c r="I381" s="63">
        <f>IF(OR(E381="",F381="",M381&lt;=0),"",M381*F381)</f>
        <v>13117.600649999998</v>
      </c>
      <c r="J381" s="63">
        <f>IF(I381="","",I381-(M381*D381))</f>
        <v>-785.01499999999942</v>
      </c>
      <c r="K381" s="28" t="str">
        <f>IF(A381="","",IF(T381&gt;0,"Yes","No"))</f>
        <v>No</v>
      </c>
      <c r="L381" s="28" t="str">
        <f>IF(A381="","",A381&amp;"-"&amp;TEXT(B381,"yyyymmdd")&amp;"-R"&amp;ROW())</f>
        <v>IXUS-20260317-R381</v>
      </c>
      <c r="M381" s="28">
        <f>IF(OR(C381="",G381=""),"",C381-G381)</f>
        <v>157.00299999999999</v>
      </c>
      <c r="N381" s="63">
        <f>IF(OR(M381&lt;=0,J381&gt;=0),"",ABS(J381)/M381)</f>
        <v>4.9999999999999964</v>
      </c>
      <c r="O381" s="63">
        <f>IF(OR(A381="",M381&lt;=0,J381&gt;=0),"",MIN(M381,SUMPRODUCT(($A$18:$A$379=A381)*(IFERROR($B$18:$B$379&gt;=E381-30,0))*(IFERROR($B$18:$B$379&lt;=E381+30,0))*($G$18:$G$379&gt;0)*($L$18:$L$379&lt;&gt;L381)*($G$18:$G$379))+SUMPRODUCT(($A$381:$A$498=A381)*(IFERROR($B$381:$B$498&gt;=E381-30,0))*(IFERROR($B$381:$B$498&lt;=E381+30,0))*($G$381:$G$498&gt;0)*($L$381:$L$498&lt;&gt;L381)*($G$381:$G$498))))</f>
        <v>0</v>
      </c>
      <c r="P381" s="28">
        <f>IF(OR(A381="",M381&lt;=0,J381&gt;=0),"",SUMPRODUCT(($A$18:$A$379=A381)*(IFERROR($B$18:$B$379&gt;=E381-30,0))*(IFERROR($B$18:$B$379&lt;=E381+30,0))*($G$18:$G$379&gt;0)*($L$18:$L$379&lt;&gt;L381))+SUMPRODUCT(($A$381:$A$498=A381)*(IFERROR($B$381:$B$498&gt;=E381-30,0))*(IFERROR($B$381:$B$498&lt;=E381+30,0))*($G$381:$G$498&gt;0)*($L$381:$L$498&lt;&gt;L381)))</f>
        <v>0</v>
      </c>
      <c r="Q381" s="31" t="str">
        <f>IF(P381=1,IFERROR(INDEX($L$18:$L$379,MATCH(1,INDEX(($A$18:$A$379=A381)*(IFERROR($B$18:$B$379&gt;=E381-30,0))*(IFERROR($B$18:$B$379&lt;=E381+30,0))*($G$18:$G$379&gt;0)*($L$18:$L$379&lt;&gt;L381),0),0)),IFERROR(INDEX($L$381:$L$498,MATCH(1,INDEX(($A$381:$A$498=A381)*(IFERROR($B$381:$B$498&gt;=E381-30,0))*(IFERROR($B$381:$B$498&lt;=E381+30,0))*($G$381:$G$498&gt;0)*($L$381:$L$498&lt;&gt;L381),0),0)),"")),"")</f>
        <v/>
      </c>
      <c r="R381" s="32"/>
      <c r="S381" s="31" t="str">
        <f>IF(R381&lt;&gt;"",R381,Q381)</f>
        <v/>
      </c>
      <c r="T381" s="63">
        <f>IF(OR(N381="",O381=0),0,N381*O381)</f>
        <v>0</v>
      </c>
      <c r="U381" s="63" t="str">
        <f>IF(COUNTIF($S$18:$S$498,L381)=0,"",SUMIF($S$18:$S$498,L381,$T$18:$T$498))</f>
        <v/>
      </c>
      <c r="V381" s="63">
        <f>IF(H381="","",IFERROR(H381+U381,H381))</f>
        <v>13902.615649999998</v>
      </c>
      <c r="W381" s="63">
        <f>IF(OR(V381="",C381=""),"",V381/C381)</f>
        <v>88.55</v>
      </c>
      <c r="X381" s="11" t="str">
        <f>IF(A381="","",IF(AND(U381&lt;&gt;"",U381&lt;&gt;0,M381=0),"Replacement lot receiving wash basis",IF(J381="","",IF(J381&gt;=0,"",IF(O381=0,"No replacement buy found",IF(P381&gt;1,"Manual selection needed","Auto matched"))))))</f>
        <v>No replacement buy found</v>
      </c>
      <c r="Z381" t="str">
        <f>IF(K381="Yes",COUNTIF($K$18:K381,"Yes"),"")</f>
        <v/>
      </c>
    </row>
    <row r="382" spans="1:26" ht="34.15" customHeight="1" x14ac:dyDescent="0.2">
      <c r="A382" s="9" t="s">
        <v>31</v>
      </c>
      <c r="B382" s="69">
        <v>46098</v>
      </c>
      <c r="C382" s="30">
        <v>0.997</v>
      </c>
      <c r="D382" s="70">
        <v>93.56</v>
      </c>
      <c r="E382" s="69">
        <v>46101</v>
      </c>
      <c r="F382" s="70">
        <v>83.55</v>
      </c>
      <c r="G382" s="30">
        <v>0</v>
      </c>
      <c r="H382" s="63">
        <f>IF(OR(C382="",D382=""),"",C382*D382)</f>
        <v>93.279319999999998</v>
      </c>
      <c r="I382" s="63">
        <f>IF(OR(E382="",F382="",M382&lt;=0),"",M382*F382)</f>
        <v>83.299350000000004</v>
      </c>
      <c r="J382" s="63">
        <f>IF(I382="","",I382-(M382*D382))</f>
        <v>-9.9799699999999945</v>
      </c>
      <c r="K382" s="28" t="str">
        <f>IF(A382="","",IF(T382&gt;0,"Yes","No"))</f>
        <v>No</v>
      </c>
      <c r="L382" s="28" t="str">
        <f>IF(A382="","",A382&amp;"-"&amp;TEXT(B382,"yyyymmdd")&amp;"-R"&amp;ROW())</f>
        <v>IXUS-20260317-R382</v>
      </c>
      <c r="M382" s="28">
        <f>IF(OR(C382="",G382=""),"",C382-G382)</f>
        <v>0.997</v>
      </c>
      <c r="N382" s="63">
        <f>IF(OR(M382&lt;=0,J382&gt;=0),"",ABS(J382)/M382)</f>
        <v>10.009999999999994</v>
      </c>
      <c r="O382" s="63">
        <f>IF(OR(A382="",M382&lt;=0,J382&gt;=0),"",MIN(M382,SUMPRODUCT(($A$18:$A$379=A382)*(IFERROR($B$18:$B$379&gt;=E382-30,0))*(IFERROR($B$18:$B$379&lt;=E382+30,0))*($G$18:$G$379&gt;0)*($L$18:$L$379&lt;&gt;L382)*($G$18:$G$379))+SUMPRODUCT(($A$381:$A$498=A382)*(IFERROR($B$381:$B$498&gt;=E382-30,0))*(IFERROR($B$381:$B$498&lt;=E382+30,0))*($G$381:$G$498&gt;0)*($L$381:$L$498&lt;&gt;L382)*($G$381:$G$498))))</f>
        <v>0</v>
      </c>
      <c r="P382" s="28">
        <f>IF(OR(A382="",M382&lt;=0,J382&gt;=0),"",SUMPRODUCT(($A$18:$A$379=A382)*(IFERROR($B$18:$B$379&gt;=E382-30,0))*(IFERROR($B$18:$B$379&lt;=E382+30,0))*($G$18:$G$379&gt;0)*($L$18:$L$379&lt;&gt;L382))+SUMPRODUCT(($A$381:$A$498=A382)*(IFERROR($B$381:$B$498&gt;=E382-30,0))*(IFERROR($B$381:$B$498&lt;=E382+30,0))*($G$381:$G$498&gt;0)*($L$381:$L$498&lt;&gt;L382)))</f>
        <v>0</v>
      </c>
      <c r="Q382" s="31" t="str">
        <f>IF(P382=1,IFERROR(INDEX($L$18:$L$379,MATCH(1,INDEX(($A$18:$A$379=A382)*(IFERROR($B$18:$B$379&gt;=E382-30,0))*(IFERROR($B$18:$B$379&lt;=E382+30,0))*($G$18:$G$379&gt;0)*($L$18:$L$379&lt;&gt;L382),0),0)),IFERROR(INDEX($L$381:$L$498,MATCH(1,INDEX(($A$381:$A$498=A382)*(IFERROR($B$381:$B$498&gt;=E382-30,0))*(IFERROR($B$381:$B$498&lt;=E382+30,0))*($G$381:$G$498&gt;0)*($L$381:$L$498&lt;&gt;L382),0),0)),"")),"")</f>
        <v/>
      </c>
      <c r="R382" s="32"/>
      <c r="S382" s="31" t="str">
        <f>IF(R382&lt;&gt;"",R382,Q382)</f>
        <v/>
      </c>
      <c r="T382" s="63">
        <f>IF(OR(N382="",O382=0),0,N382*O382)</f>
        <v>0</v>
      </c>
      <c r="U382" s="63" t="str">
        <f>IF(COUNTIF($S$18:$S$498,L382)=0,"",SUMIF($S$18:$S$498,L382,$T$18:$T$498))</f>
        <v/>
      </c>
      <c r="V382" s="63">
        <f>IF(H382="","",IFERROR(H382+U382,H382))</f>
        <v>93.279319999999998</v>
      </c>
      <c r="W382" s="63">
        <f>IF(OR(V382="",C382=""),"",V382/C382)</f>
        <v>93.56</v>
      </c>
      <c r="X382" s="11" t="str">
        <f>IF(A382="","",IF(AND(U382&lt;&gt;"",U382&lt;&gt;0,M382=0),"Replacement lot receiving wash basis",IF(J382="","",IF(J382&gt;=0,"",IF(O382=0,"No replacement buy found",IF(P382&gt;1,"Manual selection needed","Auto matched"))))))</f>
        <v>No replacement buy found</v>
      </c>
      <c r="Z382" t="str">
        <f>IF(K382="Yes",COUNTIF($K$18:K382,"Yes"),"")</f>
        <v/>
      </c>
    </row>
    <row r="383" spans="1:26" ht="34.15" customHeight="1" x14ac:dyDescent="0.2">
      <c r="A383" s="9" t="s">
        <v>28</v>
      </c>
      <c r="B383" s="69">
        <v>46098</v>
      </c>
      <c r="C383" s="30">
        <v>178</v>
      </c>
      <c r="D383" s="70">
        <v>79.01988764044944</v>
      </c>
      <c r="E383" s="69"/>
      <c r="F383" s="70"/>
      <c r="G383" s="30">
        <v>178</v>
      </c>
      <c r="H383" s="63">
        <f>IF(OR(C383="",D383=""),"",C383*D383)</f>
        <v>14065.54</v>
      </c>
      <c r="I383" s="63" t="str">
        <f>IF(OR(E383="",F383="",M383&lt;=0),"",M383*F383)</f>
        <v/>
      </c>
      <c r="J383" s="63" t="str">
        <f>IF(I383="","",I383-(M383*D383))</f>
        <v/>
      </c>
      <c r="K383" s="28" t="str">
        <f>IF(A383="","",IF(T383&gt;0,"Yes","No"))</f>
        <v>No</v>
      </c>
      <c r="L383" s="28" t="str">
        <f>IF(A383="","",A383&amp;"-"&amp;TEXT(B383,"yyyymmdd")&amp;"-R"&amp;ROW())</f>
        <v>VXUS-20260317-R383</v>
      </c>
      <c r="M383" s="28">
        <f>IF(OR(C383="",G383=""),"",C383-G383)</f>
        <v>0</v>
      </c>
      <c r="N383" s="63" t="str">
        <f>IF(OR(M383&lt;=0,J383&gt;=0),"",ABS(J383)/M383)</f>
        <v/>
      </c>
      <c r="O383" s="63" t="str">
        <f>IF(OR(A383="",M383&lt;=0,J383&gt;=0),"",MIN(M383,SUMPRODUCT(($A$18:$A$379=A383)*(IFERROR($B$18:$B$379&gt;=E383-30,0))*(IFERROR($B$18:$B$379&lt;=E383+30,0))*($G$18:$G$379&gt;0)*($L$18:$L$379&lt;&gt;L383)*($G$18:$G$379))+SUMPRODUCT(($A$381:$A$498=A383)*(IFERROR($B$381:$B$498&gt;=E383-30,0))*(IFERROR($B$381:$B$498&lt;=E383+30,0))*($G$381:$G$498&gt;0)*($L$381:$L$498&lt;&gt;L383)*($G$381:$G$498))))</f>
        <v/>
      </c>
      <c r="P383" s="28" t="str">
        <f>IF(OR(A383="",M383&lt;=0,J383&gt;=0),"",SUMPRODUCT(($A$18:$A$379=A383)*(IFERROR($B$18:$B$379&gt;=E383-30,0))*(IFERROR($B$18:$B$379&lt;=E383+30,0))*($G$18:$G$379&gt;0)*($L$18:$L$379&lt;&gt;L383))+SUMPRODUCT(($A$381:$A$498=A383)*(IFERROR($B$381:$B$498&gt;=E383-30,0))*(IFERROR($B$381:$B$498&lt;=E383+30,0))*($G$381:$G$498&gt;0)*($L$381:$L$498&lt;&gt;L383)))</f>
        <v/>
      </c>
      <c r="Q383" s="31" t="str">
        <f>IF(P383=1,IFERROR(INDEX($L$18:$L$379,MATCH(1,INDEX(($A$18:$A$379=A383)*(IFERROR($B$18:$B$379&gt;=E383-30,0))*(IFERROR($B$18:$B$379&lt;=E383+30,0))*($G$18:$G$379&gt;0)*($L$18:$L$379&lt;&gt;L383),0),0)),IFERROR(INDEX($L$381:$L$498,MATCH(1,INDEX(($A$381:$A$498=A383)*(IFERROR($B$381:$B$498&gt;=E383-30,0))*(IFERROR($B$381:$B$498&lt;=E383+30,0))*($G$381:$G$498&gt;0)*($L$381:$L$498&lt;&gt;L383),0),0)),"")),"")</f>
        <v/>
      </c>
      <c r="R383" s="32"/>
      <c r="S383" s="31" t="str">
        <f>IF(R383&lt;&gt;"",R383,Q383)</f>
        <v/>
      </c>
      <c r="T383" s="63">
        <f>IF(OR(N383="",O383=0),0,N383*O383)</f>
        <v>0</v>
      </c>
      <c r="U383" s="63" t="str">
        <f>IF(COUNTIF($S$18:$S$498,L383)=0,"",SUMIF($S$18:$S$498,L383,$T$18:$T$498))</f>
        <v/>
      </c>
      <c r="V383" s="63">
        <f>IF(H383="","",IFERROR(H383+U383,H383))</f>
        <v>14065.54</v>
      </c>
      <c r="W383" s="63">
        <f>IF(OR(V383="",C383=""),"",V383/C383)</f>
        <v>79.01988764044944</v>
      </c>
      <c r="X383" s="11" t="str">
        <f>IF(A383="","",IF(AND(U383&lt;&gt;"",U383&lt;&gt;0,M383=0),"Replacement lot receiving wash basis",IF(J383="","",IF(J383&gt;=0,"",IF(O383=0,"No replacement buy found",IF(P383&gt;1,"Manual selection needed","Auto matched"))))))</f>
        <v/>
      </c>
      <c r="Z383" t="str">
        <f>IF(K383="Yes",COUNTIF($K$18:K383,"Yes"),"")</f>
        <v/>
      </c>
    </row>
    <row r="384" spans="1:26" ht="34.15" customHeight="1" x14ac:dyDescent="0.2">
      <c r="A384" s="9" t="s">
        <v>28</v>
      </c>
      <c r="B384" s="69">
        <v>46098</v>
      </c>
      <c r="C384" s="30">
        <v>0.182</v>
      </c>
      <c r="D384" s="70">
        <v>79.010989010989022</v>
      </c>
      <c r="E384" s="69"/>
      <c r="F384" s="70"/>
      <c r="G384" s="30">
        <v>0.182</v>
      </c>
      <c r="H384" s="63">
        <f>IF(OR(C384="",D384=""),"",C384*D384)</f>
        <v>14.38</v>
      </c>
      <c r="I384" s="63" t="str">
        <f>IF(OR(E384="",F384="",M384&lt;=0),"",M384*F384)</f>
        <v/>
      </c>
      <c r="J384" s="63" t="str">
        <f>IF(I384="","",I384-(M384*D384))</f>
        <v/>
      </c>
      <c r="K384" s="28" t="str">
        <f>IF(A384="","",IF(T384&gt;0,"Yes","No"))</f>
        <v>No</v>
      </c>
      <c r="L384" s="28" t="str">
        <f>IF(A384="","",A384&amp;"-"&amp;TEXT(B384,"yyyymmdd")&amp;"-R"&amp;ROW())</f>
        <v>VXUS-20260317-R384</v>
      </c>
      <c r="M384" s="28">
        <f>IF(OR(C384="",G384=""),"",C384-G384)</f>
        <v>0</v>
      </c>
      <c r="N384" s="63" t="str">
        <f>IF(OR(M384&lt;=0,J384&gt;=0),"",ABS(J384)/M384)</f>
        <v/>
      </c>
      <c r="O384" s="63" t="str">
        <f>IF(OR(A384="",M384&lt;=0,J384&gt;=0),"",MIN(M384,SUMPRODUCT(($A$18:$A$379=A384)*(IFERROR($B$18:$B$379&gt;=E384-30,0))*(IFERROR($B$18:$B$379&lt;=E384+30,0))*($G$18:$G$379&gt;0)*($L$18:$L$379&lt;&gt;L384)*($G$18:$G$379))+SUMPRODUCT(($A$381:$A$498=A384)*(IFERROR($B$381:$B$498&gt;=E384-30,0))*(IFERROR($B$381:$B$498&lt;=E384+30,0))*($G$381:$G$498&gt;0)*($L$381:$L$498&lt;&gt;L384)*($G$381:$G$498))))</f>
        <v/>
      </c>
      <c r="P384" s="28" t="str">
        <f>IF(OR(A384="",M384&lt;=0,J384&gt;=0),"",SUMPRODUCT(($A$18:$A$379=A384)*(IFERROR($B$18:$B$379&gt;=E384-30,0))*(IFERROR($B$18:$B$379&lt;=E384+30,0))*($G$18:$G$379&gt;0)*($L$18:$L$379&lt;&gt;L384))+SUMPRODUCT(($A$381:$A$498=A384)*(IFERROR($B$381:$B$498&gt;=E384-30,0))*(IFERROR($B$381:$B$498&lt;=E384+30,0))*($G$381:$G$498&gt;0)*($L$381:$L$498&lt;&gt;L384)))</f>
        <v/>
      </c>
      <c r="Q384" s="31" t="str">
        <f>IF(P384=1,IFERROR(INDEX($L$18:$L$379,MATCH(1,INDEX(($A$18:$A$379=A384)*(IFERROR($B$18:$B$379&gt;=E384-30,0))*(IFERROR($B$18:$B$379&lt;=E384+30,0))*($G$18:$G$379&gt;0)*($L$18:$L$379&lt;&gt;L384),0),0)),IFERROR(INDEX($L$381:$L$498,MATCH(1,INDEX(($A$381:$A$498=A384)*(IFERROR($B$381:$B$498&gt;=E384-30,0))*(IFERROR($B$381:$B$498&lt;=E384+30,0))*($G$381:$G$498&gt;0)*($L$381:$L$498&lt;&gt;L384),0),0)),"")),"")</f>
        <v/>
      </c>
      <c r="R384" s="32"/>
      <c r="S384" s="31" t="str">
        <f>IF(R384&lt;&gt;"",R384,Q384)</f>
        <v/>
      </c>
      <c r="T384" s="63">
        <f>IF(OR(N384="",O384=0),0,N384*O384)</f>
        <v>0</v>
      </c>
      <c r="U384" s="63" t="str">
        <f>IF(COUNTIF($S$18:$S$498,L384)=0,"",SUMIF($S$18:$S$498,L384,$T$18:$T$498))</f>
        <v/>
      </c>
      <c r="V384" s="63">
        <f>IF(H384="","",IFERROR(H384+U384,H384))</f>
        <v>14.38</v>
      </c>
      <c r="W384" s="63">
        <f>IF(OR(V384="",C384=""),"",V384/C384)</f>
        <v>79.010989010989022</v>
      </c>
      <c r="X384" s="11" t="str">
        <f>IF(A384="","",IF(AND(U384&lt;&gt;"",U384&lt;&gt;0,M384=0),"Replacement lot receiving wash basis",IF(J384="","",IF(J384&gt;=0,"",IF(O384=0,"No replacement buy found",IF(P384&gt;1,"Manual selection needed","Auto matched"))))))</f>
        <v/>
      </c>
      <c r="Z384" t="str">
        <f>IF(K384="Yes",COUNTIF($K$18:K384,"Yes"),"")</f>
        <v/>
      </c>
    </row>
    <row r="385" spans="1:26" ht="34.15" customHeight="1" x14ac:dyDescent="0.2">
      <c r="A385" s="9" t="s">
        <v>28</v>
      </c>
      <c r="B385" s="69">
        <v>46101</v>
      </c>
      <c r="C385" s="30">
        <v>177</v>
      </c>
      <c r="D385" s="70">
        <v>74.639887005649712</v>
      </c>
      <c r="E385" s="69"/>
      <c r="F385" s="70"/>
      <c r="G385" s="30">
        <v>177</v>
      </c>
      <c r="H385" s="63">
        <f>IF(OR(C385="",D385=""),"",C385*D385)</f>
        <v>13211.259999999998</v>
      </c>
      <c r="I385" s="63" t="str">
        <f>IF(OR(E385="",F385="",M385&lt;=0),"",M385*F385)</f>
        <v/>
      </c>
      <c r="J385" s="63" t="str">
        <f>IF(I385="","",I385-(M385*D385))</f>
        <v/>
      </c>
      <c r="K385" s="28" t="str">
        <f>IF(A385="","",IF(T385&gt;0,"Yes","No"))</f>
        <v>No</v>
      </c>
      <c r="L385" s="28" t="str">
        <f>IF(A385="","",A385&amp;"-"&amp;TEXT(B385,"yyyymmdd")&amp;"-R"&amp;ROW())</f>
        <v>VXUS-20260320-R385</v>
      </c>
      <c r="M385" s="28">
        <f>IF(OR(C385="",G385=""),"",C385-G385)</f>
        <v>0</v>
      </c>
      <c r="N385" s="63" t="str">
        <f>IF(OR(M385&lt;=0,J385&gt;=0),"",ABS(J385)/M385)</f>
        <v/>
      </c>
      <c r="O385" s="63" t="str">
        <f>IF(OR(A385="",M385&lt;=0,J385&gt;=0),"",MIN(M385,SUMPRODUCT(($A$18:$A$379=A385)*(IFERROR($B$18:$B$379&gt;=E385-30,0))*(IFERROR($B$18:$B$379&lt;=E385+30,0))*($G$18:$G$379&gt;0)*($L$18:$L$379&lt;&gt;L385)*($G$18:$G$379))+SUMPRODUCT(($A$381:$A$498=A385)*(IFERROR($B$381:$B$498&gt;=E385-30,0))*(IFERROR($B$381:$B$498&lt;=E385+30,0))*($G$381:$G$498&gt;0)*($L$381:$L$498&lt;&gt;L385)*($G$381:$G$498))))</f>
        <v/>
      </c>
      <c r="P385" s="28" t="str">
        <f>IF(OR(A385="",M385&lt;=0,J385&gt;=0),"",SUMPRODUCT(($A$18:$A$379=A385)*(IFERROR($B$18:$B$379&gt;=E385-30,0))*(IFERROR($B$18:$B$379&lt;=E385+30,0))*($G$18:$G$379&gt;0)*($L$18:$L$379&lt;&gt;L385))+SUMPRODUCT(($A$381:$A$498=A385)*(IFERROR($B$381:$B$498&gt;=E385-30,0))*(IFERROR($B$381:$B$498&lt;=E385+30,0))*($G$381:$G$498&gt;0)*($L$381:$L$498&lt;&gt;L385)))</f>
        <v/>
      </c>
      <c r="Q385" s="31" t="str">
        <f>IF(P385=1,IFERROR(INDEX($L$18:$L$379,MATCH(1,INDEX(($A$18:$A$379=A385)*(IFERROR($B$18:$B$379&gt;=E385-30,0))*(IFERROR($B$18:$B$379&lt;=E385+30,0))*($G$18:$G$379&gt;0)*($L$18:$L$379&lt;&gt;L385),0),0)),IFERROR(INDEX($L$381:$L$498,MATCH(1,INDEX(($A$381:$A$498=A385)*(IFERROR($B$381:$B$498&gt;=E385-30,0))*(IFERROR($B$381:$B$498&lt;=E385+30,0))*($G$381:$G$498&gt;0)*($L$381:$L$498&lt;&gt;L385),0),0)),"")),"")</f>
        <v/>
      </c>
      <c r="R385" s="32"/>
      <c r="S385" s="31" t="str">
        <f>IF(R385&lt;&gt;"",R385,Q385)</f>
        <v/>
      </c>
      <c r="T385" s="63">
        <f>IF(OR(N385="",O385=0),0,N385*O385)</f>
        <v>0</v>
      </c>
      <c r="U385" s="63" t="str">
        <f>IF(COUNTIF($S$18:$S$498,L385)=0,"",SUMIF($S$18:$S$498,L385,$T$18:$T$498))</f>
        <v/>
      </c>
      <c r="V385" s="63">
        <f>IF(H385="","",IFERROR(H385+U385,H385))</f>
        <v>13211.259999999998</v>
      </c>
      <c r="W385" s="63">
        <f>IF(OR(V385="",C385=""),"",V385/C385)</f>
        <v>74.639887005649712</v>
      </c>
      <c r="X385" s="11" t="str">
        <f>IF(A385="","",IF(AND(U385&lt;&gt;"",U385&lt;&gt;0,M385=0),"Replacement lot receiving wash basis",IF(J385="","",IF(J385&gt;=0,"",IF(O385=0,"No replacement buy found",IF(P385&gt;1,"Manual selection needed","Auto matched"))))))</f>
        <v/>
      </c>
      <c r="Z385" t="str">
        <f>IF(K385="Yes",COUNTIF($K$18:K385,"Yes"),"")</f>
        <v/>
      </c>
    </row>
    <row r="386" spans="1:26" ht="34.15" customHeight="1" x14ac:dyDescent="0.2">
      <c r="A386" s="10" t="s">
        <v>28</v>
      </c>
      <c r="B386" s="71">
        <v>46101</v>
      </c>
      <c r="C386" s="33">
        <v>0.98</v>
      </c>
      <c r="D386" s="72">
        <v>74.632653061224488</v>
      </c>
      <c r="E386" s="71"/>
      <c r="F386" s="72"/>
      <c r="G386" s="33">
        <v>0.98</v>
      </c>
      <c r="H386" s="73">
        <f>IF(OR(C386="",D386=""),"",C386*D386)</f>
        <v>73.14</v>
      </c>
      <c r="I386" s="73" t="str">
        <f>IF(OR(E386="",F386="",M386&lt;=0),"",M386*F386)</f>
        <v/>
      </c>
      <c r="J386" s="73" t="str">
        <f>IF(I386="","",I386-(M386*D386))</f>
        <v/>
      </c>
      <c r="K386" s="29" t="str">
        <f>IF(A386="","",IF(T386&gt;0,"Yes","No"))</f>
        <v>No</v>
      </c>
      <c r="L386" s="29" t="str">
        <f>IF(A386="","",A386&amp;"-"&amp;TEXT(B386,"yyyymmdd")&amp;"-R"&amp;ROW())</f>
        <v>VXUS-20260320-R386</v>
      </c>
      <c r="M386" s="29">
        <f>IF(OR(C386="",G386=""),"",C386-G386)</f>
        <v>0</v>
      </c>
      <c r="N386" s="73" t="str">
        <f>IF(OR(M386&lt;=0,J386&gt;=0),"",ABS(J386)/M386)</f>
        <v/>
      </c>
      <c r="O386" s="73" t="str">
        <f>IF(OR(A386="",M386&lt;=0,J386&gt;=0),"",MIN(M386,SUMPRODUCT(($A$18:$A$379=A386)*(IFERROR($B$18:$B$379&gt;=E386-30,0))*(IFERROR($B$18:$B$379&lt;=E386+30,0))*($G$18:$G$379&gt;0)*($L$18:$L$379&lt;&gt;L386)*($G$18:$G$379))+SUMPRODUCT(($A$381:$A$498=A386)*(IFERROR($B$381:$B$498&gt;=E386-30,0))*(IFERROR($B$381:$B$498&lt;=E386+30,0))*($G$381:$G$498&gt;0)*($L$381:$L$498&lt;&gt;L386)*($G$381:$G$498))))</f>
        <v/>
      </c>
      <c r="P386" s="29" t="str">
        <f>IF(OR(A386="",M386&lt;=0,J386&gt;=0),"",SUMPRODUCT(($A$18:$A$379=A386)*(IFERROR($B$18:$B$379&gt;=E386-30,0))*(IFERROR($B$18:$B$379&lt;=E386+30,0))*($G$18:$G$379&gt;0)*($L$18:$L$379&lt;&gt;L386))+SUMPRODUCT(($A$381:$A$498=A386)*(IFERROR($B$381:$B$498&gt;=E386-30,0))*(IFERROR($B$381:$B$498&lt;=E386+30,0))*($G$381:$G$498&gt;0)*($L$381:$L$498&lt;&gt;L386)))</f>
        <v/>
      </c>
      <c r="Q386" s="34" t="str">
        <f>IF(P386=1,IFERROR(INDEX($L$18:$L$379,MATCH(1,INDEX(($A$18:$A$379=A386)*(IFERROR($B$18:$B$379&gt;=E386-30,0))*(IFERROR($B$18:$B$379&lt;=E386+30,0))*($G$18:$G$379&gt;0)*($L$18:$L$379&lt;&gt;L386),0),0)),IFERROR(INDEX($L$381:$L$498,MATCH(1,INDEX(($A$381:$A$498=A386)*(IFERROR($B$381:$B$498&gt;=E386-30,0))*(IFERROR($B$381:$B$498&lt;=E386+30,0))*($G$381:$G$498&gt;0)*($L$381:$L$498&lt;&gt;L386),0),0)),"")),"")</f>
        <v/>
      </c>
      <c r="R386" s="35"/>
      <c r="S386" s="34" t="str">
        <f>IF(R386&lt;&gt;"",R386,Q386)</f>
        <v/>
      </c>
      <c r="T386" s="73">
        <f>IF(OR(N386="",O386=0),0,N386*O386)</f>
        <v>0</v>
      </c>
      <c r="U386" s="73" t="str">
        <f>IF(COUNTIF($S$18:$S$498,L386)=0,"",SUMIF($S$18:$S$498,L386,$T$18:$T$498))</f>
        <v/>
      </c>
      <c r="V386" s="73">
        <f>IF(H386="","",IFERROR(H386+U386,H386))</f>
        <v>73.14</v>
      </c>
      <c r="W386" s="73">
        <f>IF(OR(V386="",C386=""),"",V386/C386)</f>
        <v>74.632653061224488</v>
      </c>
      <c r="X386" s="12" t="str">
        <f>IF(A386="","",IF(AND(U386&lt;&gt;"",U386&lt;&gt;0,M386=0),"Replacement lot receiving wash basis",IF(J386="","",IF(J386&gt;=0,"",IF(O386=0,"No replacement buy found",IF(P386&gt;1,"Manual selection needed","Auto matched"))))))</f>
        <v/>
      </c>
      <c r="Z386" t="str">
        <f>IF(K386="Yes",COUNTIF($K$18:K386,"Yes"),"")</f>
        <v/>
      </c>
    </row>
    <row r="387" spans="1:26" ht="34.15" hidden="1" customHeight="1" x14ac:dyDescent="0.2">
      <c r="A387" s="10"/>
      <c r="B387" s="71"/>
      <c r="C387" s="33"/>
      <c r="D387" s="72"/>
      <c r="E387" s="71"/>
      <c r="F387" s="72"/>
      <c r="G387" s="33"/>
      <c r="H387" s="73" t="str">
        <f>IF(OR(C387="",D387=""),"",C387*D387)</f>
        <v/>
      </c>
      <c r="I387" s="73" t="str">
        <f>IF(OR(E387="",F387="",M387&lt;=0),"",M387*F387)</f>
        <v/>
      </c>
      <c r="J387" s="73" t="str">
        <f>IF(I387="","",I387-(M387*D387))</f>
        <v/>
      </c>
      <c r="K387" s="29" t="str">
        <f>IF(A387="","",IF(T387&gt;0,"Yes","No"))</f>
        <v/>
      </c>
      <c r="L387" s="29" t="str">
        <f>IF(A387="","",A387&amp;"-"&amp;TEXT(B387,"yyyymmdd")&amp;"-R"&amp;ROW())</f>
        <v/>
      </c>
      <c r="M387" s="29" t="str">
        <f>IF(OR(C387="",G387=""),"",C387-G387)</f>
        <v/>
      </c>
      <c r="N387" s="73" t="str">
        <f>IF(OR(M387&lt;=0,J387&gt;=0),"",ABS(J387)/M387)</f>
        <v/>
      </c>
      <c r="O387" s="73" t="str">
        <f>IF(OR(A387="",M387&lt;=0,J387&gt;=0),"",MIN(M387,SUMPRODUCT(($A$18:$A$379=A387)*(IFERROR($B$18:$B$379&gt;=E387-30,0))*(IFERROR($B$18:$B$379&lt;=E387+30,0))*($G$18:$G$379&gt;0)*($L$18:$L$379&lt;&gt;L387)*($G$18:$G$379))+SUMPRODUCT(($A$381:$A$498=A387)*(IFERROR($B$381:$B$498&gt;=E387-30,0))*(IFERROR($B$381:$B$498&lt;=E387+30,0))*($G$381:$G$498&gt;0)*($L$381:$L$498&lt;&gt;L387)*($G$381:$G$498))))</f>
        <v/>
      </c>
      <c r="P387" s="29" t="str">
        <f>IF(OR(A387="",M387&lt;=0,J387&gt;=0),"",SUMPRODUCT(($A$18:$A$379=A387)*(IFERROR($B$18:$B$379&gt;=E387-30,0))*(IFERROR($B$18:$B$379&lt;=E387+30,0))*($G$18:$G$379&gt;0)*($L$18:$L$379&lt;&gt;L387))+SUMPRODUCT(($A$381:$A$498=A387)*(IFERROR($B$381:$B$498&gt;=E387-30,0))*(IFERROR($B$381:$B$498&lt;=E387+30,0))*($G$381:$G$498&gt;0)*($L$381:$L$498&lt;&gt;L387)))</f>
        <v/>
      </c>
      <c r="Q387" s="34" t="str">
        <f>IF(P387=1,IFERROR(INDEX($L$18:$L$379,MATCH(1,INDEX(($A$18:$A$379=A387)*(IFERROR($B$18:$B$379&gt;=E387-30,0))*(IFERROR($B$18:$B$379&lt;=E387+30,0))*($G$18:$G$379&gt;0)*($L$18:$L$379&lt;&gt;L387),0),0)),IFERROR(INDEX($L$381:$L$498,MATCH(1,INDEX(($A$381:$A$498=A387)*(IFERROR($B$381:$B$498&gt;=E387-30,0))*(IFERROR($B$381:$B$498&lt;=E387+30,0))*($G$381:$G$498&gt;0)*($L$381:$L$498&lt;&gt;L387),0),0)),"")),"")</f>
        <v/>
      </c>
      <c r="R387" s="35"/>
      <c r="S387" s="34" t="str">
        <f>IF(R387&lt;&gt;"",R387,Q387)</f>
        <v/>
      </c>
      <c r="T387" s="73">
        <f>IF(OR(N387="",O387=0),0,N387*O387)</f>
        <v>0</v>
      </c>
      <c r="U387" s="73">
        <f>IF(COUNTIF($S$18:$S$498,L387)=0,"",SUMIF($S$18:$S$498,L387,$T$18:$T$498))</f>
        <v>0</v>
      </c>
      <c r="V387" s="73" t="str">
        <f>IF(H387="","",IFERROR(H387+U387,H387))</f>
        <v/>
      </c>
      <c r="W387" s="73" t="str">
        <f>IF(OR(V387="",C387=""),"",V387/C387)</f>
        <v/>
      </c>
      <c r="X387" s="12" t="str">
        <f>IF(A387="","",IF(AND(U387&lt;&gt;"",U387&lt;&gt;0,M387=0),"Replacement lot receiving wash basis",IF(J387="","",IF(J387&gt;=0,"",IF(O387=0,"No replacement buy found",IF(P387&gt;1,"Manual selection needed","Auto matched"))))))</f>
        <v/>
      </c>
      <c r="Z387" t="str">
        <f>IF(K387="Yes",COUNTIF($K$18:K387,"Yes"),"")</f>
        <v/>
      </c>
    </row>
    <row r="388" spans="1:26" ht="34.15" hidden="1" customHeight="1" x14ac:dyDescent="0.2">
      <c r="A388" s="10"/>
      <c r="B388" s="71"/>
      <c r="C388" s="33"/>
      <c r="D388" s="72"/>
      <c r="E388" s="71"/>
      <c r="F388" s="72"/>
      <c r="G388" s="33"/>
      <c r="H388" s="73" t="str">
        <f>IF(OR(C388="",D388=""),"",C388*D388)</f>
        <v/>
      </c>
      <c r="I388" s="73" t="str">
        <f>IF(OR(E388="",F388="",M388&lt;=0),"",M388*F388)</f>
        <v/>
      </c>
      <c r="J388" s="73" t="str">
        <f>IF(I388="","",I388-(M388*D388))</f>
        <v/>
      </c>
      <c r="K388" s="29" t="str">
        <f>IF(A388="","",IF(T388&gt;0,"Yes","No"))</f>
        <v/>
      </c>
      <c r="L388" s="29" t="str">
        <f>IF(A388="","",A388&amp;"-"&amp;TEXT(B388,"yyyymmdd")&amp;"-R"&amp;ROW())</f>
        <v/>
      </c>
      <c r="M388" s="29" t="str">
        <f>IF(OR(C388="",G388=""),"",C388-G388)</f>
        <v/>
      </c>
      <c r="N388" s="73" t="str">
        <f>IF(OR(M388&lt;=0,J388&gt;=0),"",ABS(J388)/M388)</f>
        <v/>
      </c>
      <c r="O388" s="73" t="str">
        <f>IF(OR(A388="",M388&lt;=0,J388&gt;=0),"",MIN(M388,SUMPRODUCT(($A$18:$A$379=A388)*(IFERROR($B$18:$B$379&gt;=E388-30,0))*(IFERROR($B$18:$B$379&lt;=E388+30,0))*($G$18:$G$379&gt;0)*($L$18:$L$379&lt;&gt;L388)*($G$18:$G$379))+SUMPRODUCT(($A$381:$A$498=A388)*(IFERROR($B$381:$B$498&gt;=E388-30,0))*(IFERROR($B$381:$B$498&lt;=E388+30,0))*($G$381:$G$498&gt;0)*($L$381:$L$498&lt;&gt;L388)*($G$381:$G$498))))</f>
        <v/>
      </c>
      <c r="P388" s="29" t="str">
        <f>IF(OR(A388="",M388&lt;=0,J388&gt;=0),"",SUMPRODUCT(($A$18:$A$379=A388)*(IFERROR($B$18:$B$379&gt;=E388-30,0))*(IFERROR($B$18:$B$379&lt;=E388+30,0))*($G$18:$G$379&gt;0)*($L$18:$L$379&lt;&gt;L388))+SUMPRODUCT(($A$381:$A$498=A388)*(IFERROR($B$381:$B$498&gt;=E388-30,0))*(IFERROR($B$381:$B$498&lt;=E388+30,0))*($G$381:$G$498&gt;0)*($L$381:$L$498&lt;&gt;L388)))</f>
        <v/>
      </c>
      <c r="Q388" s="34" t="str">
        <f>IF(P388=1,IFERROR(INDEX($L$18:$L$379,MATCH(1,INDEX(($A$18:$A$379=A388)*(IFERROR($B$18:$B$379&gt;=E388-30,0))*(IFERROR($B$18:$B$379&lt;=E388+30,0))*($G$18:$G$379&gt;0)*($L$18:$L$379&lt;&gt;L388),0),0)),IFERROR(INDEX($L$381:$L$498,MATCH(1,INDEX(($A$381:$A$498=A388)*(IFERROR($B$381:$B$498&gt;=E388-30,0))*(IFERROR($B$381:$B$498&lt;=E388+30,0))*($G$381:$G$498&gt;0)*($L$381:$L$498&lt;&gt;L388),0),0)),"")),"")</f>
        <v/>
      </c>
      <c r="R388" s="35"/>
      <c r="S388" s="34" t="str">
        <f>IF(R388&lt;&gt;"",R388,Q388)</f>
        <v/>
      </c>
      <c r="T388" s="73">
        <f>IF(OR(N388="",O388=0),0,N388*O388)</f>
        <v>0</v>
      </c>
      <c r="U388" s="73">
        <f>IF(COUNTIF($S$18:$S$498,L388)=0,"",SUMIF($S$18:$S$498,L388,$T$18:$T$498))</f>
        <v>0</v>
      </c>
      <c r="V388" s="73" t="str">
        <f>IF(H388="","",IFERROR(H388+U388,H388))</f>
        <v/>
      </c>
      <c r="W388" s="73" t="str">
        <f>IF(OR(V388="",C388=""),"",V388/C388)</f>
        <v/>
      </c>
      <c r="X388" s="12" t="str">
        <f>IF(A388="","",IF(AND(U388&lt;&gt;"",U388&lt;&gt;0,M388=0),"Replacement lot receiving wash basis",IF(J388="","",IF(J388&gt;=0,"",IF(O388=0,"No replacement buy found",IF(P388&gt;1,"Manual selection needed","Auto matched"))))))</f>
        <v/>
      </c>
      <c r="Z388" t="str">
        <f>IF(K388="Yes",COUNTIF($K$18:K388,"Yes"),"")</f>
        <v/>
      </c>
    </row>
    <row r="389" spans="1:26" ht="34.15" hidden="1" customHeight="1" x14ac:dyDescent="0.2">
      <c r="A389" s="10"/>
      <c r="B389" s="71"/>
      <c r="C389" s="33"/>
      <c r="D389" s="72"/>
      <c r="E389" s="71"/>
      <c r="F389" s="72"/>
      <c r="G389" s="33"/>
      <c r="H389" s="73" t="str">
        <f>IF(OR(C389="",D389=""),"",C389*D389)</f>
        <v/>
      </c>
      <c r="I389" s="73" t="str">
        <f>IF(OR(E389="",F389="",M389&lt;=0),"",M389*F389)</f>
        <v/>
      </c>
      <c r="J389" s="73" t="str">
        <f>IF(I389="","",I389-(M389*D389))</f>
        <v/>
      </c>
      <c r="K389" s="29" t="str">
        <f>IF(A389="","",IF(T389&gt;0,"Yes","No"))</f>
        <v/>
      </c>
      <c r="L389" s="29" t="str">
        <f>IF(A389="","",A389&amp;"-"&amp;TEXT(B389,"yyyymmdd")&amp;"-R"&amp;ROW())</f>
        <v/>
      </c>
      <c r="M389" s="29" t="str">
        <f>IF(OR(C389="",G389=""),"",C389-G389)</f>
        <v/>
      </c>
      <c r="N389" s="73" t="str">
        <f>IF(OR(M389&lt;=0,J389&gt;=0),"",ABS(J389)/M389)</f>
        <v/>
      </c>
      <c r="O389" s="73" t="str">
        <f>IF(OR(A389="",M389&lt;=0,J389&gt;=0),"",MIN(M389,SUMPRODUCT(($A$18:$A$379=A389)*(IFERROR($B$18:$B$379&gt;=E389-30,0))*(IFERROR($B$18:$B$379&lt;=E389+30,0))*($G$18:$G$379&gt;0)*($L$18:$L$379&lt;&gt;L389)*($G$18:$G$379))+SUMPRODUCT(($A$381:$A$498=A389)*(IFERROR($B$381:$B$498&gt;=E389-30,0))*(IFERROR($B$381:$B$498&lt;=E389+30,0))*($G$381:$G$498&gt;0)*($L$381:$L$498&lt;&gt;L389)*($G$381:$G$498))))</f>
        <v/>
      </c>
      <c r="P389" s="29" t="str">
        <f>IF(OR(A389="",M389&lt;=0,J389&gt;=0),"",SUMPRODUCT(($A$18:$A$379=A389)*(IFERROR($B$18:$B$379&gt;=E389-30,0))*(IFERROR($B$18:$B$379&lt;=E389+30,0))*($G$18:$G$379&gt;0)*($L$18:$L$379&lt;&gt;L389))+SUMPRODUCT(($A$381:$A$498=A389)*(IFERROR($B$381:$B$498&gt;=E389-30,0))*(IFERROR($B$381:$B$498&lt;=E389+30,0))*($G$381:$G$498&gt;0)*($L$381:$L$498&lt;&gt;L389)))</f>
        <v/>
      </c>
      <c r="Q389" s="34" t="str">
        <f>IF(P389=1,IFERROR(INDEX($L$18:$L$379,MATCH(1,INDEX(($A$18:$A$379=A389)*(IFERROR($B$18:$B$379&gt;=E389-30,0))*(IFERROR($B$18:$B$379&lt;=E389+30,0))*($G$18:$G$379&gt;0)*($L$18:$L$379&lt;&gt;L389),0),0)),IFERROR(INDEX($L$381:$L$498,MATCH(1,INDEX(($A$381:$A$498=A389)*(IFERROR($B$381:$B$498&gt;=E389-30,0))*(IFERROR($B$381:$B$498&lt;=E389+30,0))*($G$381:$G$498&gt;0)*($L$381:$L$498&lt;&gt;L389),0),0)),"")),"")</f>
        <v/>
      </c>
      <c r="R389" s="35"/>
      <c r="S389" s="34" t="str">
        <f>IF(R389&lt;&gt;"",R389,Q389)</f>
        <v/>
      </c>
      <c r="T389" s="73">
        <f>IF(OR(N389="",O389=0),0,N389*O389)</f>
        <v>0</v>
      </c>
      <c r="U389" s="73">
        <f>IF(COUNTIF($S$18:$S$498,L389)=0,"",SUMIF($S$18:$S$498,L389,$T$18:$T$498))</f>
        <v>0</v>
      </c>
      <c r="V389" s="73" t="str">
        <f>IF(H389="","",IFERROR(H389+U389,H389))</f>
        <v/>
      </c>
      <c r="W389" s="73" t="str">
        <f>IF(OR(V389="",C389=""),"",V389/C389)</f>
        <v/>
      </c>
      <c r="X389" s="12" t="str">
        <f>IF(A389="","",IF(AND(U389&lt;&gt;"",U389&lt;&gt;0,M389=0),"Replacement lot receiving wash basis",IF(J389="","",IF(J389&gt;=0,"",IF(O389=0,"No replacement buy found",IF(P389&gt;1,"Manual selection needed","Auto matched"))))))</f>
        <v/>
      </c>
      <c r="Z389" t="str">
        <f>IF(K389="Yes",COUNTIF($K$18:K389,"Yes"),"")</f>
        <v/>
      </c>
    </row>
    <row r="390" spans="1:26" ht="34.15" hidden="1" customHeight="1" x14ac:dyDescent="0.2">
      <c r="A390" s="10"/>
      <c r="B390" s="71"/>
      <c r="C390" s="33"/>
      <c r="D390" s="72"/>
      <c r="E390" s="71"/>
      <c r="F390" s="72"/>
      <c r="G390" s="33"/>
      <c r="H390" s="73" t="str">
        <f>IF(OR(C390="",D390=""),"",C390*D390)</f>
        <v/>
      </c>
      <c r="I390" s="73" t="str">
        <f>IF(OR(E390="",F390="",M390&lt;=0),"",M390*F390)</f>
        <v/>
      </c>
      <c r="J390" s="73" t="str">
        <f>IF(I390="","",I390-(M390*D390))</f>
        <v/>
      </c>
      <c r="K390" s="29" t="str">
        <f>IF(A390="","",IF(T390&gt;0,"Yes","No"))</f>
        <v/>
      </c>
      <c r="L390" s="29" t="str">
        <f>IF(A390="","",A390&amp;"-"&amp;TEXT(B390,"yyyymmdd")&amp;"-R"&amp;ROW())</f>
        <v/>
      </c>
      <c r="M390" s="29" t="str">
        <f>IF(OR(C390="",G390=""),"",C390-G390)</f>
        <v/>
      </c>
      <c r="N390" s="73" t="str">
        <f>IF(OR(M390&lt;=0,J390&gt;=0),"",ABS(J390)/M390)</f>
        <v/>
      </c>
      <c r="O390" s="73" t="str">
        <f>IF(OR(A390="",M390&lt;=0,J390&gt;=0),"",MIN(M390,SUMPRODUCT(($A$18:$A$379=A390)*(IFERROR($B$18:$B$379&gt;=E390-30,0))*(IFERROR($B$18:$B$379&lt;=E390+30,0))*($G$18:$G$379&gt;0)*($L$18:$L$379&lt;&gt;L390)*($G$18:$G$379))+SUMPRODUCT(($A$381:$A$498=A390)*(IFERROR($B$381:$B$498&gt;=E390-30,0))*(IFERROR($B$381:$B$498&lt;=E390+30,0))*($G$381:$G$498&gt;0)*($L$381:$L$498&lt;&gt;L390)*($G$381:$G$498))))</f>
        <v/>
      </c>
      <c r="P390" s="29" t="str">
        <f>IF(OR(A390="",M390&lt;=0,J390&gt;=0),"",SUMPRODUCT(($A$18:$A$379=A390)*(IFERROR($B$18:$B$379&gt;=E390-30,0))*(IFERROR($B$18:$B$379&lt;=E390+30,0))*($G$18:$G$379&gt;0)*($L$18:$L$379&lt;&gt;L390))+SUMPRODUCT(($A$381:$A$498=A390)*(IFERROR($B$381:$B$498&gt;=E390-30,0))*(IFERROR($B$381:$B$498&lt;=E390+30,0))*($G$381:$G$498&gt;0)*($L$381:$L$498&lt;&gt;L390)))</f>
        <v/>
      </c>
      <c r="Q390" s="34" t="str">
        <f>IF(P390=1,IFERROR(INDEX($L$18:$L$379,MATCH(1,INDEX(($A$18:$A$379=A390)*(IFERROR($B$18:$B$379&gt;=E390-30,0))*(IFERROR($B$18:$B$379&lt;=E390+30,0))*($G$18:$G$379&gt;0)*($L$18:$L$379&lt;&gt;L390),0),0)),IFERROR(INDEX($L$381:$L$498,MATCH(1,INDEX(($A$381:$A$498=A390)*(IFERROR($B$381:$B$498&gt;=E390-30,0))*(IFERROR($B$381:$B$498&lt;=E390+30,0))*($G$381:$G$498&gt;0)*($L$381:$L$498&lt;&gt;L390),0),0)),"")),"")</f>
        <v/>
      </c>
      <c r="R390" s="35"/>
      <c r="S390" s="34" t="str">
        <f>IF(R390&lt;&gt;"",R390,Q390)</f>
        <v/>
      </c>
      <c r="T390" s="73">
        <f>IF(OR(N390="",O390=0),0,N390*O390)</f>
        <v>0</v>
      </c>
      <c r="U390" s="73">
        <f>IF(COUNTIF($S$18:$S$498,L390)=0,"",SUMIF($S$18:$S$498,L390,$T$18:$T$498))</f>
        <v>0</v>
      </c>
      <c r="V390" s="73" t="str">
        <f>IF(H390="","",IFERROR(H390+U390,H390))</f>
        <v/>
      </c>
      <c r="W390" s="73" t="str">
        <f>IF(OR(V390="",C390=""),"",V390/C390)</f>
        <v/>
      </c>
      <c r="X390" s="12" t="str">
        <f>IF(A390="","",IF(AND(U390&lt;&gt;"",U390&lt;&gt;0,M390=0),"Replacement lot receiving wash basis",IF(J390="","",IF(J390&gt;=0,"",IF(O390=0,"No replacement buy found",IF(P390&gt;1,"Manual selection needed","Auto matched"))))))</f>
        <v/>
      </c>
      <c r="Z390" t="str">
        <f>IF(K390="Yes",COUNTIF($K$18:K390,"Yes"),"")</f>
        <v/>
      </c>
    </row>
    <row r="391" spans="1:26" ht="34.15" hidden="1" customHeight="1" x14ac:dyDescent="0.2">
      <c r="A391" s="10"/>
      <c r="B391" s="71"/>
      <c r="C391" s="33"/>
      <c r="D391" s="72"/>
      <c r="E391" s="71"/>
      <c r="F391" s="72"/>
      <c r="G391" s="33"/>
      <c r="H391" s="73" t="str">
        <f>IF(OR(C391="",D391=""),"",C391*D391)</f>
        <v/>
      </c>
      <c r="I391" s="73" t="str">
        <f>IF(OR(E391="",F391="",M391&lt;=0),"",M391*F391)</f>
        <v/>
      </c>
      <c r="J391" s="73" t="str">
        <f>IF(I391="","",I391-(M391*D391))</f>
        <v/>
      </c>
      <c r="K391" s="29" t="str">
        <f>IF(A391="","",IF(T391&gt;0,"Yes","No"))</f>
        <v/>
      </c>
      <c r="L391" s="29" t="str">
        <f>IF(A391="","",A391&amp;"-"&amp;TEXT(B391,"yyyymmdd")&amp;"-R"&amp;ROW())</f>
        <v/>
      </c>
      <c r="M391" s="29" t="str">
        <f>IF(OR(C391="",G391=""),"",C391-G391)</f>
        <v/>
      </c>
      <c r="N391" s="73" t="str">
        <f>IF(OR(M391&lt;=0,J391&gt;=0),"",ABS(J391)/M391)</f>
        <v/>
      </c>
      <c r="O391" s="73" t="str">
        <f>IF(OR(A391="",M391&lt;=0,J391&gt;=0),"",MIN(M391,SUMPRODUCT(($A$18:$A$379=A391)*(IFERROR($B$18:$B$379&gt;=E391-30,0))*(IFERROR($B$18:$B$379&lt;=E391+30,0))*($G$18:$G$379&gt;0)*($L$18:$L$379&lt;&gt;L391)*($G$18:$G$379))+SUMPRODUCT(($A$381:$A$498=A391)*(IFERROR($B$381:$B$498&gt;=E391-30,0))*(IFERROR($B$381:$B$498&lt;=E391+30,0))*($G$381:$G$498&gt;0)*($L$381:$L$498&lt;&gt;L391)*($G$381:$G$498))))</f>
        <v/>
      </c>
      <c r="P391" s="29" t="str">
        <f>IF(OR(A391="",M391&lt;=0,J391&gt;=0),"",SUMPRODUCT(($A$18:$A$379=A391)*(IFERROR($B$18:$B$379&gt;=E391-30,0))*(IFERROR($B$18:$B$379&lt;=E391+30,0))*($G$18:$G$379&gt;0)*($L$18:$L$379&lt;&gt;L391))+SUMPRODUCT(($A$381:$A$498=A391)*(IFERROR($B$381:$B$498&gt;=E391-30,0))*(IFERROR($B$381:$B$498&lt;=E391+30,0))*($G$381:$G$498&gt;0)*($L$381:$L$498&lt;&gt;L391)))</f>
        <v/>
      </c>
      <c r="Q391" s="34" t="str">
        <f>IF(P391=1,IFERROR(INDEX($L$18:$L$379,MATCH(1,INDEX(($A$18:$A$379=A391)*(IFERROR($B$18:$B$379&gt;=E391-30,0))*(IFERROR($B$18:$B$379&lt;=E391+30,0))*($G$18:$G$379&gt;0)*($L$18:$L$379&lt;&gt;L391),0),0)),IFERROR(INDEX($L$381:$L$498,MATCH(1,INDEX(($A$381:$A$498=A391)*(IFERROR($B$381:$B$498&gt;=E391-30,0))*(IFERROR($B$381:$B$498&lt;=E391+30,0))*($G$381:$G$498&gt;0)*($L$381:$L$498&lt;&gt;L391),0),0)),"")),"")</f>
        <v/>
      </c>
      <c r="R391" s="35"/>
      <c r="S391" s="34" t="str">
        <f>IF(R391&lt;&gt;"",R391,Q391)</f>
        <v/>
      </c>
      <c r="T391" s="73">
        <f>IF(OR(N391="",O391=0),0,N391*O391)</f>
        <v>0</v>
      </c>
      <c r="U391" s="73">
        <f>IF(COUNTIF($S$18:$S$498,L391)=0,"",SUMIF($S$18:$S$498,L391,$T$18:$T$498))</f>
        <v>0</v>
      </c>
      <c r="V391" s="73" t="str">
        <f>IF(H391="","",IFERROR(H391+U391,H391))</f>
        <v/>
      </c>
      <c r="W391" s="73" t="str">
        <f>IF(OR(V391="",C391=""),"",V391/C391)</f>
        <v/>
      </c>
      <c r="X391" s="12" t="str">
        <f>IF(A391="","",IF(AND(U391&lt;&gt;"",U391&lt;&gt;0,M391=0),"Replacement lot receiving wash basis",IF(J391="","",IF(J391&gt;=0,"",IF(O391=0,"No replacement buy found",IF(P391&gt;1,"Manual selection needed","Auto matched"))))))</f>
        <v/>
      </c>
      <c r="Z391" t="str">
        <f>IF(K391="Yes",COUNTIF($K$18:K391,"Yes"),"")</f>
        <v/>
      </c>
    </row>
    <row r="392" spans="1:26" ht="34.15" hidden="1" customHeight="1" x14ac:dyDescent="0.2">
      <c r="A392" s="10"/>
      <c r="B392" s="71"/>
      <c r="C392" s="33"/>
      <c r="D392" s="72"/>
      <c r="E392" s="71"/>
      <c r="F392" s="72"/>
      <c r="G392" s="33"/>
      <c r="H392" s="73" t="str">
        <f>IF(OR(C392="",D392=""),"",C392*D392)</f>
        <v/>
      </c>
      <c r="I392" s="73" t="str">
        <f>IF(OR(E392="",F392="",M392&lt;=0),"",M392*F392)</f>
        <v/>
      </c>
      <c r="J392" s="73" t="str">
        <f>IF(I392="","",I392-(M392*D392))</f>
        <v/>
      </c>
      <c r="K392" s="29" t="str">
        <f>IF(A392="","",IF(T392&gt;0,"Yes","No"))</f>
        <v/>
      </c>
      <c r="L392" s="29" t="str">
        <f>IF(A392="","",A392&amp;"-"&amp;TEXT(B392,"yyyymmdd")&amp;"-R"&amp;ROW())</f>
        <v/>
      </c>
      <c r="M392" s="29" t="str">
        <f>IF(OR(C392="",G392=""),"",C392-G392)</f>
        <v/>
      </c>
      <c r="N392" s="73" t="str">
        <f>IF(OR(M392&lt;=0,J392&gt;=0),"",ABS(J392)/M392)</f>
        <v/>
      </c>
      <c r="O392" s="73" t="str">
        <f>IF(OR(A392="",M392&lt;=0,J392&gt;=0),"",MIN(M392,SUMPRODUCT(($A$18:$A$379=A392)*(IFERROR($B$18:$B$379&gt;=E392-30,0))*(IFERROR($B$18:$B$379&lt;=E392+30,0))*($G$18:$G$379&gt;0)*($L$18:$L$379&lt;&gt;L392)*($G$18:$G$379))+SUMPRODUCT(($A$381:$A$498=A392)*(IFERROR($B$381:$B$498&gt;=E392-30,0))*(IFERROR($B$381:$B$498&lt;=E392+30,0))*($G$381:$G$498&gt;0)*($L$381:$L$498&lt;&gt;L392)*($G$381:$G$498))))</f>
        <v/>
      </c>
      <c r="P392" s="29" t="str">
        <f>IF(OR(A392="",M392&lt;=0,J392&gt;=0),"",SUMPRODUCT(($A$18:$A$379=A392)*(IFERROR($B$18:$B$379&gt;=E392-30,0))*(IFERROR($B$18:$B$379&lt;=E392+30,0))*($G$18:$G$379&gt;0)*($L$18:$L$379&lt;&gt;L392))+SUMPRODUCT(($A$381:$A$498=A392)*(IFERROR($B$381:$B$498&gt;=E392-30,0))*(IFERROR($B$381:$B$498&lt;=E392+30,0))*($G$381:$G$498&gt;0)*($L$381:$L$498&lt;&gt;L392)))</f>
        <v/>
      </c>
      <c r="Q392" s="34" t="str">
        <f>IF(P392=1,IFERROR(INDEX($L$18:$L$379,MATCH(1,INDEX(($A$18:$A$379=A392)*(IFERROR($B$18:$B$379&gt;=E392-30,0))*(IFERROR($B$18:$B$379&lt;=E392+30,0))*($G$18:$G$379&gt;0)*($L$18:$L$379&lt;&gt;L392),0),0)),IFERROR(INDEX($L$381:$L$498,MATCH(1,INDEX(($A$381:$A$498=A392)*(IFERROR($B$381:$B$498&gt;=E392-30,0))*(IFERROR($B$381:$B$498&lt;=E392+30,0))*($G$381:$G$498&gt;0)*($L$381:$L$498&lt;&gt;L392),0),0)),"")),"")</f>
        <v/>
      </c>
      <c r="R392" s="35"/>
      <c r="S392" s="34" t="str">
        <f>IF(R392&lt;&gt;"",R392,Q392)</f>
        <v/>
      </c>
      <c r="T392" s="73">
        <f>IF(OR(N392="",O392=0),0,N392*O392)</f>
        <v>0</v>
      </c>
      <c r="U392" s="73">
        <f>IF(COUNTIF($S$18:$S$498,L392)=0,"",SUMIF($S$18:$S$498,L392,$T$18:$T$498))</f>
        <v>0</v>
      </c>
      <c r="V392" s="73" t="str">
        <f>IF(H392="","",IFERROR(H392+U392,H392))</f>
        <v/>
      </c>
      <c r="W392" s="73" t="str">
        <f>IF(OR(V392="",C392=""),"",V392/C392)</f>
        <v/>
      </c>
      <c r="X392" s="12" t="str">
        <f>IF(A392="","",IF(AND(U392&lt;&gt;"",U392&lt;&gt;0,M392=0),"Replacement lot receiving wash basis",IF(J392="","",IF(J392&gt;=0,"",IF(O392=0,"No replacement buy found",IF(P392&gt;1,"Manual selection needed","Auto matched"))))))</f>
        <v/>
      </c>
      <c r="Z392" t="str">
        <f>IF(K392="Yes",COUNTIF($K$18:K392,"Yes"),"")</f>
        <v/>
      </c>
    </row>
    <row r="393" spans="1:26" ht="34.15" hidden="1" customHeight="1" x14ac:dyDescent="0.2">
      <c r="A393" s="10"/>
      <c r="B393" s="71"/>
      <c r="C393" s="33"/>
      <c r="D393" s="72"/>
      <c r="E393" s="71"/>
      <c r="F393" s="72"/>
      <c r="G393" s="33"/>
      <c r="H393" s="73" t="str">
        <f>IF(OR(C393="",D393=""),"",C393*D393)</f>
        <v/>
      </c>
      <c r="I393" s="73" t="str">
        <f>IF(OR(E393="",F393="",M393&lt;=0),"",M393*F393)</f>
        <v/>
      </c>
      <c r="J393" s="73" t="str">
        <f>IF(I393="","",I393-(M393*D393))</f>
        <v/>
      </c>
      <c r="K393" s="29" t="str">
        <f>IF(A393="","",IF(T393&gt;0,"Yes","No"))</f>
        <v/>
      </c>
      <c r="L393" s="29" t="str">
        <f>IF(A393="","",A393&amp;"-"&amp;TEXT(B393,"yyyymmdd")&amp;"-R"&amp;ROW())</f>
        <v/>
      </c>
      <c r="M393" s="29" t="str">
        <f>IF(OR(C393="",G393=""),"",C393-G393)</f>
        <v/>
      </c>
      <c r="N393" s="73" t="str">
        <f>IF(OR(M393&lt;=0,J393&gt;=0),"",ABS(J393)/M393)</f>
        <v/>
      </c>
      <c r="O393" s="73" t="str">
        <f>IF(OR(A393="",M393&lt;=0,J393&gt;=0),"",MIN(M393,SUMPRODUCT(($A$18:$A$379=A393)*(IFERROR($B$18:$B$379&gt;=E393-30,0))*(IFERROR($B$18:$B$379&lt;=E393+30,0))*($G$18:$G$379&gt;0)*($L$18:$L$379&lt;&gt;L393)*($G$18:$G$379))+SUMPRODUCT(($A$381:$A$498=A393)*(IFERROR($B$381:$B$498&gt;=E393-30,0))*(IFERROR($B$381:$B$498&lt;=E393+30,0))*($G$381:$G$498&gt;0)*($L$381:$L$498&lt;&gt;L393)*($G$381:$G$498))))</f>
        <v/>
      </c>
      <c r="P393" s="29" t="str">
        <f>IF(OR(A393="",M393&lt;=0,J393&gt;=0),"",SUMPRODUCT(($A$18:$A$379=A393)*(IFERROR($B$18:$B$379&gt;=E393-30,0))*(IFERROR($B$18:$B$379&lt;=E393+30,0))*($G$18:$G$379&gt;0)*($L$18:$L$379&lt;&gt;L393))+SUMPRODUCT(($A$381:$A$498=A393)*(IFERROR($B$381:$B$498&gt;=E393-30,0))*(IFERROR($B$381:$B$498&lt;=E393+30,0))*($G$381:$G$498&gt;0)*($L$381:$L$498&lt;&gt;L393)))</f>
        <v/>
      </c>
      <c r="Q393" s="34" t="str">
        <f>IF(P393=1,IFERROR(INDEX($L$18:$L$379,MATCH(1,INDEX(($A$18:$A$379=A393)*(IFERROR($B$18:$B$379&gt;=E393-30,0))*(IFERROR($B$18:$B$379&lt;=E393+30,0))*($G$18:$G$379&gt;0)*($L$18:$L$379&lt;&gt;L393),0),0)),IFERROR(INDEX($L$381:$L$498,MATCH(1,INDEX(($A$381:$A$498=A393)*(IFERROR($B$381:$B$498&gt;=E393-30,0))*(IFERROR($B$381:$B$498&lt;=E393+30,0))*($G$381:$G$498&gt;0)*($L$381:$L$498&lt;&gt;L393),0),0)),"")),"")</f>
        <v/>
      </c>
      <c r="R393" s="35"/>
      <c r="S393" s="34" t="str">
        <f>IF(R393&lt;&gt;"",R393,Q393)</f>
        <v/>
      </c>
      <c r="T393" s="73">
        <f>IF(OR(N393="",O393=0),0,N393*O393)</f>
        <v>0</v>
      </c>
      <c r="U393" s="73">
        <f>IF(COUNTIF($S$18:$S$498,L393)=0,"",SUMIF($S$18:$S$498,L393,$T$18:$T$498))</f>
        <v>0</v>
      </c>
      <c r="V393" s="73" t="str">
        <f>IF(H393="","",IFERROR(H393+U393,H393))</f>
        <v/>
      </c>
      <c r="W393" s="73" t="str">
        <f>IF(OR(V393="",C393=""),"",V393/C393)</f>
        <v/>
      </c>
      <c r="X393" s="12" t="str">
        <f>IF(A393="","",IF(AND(U393&lt;&gt;"",U393&lt;&gt;0,M393=0),"Replacement lot receiving wash basis",IF(J393="","",IF(J393&gt;=0,"",IF(O393=0,"No replacement buy found",IF(P393&gt;1,"Manual selection needed","Auto matched"))))))</f>
        <v/>
      </c>
      <c r="Z393" t="str">
        <f>IF(K393="Yes",COUNTIF($K$18:K393,"Yes"),"")</f>
        <v/>
      </c>
    </row>
    <row r="394" spans="1:26" ht="34.15" hidden="1" customHeight="1" x14ac:dyDescent="0.2">
      <c r="A394" s="10"/>
      <c r="B394" s="71"/>
      <c r="C394" s="33"/>
      <c r="D394" s="72"/>
      <c r="E394" s="71"/>
      <c r="F394" s="72"/>
      <c r="G394" s="33"/>
      <c r="H394" s="73" t="str">
        <f>IF(OR(C394="",D394=""),"",C394*D394)</f>
        <v/>
      </c>
      <c r="I394" s="73" t="str">
        <f>IF(OR(E394="",F394="",M394&lt;=0),"",M394*F394)</f>
        <v/>
      </c>
      <c r="J394" s="73" t="str">
        <f>IF(I394="","",I394-(M394*D394))</f>
        <v/>
      </c>
      <c r="K394" s="29" t="str">
        <f>IF(A394="","",IF(T394&gt;0,"Yes","No"))</f>
        <v/>
      </c>
      <c r="L394" s="29" t="str">
        <f>IF(A394="","",A394&amp;"-"&amp;TEXT(B394,"yyyymmdd")&amp;"-R"&amp;ROW())</f>
        <v/>
      </c>
      <c r="M394" s="29" t="str">
        <f>IF(OR(C394="",G394=""),"",C394-G394)</f>
        <v/>
      </c>
      <c r="N394" s="73" t="str">
        <f>IF(OR(M394&lt;=0,J394&gt;=0),"",ABS(J394)/M394)</f>
        <v/>
      </c>
      <c r="O394" s="73" t="str">
        <f>IF(OR(A394="",M394&lt;=0,J394&gt;=0),"",MIN(M394,SUMPRODUCT(($A$18:$A$379=A394)*(IFERROR($B$18:$B$379&gt;=E394-30,0))*(IFERROR($B$18:$B$379&lt;=E394+30,0))*($G$18:$G$379&gt;0)*($L$18:$L$379&lt;&gt;L394)*($G$18:$G$379))+SUMPRODUCT(($A$381:$A$498=A394)*(IFERROR($B$381:$B$498&gt;=E394-30,0))*(IFERROR($B$381:$B$498&lt;=E394+30,0))*($G$381:$G$498&gt;0)*($L$381:$L$498&lt;&gt;L394)*($G$381:$G$498))))</f>
        <v/>
      </c>
      <c r="P394" s="29" t="str">
        <f>IF(OR(A394="",M394&lt;=0,J394&gt;=0),"",SUMPRODUCT(($A$18:$A$379=A394)*(IFERROR($B$18:$B$379&gt;=E394-30,0))*(IFERROR($B$18:$B$379&lt;=E394+30,0))*($G$18:$G$379&gt;0)*($L$18:$L$379&lt;&gt;L394))+SUMPRODUCT(($A$381:$A$498=A394)*(IFERROR($B$381:$B$498&gt;=E394-30,0))*(IFERROR($B$381:$B$498&lt;=E394+30,0))*($G$381:$G$498&gt;0)*($L$381:$L$498&lt;&gt;L394)))</f>
        <v/>
      </c>
      <c r="Q394" s="34" t="str">
        <f>IF(P394=1,IFERROR(INDEX($L$18:$L$379,MATCH(1,INDEX(($A$18:$A$379=A394)*(IFERROR($B$18:$B$379&gt;=E394-30,0))*(IFERROR($B$18:$B$379&lt;=E394+30,0))*($G$18:$G$379&gt;0)*($L$18:$L$379&lt;&gt;L394),0),0)),IFERROR(INDEX($L$381:$L$498,MATCH(1,INDEX(($A$381:$A$498=A394)*(IFERROR($B$381:$B$498&gt;=E394-30,0))*(IFERROR($B$381:$B$498&lt;=E394+30,0))*($G$381:$G$498&gt;0)*($L$381:$L$498&lt;&gt;L394),0),0)),"")),"")</f>
        <v/>
      </c>
      <c r="R394" s="35"/>
      <c r="S394" s="34" t="str">
        <f>IF(R394&lt;&gt;"",R394,Q394)</f>
        <v/>
      </c>
      <c r="T394" s="73">
        <f>IF(OR(N394="",O394=0),0,N394*O394)</f>
        <v>0</v>
      </c>
      <c r="U394" s="73">
        <f>IF(COUNTIF($S$18:$S$498,L394)=0,"",SUMIF($S$18:$S$498,L394,$T$18:$T$498))</f>
        <v>0</v>
      </c>
      <c r="V394" s="73" t="str">
        <f>IF(H394="","",IFERROR(H394+U394,H394))</f>
        <v/>
      </c>
      <c r="W394" s="73" t="str">
        <f>IF(OR(V394="",C394=""),"",V394/C394)</f>
        <v/>
      </c>
      <c r="X394" s="12" t="str">
        <f>IF(A394="","",IF(AND(U394&lt;&gt;"",U394&lt;&gt;0,M394=0),"Replacement lot receiving wash basis",IF(J394="","",IF(J394&gt;=0,"",IF(O394=0,"No replacement buy found",IF(P394&gt;1,"Manual selection needed","Auto matched"))))))</f>
        <v/>
      </c>
      <c r="Z394" t="str">
        <f>IF(K394="Yes",COUNTIF($K$18:K394,"Yes"),"")</f>
        <v/>
      </c>
    </row>
    <row r="395" spans="1:26" ht="34.15" hidden="1" customHeight="1" x14ac:dyDescent="0.2">
      <c r="A395" s="10"/>
      <c r="B395" s="71"/>
      <c r="C395" s="33"/>
      <c r="D395" s="72"/>
      <c r="E395" s="71"/>
      <c r="F395" s="72"/>
      <c r="G395" s="33"/>
      <c r="H395" s="73" t="str">
        <f>IF(OR(C395="",D395=""),"",C395*D395)</f>
        <v/>
      </c>
      <c r="I395" s="73" t="str">
        <f>IF(OR(E395="",F395="",M395&lt;=0),"",M395*F395)</f>
        <v/>
      </c>
      <c r="J395" s="73" t="str">
        <f>IF(I395="","",I395-(M395*D395))</f>
        <v/>
      </c>
      <c r="K395" s="29" t="str">
        <f>IF(A395="","",IF(T395&gt;0,"Yes","No"))</f>
        <v/>
      </c>
      <c r="L395" s="29" t="str">
        <f>IF(A395="","",A395&amp;"-"&amp;TEXT(B395,"yyyymmdd")&amp;"-R"&amp;ROW())</f>
        <v/>
      </c>
      <c r="M395" s="29" t="str">
        <f>IF(OR(C395="",G395=""),"",C395-G395)</f>
        <v/>
      </c>
      <c r="N395" s="73" t="str">
        <f>IF(OR(M395&lt;=0,J395&gt;=0),"",ABS(J395)/M395)</f>
        <v/>
      </c>
      <c r="O395" s="73" t="str">
        <f>IF(OR(A395="",M395&lt;=0,J395&gt;=0),"",MIN(M395,SUMPRODUCT(($A$18:$A$379=A395)*(IFERROR($B$18:$B$379&gt;=E395-30,0))*(IFERROR($B$18:$B$379&lt;=E395+30,0))*($G$18:$G$379&gt;0)*($L$18:$L$379&lt;&gt;L395)*($G$18:$G$379))+SUMPRODUCT(($A$381:$A$498=A395)*(IFERROR($B$381:$B$498&gt;=E395-30,0))*(IFERROR($B$381:$B$498&lt;=E395+30,0))*($G$381:$G$498&gt;0)*($L$381:$L$498&lt;&gt;L395)*($G$381:$G$498))))</f>
        <v/>
      </c>
      <c r="P395" s="29" t="str">
        <f>IF(OR(A395="",M395&lt;=0,J395&gt;=0),"",SUMPRODUCT(($A$18:$A$379=A395)*(IFERROR($B$18:$B$379&gt;=E395-30,0))*(IFERROR($B$18:$B$379&lt;=E395+30,0))*($G$18:$G$379&gt;0)*($L$18:$L$379&lt;&gt;L395))+SUMPRODUCT(($A$381:$A$498=A395)*(IFERROR($B$381:$B$498&gt;=E395-30,0))*(IFERROR($B$381:$B$498&lt;=E395+30,0))*($G$381:$G$498&gt;0)*($L$381:$L$498&lt;&gt;L395)))</f>
        <v/>
      </c>
      <c r="Q395" s="34" t="str">
        <f>IF(P395=1,IFERROR(INDEX($L$18:$L$379,MATCH(1,INDEX(($A$18:$A$379=A395)*(IFERROR($B$18:$B$379&gt;=E395-30,0))*(IFERROR($B$18:$B$379&lt;=E395+30,0))*($G$18:$G$379&gt;0)*($L$18:$L$379&lt;&gt;L395),0),0)),IFERROR(INDEX($L$381:$L$498,MATCH(1,INDEX(($A$381:$A$498=A395)*(IFERROR($B$381:$B$498&gt;=E395-30,0))*(IFERROR($B$381:$B$498&lt;=E395+30,0))*($G$381:$G$498&gt;0)*($L$381:$L$498&lt;&gt;L395),0),0)),"")),"")</f>
        <v/>
      </c>
      <c r="R395" s="35"/>
      <c r="S395" s="34" t="str">
        <f>IF(R395&lt;&gt;"",R395,Q395)</f>
        <v/>
      </c>
      <c r="T395" s="73">
        <f>IF(OR(N395="",O395=0),0,N395*O395)</f>
        <v>0</v>
      </c>
      <c r="U395" s="73">
        <f>IF(COUNTIF($S$18:$S$498,L395)=0,"",SUMIF($S$18:$S$498,L395,$T$18:$T$498))</f>
        <v>0</v>
      </c>
      <c r="V395" s="73" t="str">
        <f>IF(H395="","",IFERROR(H395+U395,H395))</f>
        <v/>
      </c>
      <c r="W395" s="73" t="str">
        <f>IF(OR(V395="",C395=""),"",V395/C395)</f>
        <v/>
      </c>
      <c r="X395" s="12" t="str">
        <f>IF(A395="","",IF(AND(U395&lt;&gt;"",U395&lt;&gt;0,M395=0),"Replacement lot receiving wash basis",IF(J395="","",IF(J395&gt;=0,"",IF(O395=0,"No replacement buy found",IF(P395&gt;1,"Manual selection needed","Auto matched"))))))</f>
        <v/>
      </c>
      <c r="Z395" t="str">
        <f>IF(K395="Yes",COUNTIF($K$18:K395,"Yes"),"")</f>
        <v/>
      </c>
    </row>
    <row r="396" spans="1:26" ht="34.15" hidden="1" customHeight="1" x14ac:dyDescent="0.2">
      <c r="A396" s="10"/>
      <c r="B396" s="71"/>
      <c r="C396" s="33"/>
      <c r="D396" s="72"/>
      <c r="E396" s="71"/>
      <c r="F396" s="72"/>
      <c r="G396" s="33"/>
      <c r="H396" s="73" t="str">
        <f>IF(OR(C396="",D396=""),"",C396*D396)</f>
        <v/>
      </c>
      <c r="I396" s="73" t="str">
        <f>IF(OR(E396="",F396="",M396&lt;=0),"",M396*F396)</f>
        <v/>
      </c>
      <c r="J396" s="73" t="str">
        <f>IF(I396="","",I396-(M396*D396))</f>
        <v/>
      </c>
      <c r="K396" s="29" t="str">
        <f>IF(A396="","",IF(T396&gt;0,"Yes","No"))</f>
        <v/>
      </c>
      <c r="L396" s="29" t="str">
        <f>IF(A396="","",A396&amp;"-"&amp;TEXT(B396,"yyyymmdd")&amp;"-R"&amp;ROW())</f>
        <v/>
      </c>
      <c r="M396" s="29" t="str">
        <f>IF(OR(C396="",G396=""),"",C396-G396)</f>
        <v/>
      </c>
      <c r="N396" s="73" t="str">
        <f>IF(OR(M396&lt;=0,J396&gt;=0),"",ABS(J396)/M396)</f>
        <v/>
      </c>
      <c r="O396" s="73" t="str">
        <f>IF(OR(A396="",M396&lt;=0,J396&gt;=0),"",MIN(M396,SUMPRODUCT(($A$18:$A$379=A396)*(IFERROR($B$18:$B$379&gt;=E396-30,0))*(IFERROR($B$18:$B$379&lt;=E396+30,0))*($G$18:$G$379&gt;0)*($L$18:$L$379&lt;&gt;L396)*($G$18:$G$379))+SUMPRODUCT(($A$381:$A$498=A396)*(IFERROR($B$381:$B$498&gt;=E396-30,0))*(IFERROR($B$381:$B$498&lt;=E396+30,0))*($G$381:$G$498&gt;0)*($L$381:$L$498&lt;&gt;L396)*($G$381:$G$498))))</f>
        <v/>
      </c>
      <c r="P396" s="29" t="str">
        <f>IF(OR(A396="",M396&lt;=0,J396&gt;=0),"",SUMPRODUCT(($A$18:$A$379=A396)*(IFERROR($B$18:$B$379&gt;=E396-30,0))*(IFERROR($B$18:$B$379&lt;=E396+30,0))*($G$18:$G$379&gt;0)*($L$18:$L$379&lt;&gt;L396))+SUMPRODUCT(($A$381:$A$498=A396)*(IFERROR($B$381:$B$498&gt;=E396-30,0))*(IFERROR($B$381:$B$498&lt;=E396+30,0))*($G$381:$G$498&gt;0)*($L$381:$L$498&lt;&gt;L396)))</f>
        <v/>
      </c>
      <c r="Q396" s="34" t="str">
        <f>IF(P396=1,IFERROR(INDEX($L$18:$L$379,MATCH(1,INDEX(($A$18:$A$379=A396)*(IFERROR($B$18:$B$379&gt;=E396-30,0))*(IFERROR($B$18:$B$379&lt;=E396+30,0))*($G$18:$G$379&gt;0)*($L$18:$L$379&lt;&gt;L396),0),0)),IFERROR(INDEX($L$381:$L$498,MATCH(1,INDEX(($A$381:$A$498=A396)*(IFERROR($B$381:$B$498&gt;=E396-30,0))*(IFERROR($B$381:$B$498&lt;=E396+30,0))*($G$381:$G$498&gt;0)*($L$381:$L$498&lt;&gt;L396),0),0)),"")),"")</f>
        <v/>
      </c>
      <c r="R396" s="35"/>
      <c r="S396" s="34" t="str">
        <f>IF(R396&lt;&gt;"",R396,Q396)</f>
        <v/>
      </c>
      <c r="T396" s="73">
        <f>IF(OR(N396="",O396=0),0,N396*O396)</f>
        <v>0</v>
      </c>
      <c r="U396" s="73">
        <f>IF(COUNTIF($S$18:$S$498,L396)=0,"",SUMIF($S$18:$S$498,L396,$T$18:$T$498))</f>
        <v>0</v>
      </c>
      <c r="V396" s="73" t="str">
        <f>IF(H396="","",IFERROR(H396+U396,H396))</f>
        <v/>
      </c>
      <c r="W396" s="73" t="str">
        <f>IF(OR(V396="",C396=""),"",V396/C396)</f>
        <v/>
      </c>
      <c r="X396" s="12" t="str">
        <f>IF(A396="","",IF(AND(U396&lt;&gt;"",U396&lt;&gt;0,M396=0),"Replacement lot receiving wash basis",IF(J396="","",IF(J396&gt;=0,"",IF(O396=0,"No replacement buy found",IF(P396&gt;1,"Manual selection needed","Auto matched"))))))</f>
        <v/>
      </c>
      <c r="Z396" t="str">
        <f>IF(K396="Yes",COUNTIF($K$18:K396,"Yes"),"")</f>
        <v/>
      </c>
    </row>
    <row r="397" spans="1:26" ht="34.15" hidden="1" customHeight="1" x14ac:dyDescent="0.2">
      <c r="A397" s="10"/>
      <c r="B397" s="71"/>
      <c r="C397" s="33"/>
      <c r="D397" s="72"/>
      <c r="E397" s="71"/>
      <c r="F397" s="72"/>
      <c r="G397" s="33"/>
      <c r="H397" s="73" t="str">
        <f>IF(OR(C397="",D397=""),"",C397*D397)</f>
        <v/>
      </c>
      <c r="I397" s="73" t="str">
        <f>IF(OR(E397="",F397="",M397&lt;=0),"",M397*F397)</f>
        <v/>
      </c>
      <c r="J397" s="73" t="str">
        <f>IF(I397="","",I397-(M397*D397))</f>
        <v/>
      </c>
      <c r="K397" s="29" t="str">
        <f>IF(A397="","",IF(T397&gt;0,"Yes","No"))</f>
        <v/>
      </c>
      <c r="L397" s="29" t="str">
        <f>IF(A397="","",A397&amp;"-"&amp;TEXT(B397,"yyyymmdd")&amp;"-R"&amp;ROW())</f>
        <v/>
      </c>
      <c r="M397" s="29" t="str">
        <f>IF(OR(C397="",G397=""),"",C397-G397)</f>
        <v/>
      </c>
      <c r="N397" s="73" t="str">
        <f>IF(OR(M397&lt;=0,J397&gt;=0),"",ABS(J397)/M397)</f>
        <v/>
      </c>
      <c r="O397" s="73" t="str">
        <f>IF(OR(A397="",M397&lt;=0,J397&gt;=0),"",MIN(M397,SUMPRODUCT(($A$18:$A$379=A397)*(IFERROR($B$18:$B$379&gt;=E397-30,0))*(IFERROR($B$18:$B$379&lt;=E397+30,0))*($G$18:$G$379&gt;0)*($L$18:$L$379&lt;&gt;L397)*($G$18:$G$379))+SUMPRODUCT(($A$381:$A$498=A397)*(IFERROR($B$381:$B$498&gt;=E397-30,0))*(IFERROR($B$381:$B$498&lt;=E397+30,0))*($G$381:$G$498&gt;0)*($L$381:$L$498&lt;&gt;L397)*($G$381:$G$498))))</f>
        <v/>
      </c>
      <c r="P397" s="29" t="str">
        <f>IF(OR(A397="",M397&lt;=0,J397&gt;=0),"",SUMPRODUCT(($A$18:$A$379=A397)*(IFERROR($B$18:$B$379&gt;=E397-30,0))*(IFERROR($B$18:$B$379&lt;=E397+30,0))*($G$18:$G$379&gt;0)*($L$18:$L$379&lt;&gt;L397))+SUMPRODUCT(($A$381:$A$498=A397)*(IFERROR($B$381:$B$498&gt;=E397-30,0))*(IFERROR($B$381:$B$498&lt;=E397+30,0))*($G$381:$G$498&gt;0)*($L$381:$L$498&lt;&gt;L397)))</f>
        <v/>
      </c>
      <c r="Q397" s="34" t="str">
        <f>IF(P397=1,IFERROR(INDEX($L$18:$L$379,MATCH(1,INDEX(($A$18:$A$379=A397)*(IFERROR($B$18:$B$379&gt;=E397-30,0))*(IFERROR($B$18:$B$379&lt;=E397+30,0))*($G$18:$G$379&gt;0)*($L$18:$L$379&lt;&gt;L397),0),0)),IFERROR(INDEX($L$381:$L$498,MATCH(1,INDEX(($A$381:$A$498=A397)*(IFERROR($B$381:$B$498&gt;=E397-30,0))*(IFERROR($B$381:$B$498&lt;=E397+30,0))*($G$381:$G$498&gt;0)*($L$381:$L$498&lt;&gt;L397),0),0)),"")),"")</f>
        <v/>
      </c>
      <c r="R397" s="35"/>
      <c r="S397" s="34" t="str">
        <f>IF(R397&lt;&gt;"",R397,Q397)</f>
        <v/>
      </c>
      <c r="T397" s="73">
        <f>IF(OR(N397="",O397=0),0,N397*O397)</f>
        <v>0</v>
      </c>
      <c r="U397" s="73">
        <f>IF(COUNTIF($S$18:$S$498,L397)=0,"",SUMIF($S$18:$S$498,L397,$T$18:$T$498))</f>
        <v>0</v>
      </c>
      <c r="V397" s="73" t="str">
        <f>IF(H397="","",IFERROR(H397+U397,H397))</f>
        <v/>
      </c>
      <c r="W397" s="73" t="str">
        <f>IF(OR(V397="",C397=""),"",V397/C397)</f>
        <v/>
      </c>
      <c r="X397" s="12" t="str">
        <f>IF(A397="","",IF(AND(U397&lt;&gt;"",U397&lt;&gt;0,M397=0),"Replacement lot receiving wash basis",IF(J397="","",IF(J397&gt;=0,"",IF(O397=0,"No replacement buy found",IF(P397&gt;1,"Manual selection needed","Auto matched"))))))</f>
        <v/>
      </c>
      <c r="Z397" t="str">
        <f>IF(K397="Yes",COUNTIF($K$18:K397,"Yes"),"")</f>
        <v/>
      </c>
    </row>
    <row r="398" spans="1:26" ht="34.15" hidden="1" customHeight="1" x14ac:dyDescent="0.2">
      <c r="A398" s="10"/>
      <c r="B398" s="71"/>
      <c r="C398" s="33"/>
      <c r="D398" s="72"/>
      <c r="E398" s="71"/>
      <c r="F398" s="72"/>
      <c r="G398" s="33"/>
      <c r="H398" s="73" t="str">
        <f>IF(OR(C398="",D398=""),"",C398*D398)</f>
        <v/>
      </c>
      <c r="I398" s="73" t="str">
        <f>IF(OR(E398="",F398="",M398&lt;=0),"",M398*F398)</f>
        <v/>
      </c>
      <c r="J398" s="73" t="str">
        <f>IF(I398="","",I398-(M398*D398))</f>
        <v/>
      </c>
      <c r="K398" s="29" t="str">
        <f>IF(A398="","",IF(T398&gt;0,"Yes","No"))</f>
        <v/>
      </c>
      <c r="L398" s="29" t="str">
        <f>IF(A398="","",A398&amp;"-"&amp;TEXT(B398,"yyyymmdd")&amp;"-R"&amp;ROW())</f>
        <v/>
      </c>
      <c r="M398" s="29" t="str">
        <f>IF(OR(C398="",G398=""),"",C398-G398)</f>
        <v/>
      </c>
      <c r="N398" s="73" t="str">
        <f>IF(OR(M398&lt;=0,J398&gt;=0),"",ABS(J398)/M398)</f>
        <v/>
      </c>
      <c r="O398" s="73" t="str">
        <f>IF(OR(A398="",M398&lt;=0,J398&gt;=0),"",MIN(M398,SUMPRODUCT(($A$18:$A$379=A398)*(IFERROR($B$18:$B$379&gt;=E398-30,0))*(IFERROR($B$18:$B$379&lt;=E398+30,0))*($G$18:$G$379&gt;0)*($L$18:$L$379&lt;&gt;L398)*($G$18:$G$379))+SUMPRODUCT(($A$381:$A$498=A398)*(IFERROR($B$381:$B$498&gt;=E398-30,0))*(IFERROR($B$381:$B$498&lt;=E398+30,0))*($G$381:$G$498&gt;0)*($L$381:$L$498&lt;&gt;L398)*($G$381:$G$498))))</f>
        <v/>
      </c>
      <c r="P398" s="29" t="str">
        <f>IF(OR(A398="",M398&lt;=0,J398&gt;=0),"",SUMPRODUCT(($A$18:$A$379=A398)*(IFERROR($B$18:$B$379&gt;=E398-30,0))*(IFERROR($B$18:$B$379&lt;=E398+30,0))*($G$18:$G$379&gt;0)*($L$18:$L$379&lt;&gt;L398))+SUMPRODUCT(($A$381:$A$498=A398)*(IFERROR($B$381:$B$498&gt;=E398-30,0))*(IFERROR($B$381:$B$498&lt;=E398+30,0))*($G$381:$G$498&gt;0)*($L$381:$L$498&lt;&gt;L398)))</f>
        <v/>
      </c>
      <c r="Q398" s="34" t="str">
        <f>IF(P398=1,IFERROR(INDEX($L$18:$L$379,MATCH(1,INDEX(($A$18:$A$379=A398)*(IFERROR($B$18:$B$379&gt;=E398-30,0))*(IFERROR($B$18:$B$379&lt;=E398+30,0))*($G$18:$G$379&gt;0)*($L$18:$L$379&lt;&gt;L398),0),0)),IFERROR(INDEX($L$381:$L$498,MATCH(1,INDEX(($A$381:$A$498=A398)*(IFERROR($B$381:$B$498&gt;=E398-30,0))*(IFERROR($B$381:$B$498&lt;=E398+30,0))*($G$381:$G$498&gt;0)*($L$381:$L$498&lt;&gt;L398),0),0)),"")),"")</f>
        <v/>
      </c>
      <c r="R398" s="35"/>
      <c r="S398" s="34" t="str">
        <f>IF(R398&lt;&gt;"",R398,Q398)</f>
        <v/>
      </c>
      <c r="T398" s="73">
        <f>IF(OR(N398="",O398=0),0,N398*O398)</f>
        <v>0</v>
      </c>
      <c r="U398" s="73">
        <f>IF(COUNTIF($S$18:$S$498,L398)=0,"",SUMIF($S$18:$S$498,L398,$T$18:$T$498))</f>
        <v>0</v>
      </c>
      <c r="V398" s="73" t="str">
        <f>IF(H398="","",IFERROR(H398+U398,H398))</f>
        <v/>
      </c>
      <c r="W398" s="73" t="str">
        <f>IF(OR(V398="",C398=""),"",V398/C398)</f>
        <v/>
      </c>
      <c r="X398" s="12" t="str">
        <f>IF(A398="","",IF(AND(U398&lt;&gt;"",U398&lt;&gt;0,M398=0),"Replacement lot receiving wash basis",IF(J398="","",IF(J398&gt;=0,"",IF(O398=0,"No replacement buy found",IF(P398&gt;1,"Manual selection needed","Auto matched"))))))</f>
        <v/>
      </c>
      <c r="Z398" t="str">
        <f>IF(K398="Yes",COUNTIF($K$18:K398,"Yes"),"")</f>
        <v/>
      </c>
    </row>
    <row r="399" spans="1:26" ht="34.15" hidden="1" customHeight="1" x14ac:dyDescent="0.2">
      <c r="A399" s="10"/>
      <c r="B399" s="71"/>
      <c r="C399" s="33"/>
      <c r="D399" s="72"/>
      <c r="E399" s="71"/>
      <c r="F399" s="72"/>
      <c r="G399" s="33"/>
      <c r="H399" s="73" t="str">
        <f>IF(OR(C399="",D399=""),"",C399*D399)</f>
        <v/>
      </c>
      <c r="I399" s="73" t="str">
        <f>IF(OR(E399="",F399="",M399&lt;=0),"",M399*F399)</f>
        <v/>
      </c>
      <c r="J399" s="73" t="str">
        <f>IF(I399="","",I399-(M399*D399))</f>
        <v/>
      </c>
      <c r="K399" s="29" t="str">
        <f>IF(A399="","",IF(T399&gt;0,"Yes","No"))</f>
        <v/>
      </c>
      <c r="L399" s="29" t="str">
        <f>IF(A399="","",A399&amp;"-"&amp;TEXT(B399,"yyyymmdd")&amp;"-R"&amp;ROW())</f>
        <v/>
      </c>
      <c r="M399" s="29" t="str">
        <f>IF(OR(C399="",G399=""),"",C399-G399)</f>
        <v/>
      </c>
      <c r="N399" s="73" t="str">
        <f>IF(OR(M399&lt;=0,J399&gt;=0),"",ABS(J399)/M399)</f>
        <v/>
      </c>
      <c r="O399" s="73" t="str">
        <f>IF(OR(A399="",M399&lt;=0,J399&gt;=0),"",MIN(M399,SUMPRODUCT(($A$18:$A$379=A399)*(IFERROR($B$18:$B$379&gt;=E399-30,0))*(IFERROR($B$18:$B$379&lt;=E399+30,0))*($G$18:$G$379&gt;0)*($L$18:$L$379&lt;&gt;L399)*($G$18:$G$379))+SUMPRODUCT(($A$381:$A$498=A399)*(IFERROR($B$381:$B$498&gt;=E399-30,0))*(IFERROR($B$381:$B$498&lt;=E399+30,0))*($G$381:$G$498&gt;0)*($L$381:$L$498&lt;&gt;L399)*($G$381:$G$498))))</f>
        <v/>
      </c>
      <c r="P399" s="29" t="str">
        <f>IF(OR(A399="",M399&lt;=0,J399&gt;=0),"",SUMPRODUCT(($A$18:$A$379=A399)*(IFERROR($B$18:$B$379&gt;=E399-30,0))*(IFERROR($B$18:$B$379&lt;=E399+30,0))*($G$18:$G$379&gt;0)*($L$18:$L$379&lt;&gt;L399))+SUMPRODUCT(($A$381:$A$498=A399)*(IFERROR($B$381:$B$498&gt;=E399-30,0))*(IFERROR($B$381:$B$498&lt;=E399+30,0))*($G$381:$G$498&gt;0)*($L$381:$L$498&lt;&gt;L399)))</f>
        <v/>
      </c>
      <c r="Q399" s="34" t="str">
        <f>IF(P399=1,IFERROR(INDEX($L$18:$L$379,MATCH(1,INDEX(($A$18:$A$379=A399)*(IFERROR($B$18:$B$379&gt;=E399-30,0))*(IFERROR($B$18:$B$379&lt;=E399+30,0))*($G$18:$G$379&gt;0)*($L$18:$L$379&lt;&gt;L399),0),0)),IFERROR(INDEX($L$381:$L$498,MATCH(1,INDEX(($A$381:$A$498=A399)*(IFERROR($B$381:$B$498&gt;=E399-30,0))*(IFERROR($B$381:$B$498&lt;=E399+30,0))*($G$381:$G$498&gt;0)*($L$381:$L$498&lt;&gt;L399),0),0)),"")),"")</f>
        <v/>
      </c>
      <c r="R399" s="35"/>
      <c r="S399" s="34" t="str">
        <f>IF(R399&lt;&gt;"",R399,Q399)</f>
        <v/>
      </c>
      <c r="T399" s="73">
        <f>IF(OR(N399="",O399=0),0,N399*O399)</f>
        <v>0</v>
      </c>
      <c r="U399" s="73">
        <f>IF(COUNTIF($S$18:$S$498,L399)=0,"",SUMIF($S$18:$S$498,L399,$T$18:$T$498))</f>
        <v>0</v>
      </c>
      <c r="V399" s="73" t="str">
        <f>IF(H399="","",IFERROR(H399+U399,H399))</f>
        <v/>
      </c>
      <c r="W399" s="73" t="str">
        <f>IF(OR(V399="",C399=""),"",V399/C399)</f>
        <v/>
      </c>
      <c r="X399" s="12" t="str">
        <f>IF(A399="","",IF(AND(U399&lt;&gt;"",U399&lt;&gt;0,M399=0),"Replacement lot receiving wash basis",IF(J399="","",IF(J399&gt;=0,"",IF(O399=0,"No replacement buy found",IF(P399&gt;1,"Manual selection needed","Auto matched"))))))</f>
        <v/>
      </c>
      <c r="Z399" t="str">
        <f>IF(K399="Yes",COUNTIF($K$18:K399,"Yes"),"")</f>
        <v/>
      </c>
    </row>
    <row r="400" spans="1:26" ht="34.15" hidden="1" customHeight="1" x14ac:dyDescent="0.2">
      <c r="A400" s="10"/>
      <c r="B400" s="71"/>
      <c r="C400" s="33"/>
      <c r="D400" s="72"/>
      <c r="E400" s="71"/>
      <c r="F400" s="72"/>
      <c r="G400" s="33"/>
      <c r="H400" s="73" t="str">
        <f>IF(OR(C400="",D400=""),"",C400*D400)</f>
        <v/>
      </c>
      <c r="I400" s="73" t="str">
        <f>IF(OR(E400="",F400="",M400&lt;=0),"",M400*F400)</f>
        <v/>
      </c>
      <c r="J400" s="73" t="str">
        <f>IF(I400="","",I400-(M400*D400))</f>
        <v/>
      </c>
      <c r="K400" s="29" t="str">
        <f>IF(A400="","",IF(T400&gt;0,"Yes","No"))</f>
        <v/>
      </c>
      <c r="L400" s="29" t="str">
        <f>IF(A400="","",A400&amp;"-"&amp;TEXT(B400,"yyyymmdd")&amp;"-R"&amp;ROW())</f>
        <v/>
      </c>
      <c r="M400" s="29" t="str">
        <f>IF(OR(C400="",G400=""),"",C400-G400)</f>
        <v/>
      </c>
      <c r="N400" s="73" t="str">
        <f>IF(OR(M400&lt;=0,J400&gt;=0),"",ABS(J400)/M400)</f>
        <v/>
      </c>
      <c r="O400" s="73" t="str">
        <f>IF(OR(A400="",M400&lt;=0,J400&gt;=0),"",MIN(M400,SUMPRODUCT(($A$18:$A$379=A400)*(IFERROR($B$18:$B$379&gt;=E400-30,0))*(IFERROR($B$18:$B$379&lt;=E400+30,0))*($G$18:$G$379&gt;0)*($L$18:$L$379&lt;&gt;L400)*($G$18:$G$379))+SUMPRODUCT(($A$381:$A$498=A400)*(IFERROR($B$381:$B$498&gt;=E400-30,0))*(IFERROR($B$381:$B$498&lt;=E400+30,0))*($G$381:$G$498&gt;0)*($L$381:$L$498&lt;&gt;L400)*($G$381:$G$498))))</f>
        <v/>
      </c>
      <c r="P400" s="29" t="str">
        <f>IF(OR(A400="",M400&lt;=0,J400&gt;=0),"",SUMPRODUCT(($A$18:$A$379=A400)*(IFERROR($B$18:$B$379&gt;=E400-30,0))*(IFERROR($B$18:$B$379&lt;=E400+30,0))*($G$18:$G$379&gt;0)*($L$18:$L$379&lt;&gt;L400))+SUMPRODUCT(($A$381:$A$498=A400)*(IFERROR($B$381:$B$498&gt;=E400-30,0))*(IFERROR($B$381:$B$498&lt;=E400+30,0))*($G$381:$G$498&gt;0)*($L$381:$L$498&lt;&gt;L400)))</f>
        <v/>
      </c>
      <c r="Q400" s="34" t="str">
        <f>IF(P400=1,IFERROR(INDEX($L$18:$L$379,MATCH(1,INDEX(($A$18:$A$379=A400)*(IFERROR($B$18:$B$379&gt;=E400-30,0))*(IFERROR($B$18:$B$379&lt;=E400+30,0))*($G$18:$G$379&gt;0)*($L$18:$L$379&lt;&gt;L400),0),0)),IFERROR(INDEX($L$381:$L$498,MATCH(1,INDEX(($A$381:$A$498=A400)*(IFERROR($B$381:$B$498&gt;=E400-30,0))*(IFERROR($B$381:$B$498&lt;=E400+30,0))*($G$381:$G$498&gt;0)*($L$381:$L$498&lt;&gt;L400),0),0)),"")),"")</f>
        <v/>
      </c>
      <c r="R400" s="35"/>
      <c r="S400" s="34" t="str">
        <f>IF(R400&lt;&gt;"",R400,Q400)</f>
        <v/>
      </c>
      <c r="T400" s="73">
        <f>IF(OR(N400="",O400=0),0,N400*O400)</f>
        <v>0</v>
      </c>
      <c r="U400" s="73">
        <f>IF(COUNTIF($S$18:$S$498,L400)=0,"",SUMIF($S$18:$S$498,L400,$T$18:$T$498))</f>
        <v>0</v>
      </c>
      <c r="V400" s="73" t="str">
        <f>IF(H400="","",IFERROR(H400+U400,H400))</f>
        <v/>
      </c>
      <c r="W400" s="73" t="str">
        <f>IF(OR(V400="",C400=""),"",V400/C400)</f>
        <v/>
      </c>
      <c r="X400" s="12" t="str">
        <f>IF(A400="","",IF(AND(U400&lt;&gt;"",U400&lt;&gt;0,M400=0),"Replacement lot receiving wash basis",IF(J400="","",IF(J400&gt;=0,"",IF(O400=0,"No replacement buy found",IF(P400&gt;1,"Manual selection needed","Auto matched"))))))</f>
        <v/>
      </c>
      <c r="Z400" t="str">
        <f>IF(K400="Yes",COUNTIF($K$18:K400,"Yes"),"")</f>
        <v/>
      </c>
    </row>
    <row r="401" spans="1:26" ht="34.15" hidden="1" customHeight="1" x14ac:dyDescent="0.2">
      <c r="A401" s="10"/>
      <c r="B401" s="71"/>
      <c r="C401" s="33"/>
      <c r="D401" s="72"/>
      <c r="E401" s="71"/>
      <c r="F401" s="72"/>
      <c r="G401" s="33"/>
      <c r="H401" s="73" t="str">
        <f>IF(OR(C401="",D401=""),"",C401*D401)</f>
        <v/>
      </c>
      <c r="I401" s="73" t="str">
        <f>IF(OR(E401="",F401="",M401&lt;=0),"",M401*F401)</f>
        <v/>
      </c>
      <c r="J401" s="73" t="str">
        <f>IF(I401="","",I401-(M401*D401))</f>
        <v/>
      </c>
      <c r="K401" s="29" t="str">
        <f>IF(A401="","",IF(T401&gt;0,"Yes","No"))</f>
        <v/>
      </c>
      <c r="L401" s="29" t="str">
        <f>IF(A401="","",A401&amp;"-"&amp;TEXT(B401,"yyyymmdd")&amp;"-R"&amp;ROW())</f>
        <v/>
      </c>
      <c r="M401" s="29" t="str">
        <f>IF(OR(C401="",G401=""),"",C401-G401)</f>
        <v/>
      </c>
      <c r="N401" s="73" t="str">
        <f>IF(OR(M401&lt;=0,J401&gt;=0),"",ABS(J401)/M401)</f>
        <v/>
      </c>
      <c r="O401" s="73" t="str">
        <f>IF(OR(A401="",M401&lt;=0,J401&gt;=0),"",MIN(M401,SUMPRODUCT(($A$18:$A$379=A401)*(IFERROR($B$18:$B$379&gt;=E401-30,0))*(IFERROR($B$18:$B$379&lt;=E401+30,0))*($G$18:$G$379&gt;0)*($L$18:$L$379&lt;&gt;L401)*($G$18:$G$379))+SUMPRODUCT(($A$381:$A$498=A401)*(IFERROR($B$381:$B$498&gt;=E401-30,0))*(IFERROR($B$381:$B$498&lt;=E401+30,0))*($G$381:$G$498&gt;0)*($L$381:$L$498&lt;&gt;L401)*($G$381:$G$498))))</f>
        <v/>
      </c>
      <c r="P401" s="29" t="str">
        <f>IF(OR(A401="",M401&lt;=0,J401&gt;=0),"",SUMPRODUCT(($A$18:$A$379=A401)*(IFERROR($B$18:$B$379&gt;=E401-30,0))*(IFERROR($B$18:$B$379&lt;=E401+30,0))*($G$18:$G$379&gt;0)*($L$18:$L$379&lt;&gt;L401))+SUMPRODUCT(($A$381:$A$498=A401)*(IFERROR($B$381:$B$498&gt;=E401-30,0))*(IFERROR($B$381:$B$498&lt;=E401+30,0))*($G$381:$G$498&gt;0)*($L$381:$L$498&lt;&gt;L401)))</f>
        <v/>
      </c>
      <c r="Q401" s="34" t="str">
        <f>IF(P401=1,IFERROR(INDEX($L$18:$L$379,MATCH(1,INDEX(($A$18:$A$379=A401)*(IFERROR($B$18:$B$379&gt;=E401-30,0))*(IFERROR($B$18:$B$379&lt;=E401+30,0))*($G$18:$G$379&gt;0)*($L$18:$L$379&lt;&gt;L401),0),0)),IFERROR(INDEX($L$381:$L$498,MATCH(1,INDEX(($A$381:$A$498=A401)*(IFERROR($B$381:$B$498&gt;=E401-30,0))*(IFERROR($B$381:$B$498&lt;=E401+30,0))*($G$381:$G$498&gt;0)*($L$381:$L$498&lt;&gt;L401),0),0)),"")),"")</f>
        <v/>
      </c>
      <c r="R401" s="35"/>
      <c r="S401" s="34" t="str">
        <f>IF(R401&lt;&gt;"",R401,Q401)</f>
        <v/>
      </c>
      <c r="T401" s="73">
        <f>IF(OR(N401="",O401=0),0,N401*O401)</f>
        <v>0</v>
      </c>
      <c r="U401" s="73">
        <f>IF(COUNTIF($S$18:$S$498,L401)=0,"",SUMIF($S$18:$S$498,L401,$T$18:$T$498))</f>
        <v>0</v>
      </c>
      <c r="V401" s="73" t="str">
        <f>IF(H401="","",IFERROR(H401+U401,H401))</f>
        <v/>
      </c>
      <c r="W401" s="73" t="str">
        <f>IF(OR(V401="",C401=""),"",V401/C401)</f>
        <v/>
      </c>
      <c r="X401" s="12" t="str">
        <f>IF(A401="","",IF(AND(U401&lt;&gt;"",U401&lt;&gt;0,M401=0),"Replacement lot receiving wash basis",IF(J401="","",IF(J401&gt;=0,"",IF(O401=0,"No replacement buy found",IF(P401&gt;1,"Manual selection needed","Auto matched"))))))</f>
        <v/>
      </c>
      <c r="Z401" t="str">
        <f>IF(K401="Yes",COUNTIF($K$18:K401,"Yes"),"")</f>
        <v/>
      </c>
    </row>
    <row r="402" spans="1:26" ht="34.15" hidden="1" customHeight="1" x14ac:dyDescent="0.2">
      <c r="A402" s="10"/>
      <c r="B402" s="71"/>
      <c r="C402" s="33"/>
      <c r="D402" s="72"/>
      <c r="E402" s="71"/>
      <c r="F402" s="72"/>
      <c r="G402" s="33"/>
      <c r="H402" s="73" t="str">
        <f>IF(OR(C402="",D402=""),"",C402*D402)</f>
        <v/>
      </c>
      <c r="I402" s="73" t="str">
        <f>IF(OR(E402="",F402="",M402&lt;=0),"",M402*F402)</f>
        <v/>
      </c>
      <c r="J402" s="73" t="str">
        <f>IF(I402="","",I402-(M402*D402))</f>
        <v/>
      </c>
      <c r="K402" s="29" t="str">
        <f>IF(A402="","",IF(T402&gt;0,"Yes","No"))</f>
        <v/>
      </c>
      <c r="L402" s="29" t="str">
        <f>IF(A402="","",A402&amp;"-"&amp;TEXT(B402,"yyyymmdd")&amp;"-R"&amp;ROW())</f>
        <v/>
      </c>
      <c r="M402" s="29" t="str">
        <f>IF(OR(C402="",G402=""),"",C402-G402)</f>
        <v/>
      </c>
      <c r="N402" s="73" t="str">
        <f>IF(OR(M402&lt;=0,J402&gt;=0),"",ABS(J402)/M402)</f>
        <v/>
      </c>
      <c r="O402" s="73" t="str">
        <f>IF(OR(A402="",M402&lt;=0,J402&gt;=0),"",MIN(M402,SUMPRODUCT(($A$18:$A$379=A402)*(IFERROR($B$18:$B$379&gt;=E402-30,0))*(IFERROR($B$18:$B$379&lt;=E402+30,0))*($G$18:$G$379&gt;0)*($L$18:$L$379&lt;&gt;L402)*($G$18:$G$379))+SUMPRODUCT(($A$381:$A$498=A402)*(IFERROR($B$381:$B$498&gt;=E402-30,0))*(IFERROR($B$381:$B$498&lt;=E402+30,0))*($G$381:$G$498&gt;0)*($L$381:$L$498&lt;&gt;L402)*($G$381:$G$498))))</f>
        <v/>
      </c>
      <c r="P402" s="29" t="str">
        <f>IF(OR(A402="",M402&lt;=0,J402&gt;=0),"",SUMPRODUCT(($A$18:$A$379=A402)*(IFERROR($B$18:$B$379&gt;=E402-30,0))*(IFERROR($B$18:$B$379&lt;=E402+30,0))*($G$18:$G$379&gt;0)*($L$18:$L$379&lt;&gt;L402))+SUMPRODUCT(($A$381:$A$498=A402)*(IFERROR($B$381:$B$498&gt;=E402-30,0))*(IFERROR($B$381:$B$498&lt;=E402+30,0))*($G$381:$G$498&gt;0)*($L$381:$L$498&lt;&gt;L402)))</f>
        <v/>
      </c>
      <c r="Q402" s="34" t="str">
        <f>IF(P402=1,IFERROR(INDEX($L$18:$L$379,MATCH(1,INDEX(($A$18:$A$379=A402)*(IFERROR($B$18:$B$379&gt;=E402-30,0))*(IFERROR($B$18:$B$379&lt;=E402+30,0))*($G$18:$G$379&gt;0)*($L$18:$L$379&lt;&gt;L402),0),0)),IFERROR(INDEX($L$381:$L$498,MATCH(1,INDEX(($A$381:$A$498=A402)*(IFERROR($B$381:$B$498&gt;=E402-30,0))*(IFERROR($B$381:$B$498&lt;=E402+30,0))*($G$381:$G$498&gt;0)*($L$381:$L$498&lt;&gt;L402),0),0)),"")),"")</f>
        <v/>
      </c>
      <c r="R402" s="35"/>
      <c r="S402" s="34" t="str">
        <f>IF(R402&lt;&gt;"",R402,Q402)</f>
        <v/>
      </c>
      <c r="T402" s="73">
        <f>IF(OR(N402="",O402=0),0,N402*O402)</f>
        <v>0</v>
      </c>
      <c r="U402" s="73">
        <f>IF(COUNTIF($S$18:$S$498,L402)=0,"",SUMIF($S$18:$S$498,L402,$T$18:$T$498))</f>
        <v>0</v>
      </c>
      <c r="V402" s="73" t="str">
        <f>IF(H402="","",IFERROR(H402+U402,H402))</f>
        <v/>
      </c>
      <c r="W402" s="73" t="str">
        <f>IF(OR(V402="",C402=""),"",V402/C402)</f>
        <v/>
      </c>
      <c r="X402" s="12" t="str">
        <f>IF(A402="","",IF(AND(U402&lt;&gt;"",U402&lt;&gt;0,M402=0),"Replacement lot receiving wash basis",IF(J402="","",IF(J402&gt;=0,"",IF(O402=0,"No replacement buy found",IF(P402&gt;1,"Manual selection needed","Auto matched"))))))</f>
        <v/>
      </c>
      <c r="Z402" t="str">
        <f>IF(K402="Yes",COUNTIF($K$18:K402,"Yes"),"")</f>
        <v/>
      </c>
    </row>
    <row r="403" spans="1:26" ht="34.15" hidden="1" customHeight="1" x14ac:dyDescent="0.2">
      <c r="A403" s="10"/>
      <c r="B403" s="71"/>
      <c r="C403" s="33"/>
      <c r="D403" s="72"/>
      <c r="E403" s="71"/>
      <c r="F403" s="72"/>
      <c r="G403" s="33"/>
      <c r="H403" s="73" t="str">
        <f>IF(OR(C403="",D403=""),"",C403*D403)</f>
        <v/>
      </c>
      <c r="I403" s="73" t="str">
        <f>IF(OR(E403="",F403="",M403&lt;=0),"",M403*F403)</f>
        <v/>
      </c>
      <c r="J403" s="73" t="str">
        <f>IF(I403="","",I403-(M403*D403))</f>
        <v/>
      </c>
      <c r="K403" s="29" t="str">
        <f>IF(A403="","",IF(T403&gt;0,"Yes","No"))</f>
        <v/>
      </c>
      <c r="L403" s="29" t="str">
        <f>IF(A403="","",A403&amp;"-"&amp;TEXT(B403,"yyyymmdd")&amp;"-R"&amp;ROW())</f>
        <v/>
      </c>
      <c r="M403" s="29" t="str">
        <f>IF(OR(C403="",G403=""),"",C403-G403)</f>
        <v/>
      </c>
      <c r="N403" s="73" t="str">
        <f>IF(OR(M403&lt;=0,J403&gt;=0),"",ABS(J403)/M403)</f>
        <v/>
      </c>
      <c r="O403" s="73" t="str">
        <f>IF(OR(A403="",M403&lt;=0,J403&gt;=0),"",MIN(M403,SUMPRODUCT(($A$18:$A$379=A403)*(IFERROR($B$18:$B$379&gt;=E403-30,0))*(IFERROR($B$18:$B$379&lt;=E403+30,0))*($G$18:$G$379&gt;0)*($L$18:$L$379&lt;&gt;L403)*($G$18:$G$379))+SUMPRODUCT(($A$381:$A$498=A403)*(IFERROR($B$381:$B$498&gt;=E403-30,0))*(IFERROR($B$381:$B$498&lt;=E403+30,0))*($G$381:$G$498&gt;0)*($L$381:$L$498&lt;&gt;L403)*($G$381:$G$498))))</f>
        <v/>
      </c>
      <c r="P403" s="29" t="str">
        <f>IF(OR(A403="",M403&lt;=0,J403&gt;=0),"",SUMPRODUCT(($A$18:$A$379=A403)*(IFERROR($B$18:$B$379&gt;=E403-30,0))*(IFERROR($B$18:$B$379&lt;=E403+30,0))*($G$18:$G$379&gt;0)*($L$18:$L$379&lt;&gt;L403))+SUMPRODUCT(($A$381:$A$498=A403)*(IFERROR($B$381:$B$498&gt;=E403-30,0))*(IFERROR($B$381:$B$498&lt;=E403+30,0))*($G$381:$G$498&gt;0)*($L$381:$L$498&lt;&gt;L403)))</f>
        <v/>
      </c>
      <c r="Q403" s="34" t="str">
        <f>IF(P403=1,IFERROR(INDEX($L$18:$L$379,MATCH(1,INDEX(($A$18:$A$379=A403)*(IFERROR($B$18:$B$379&gt;=E403-30,0))*(IFERROR($B$18:$B$379&lt;=E403+30,0))*($G$18:$G$379&gt;0)*($L$18:$L$379&lt;&gt;L403),0),0)),IFERROR(INDEX($L$381:$L$498,MATCH(1,INDEX(($A$381:$A$498=A403)*(IFERROR($B$381:$B$498&gt;=E403-30,0))*(IFERROR($B$381:$B$498&lt;=E403+30,0))*($G$381:$G$498&gt;0)*($L$381:$L$498&lt;&gt;L403),0),0)),"")),"")</f>
        <v/>
      </c>
      <c r="R403" s="35"/>
      <c r="S403" s="34" t="str">
        <f>IF(R403&lt;&gt;"",R403,Q403)</f>
        <v/>
      </c>
      <c r="T403" s="73">
        <f>IF(OR(N403="",O403=0),0,N403*O403)</f>
        <v>0</v>
      </c>
      <c r="U403" s="73">
        <f>IF(COUNTIF($S$18:$S$498,L403)=0,"",SUMIF($S$18:$S$498,L403,$T$18:$T$498))</f>
        <v>0</v>
      </c>
      <c r="V403" s="73" t="str">
        <f>IF(H403="","",IFERROR(H403+U403,H403))</f>
        <v/>
      </c>
      <c r="W403" s="73" t="str">
        <f>IF(OR(V403="",C403=""),"",V403/C403)</f>
        <v/>
      </c>
      <c r="X403" s="12" t="str">
        <f>IF(A403="","",IF(AND(U403&lt;&gt;"",U403&lt;&gt;0,M403=0),"Replacement lot receiving wash basis",IF(J403="","",IF(J403&gt;=0,"",IF(O403=0,"No replacement buy found",IF(P403&gt;1,"Manual selection needed","Auto matched"))))))</f>
        <v/>
      </c>
      <c r="Z403" t="str">
        <f>IF(K403="Yes",COUNTIF($K$18:K403,"Yes"),"")</f>
        <v/>
      </c>
    </row>
    <row r="404" spans="1:26" ht="34.15" hidden="1" customHeight="1" x14ac:dyDescent="0.2">
      <c r="A404" s="10"/>
      <c r="B404" s="71"/>
      <c r="C404" s="33"/>
      <c r="D404" s="72"/>
      <c r="E404" s="71"/>
      <c r="F404" s="72"/>
      <c r="G404" s="33"/>
      <c r="H404" s="73" t="str">
        <f>IF(OR(C404="",D404=""),"",C404*D404)</f>
        <v/>
      </c>
      <c r="I404" s="73" t="str">
        <f>IF(OR(E404="",F404="",M404&lt;=0),"",M404*F404)</f>
        <v/>
      </c>
      <c r="J404" s="73" t="str">
        <f>IF(I404="","",I404-(M404*D404))</f>
        <v/>
      </c>
      <c r="K404" s="29" t="str">
        <f>IF(A404="","",IF(T404&gt;0,"Yes","No"))</f>
        <v/>
      </c>
      <c r="L404" s="29" t="str">
        <f>IF(A404="","",A404&amp;"-"&amp;TEXT(B404,"yyyymmdd")&amp;"-R"&amp;ROW())</f>
        <v/>
      </c>
      <c r="M404" s="29" t="str">
        <f>IF(OR(C404="",G404=""),"",C404-G404)</f>
        <v/>
      </c>
      <c r="N404" s="73" t="str">
        <f>IF(OR(M404&lt;=0,J404&gt;=0),"",ABS(J404)/M404)</f>
        <v/>
      </c>
      <c r="O404" s="73" t="str">
        <f>IF(OR(A404="",M404&lt;=0,J404&gt;=0),"",MIN(M404,SUMPRODUCT(($A$18:$A$379=A404)*(IFERROR($B$18:$B$379&gt;=E404-30,0))*(IFERROR($B$18:$B$379&lt;=E404+30,0))*($G$18:$G$379&gt;0)*($L$18:$L$379&lt;&gt;L404)*($G$18:$G$379))+SUMPRODUCT(($A$381:$A$498=A404)*(IFERROR($B$381:$B$498&gt;=E404-30,0))*(IFERROR($B$381:$B$498&lt;=E404+30,0))*($G$381:$G$498&gt;0)*($L$381:$L$498&lt;&gt;L404)*($G$381:$G$498))))</f>
        <v/>
      </c>
      <c r="P404" s="29" t="str">
        <f>IF(OR(A404="",M404&lt;=0,J404&gt;=0),"",SUMPRODUCT(($A$18:$A$379=A404)*(IFERROR($B$18:$B$379&gt;=E404-30,0))*(IFERROR($B$18:$B$379&lt;=E404+30,0))*($G$18:$G$379&gt;0)*($L$18:$L$379&lt;&gt;L404))+SUMPRODUCT(($A$381:$A$498=A404)*(IFERROR($B$381:$B$498&gt;=E404-30,0))*(IFERROR($B$381:$B$498&lt;=E404+30,0))*($G$381:$G$498&gt;0)*($L$381:$L$498&lt;&gt;L404)))</f>
        <v/>
      </c>
      <c r="Q404" s="34" t="str">
        <f>IF(P404=1,IFERROR(INDEX($L$18:$L$379,MATCH(1,INDEX(($A$18:$A$379=A404)*(IFERROR($B$18:$B$379&gt;=E404-30,0))*(IFERROR($B$18:$B$379&lt;=E404+30,0))*($G$18:$G$379&gt;0)*($L$18:$L$379&lt;&gt;L404),0),0)),IFERROR(INDEX($L$381:$L$498,MATCH(1,INDEX(($A$381:$A$498=A404)*(IFERROR($B$381:$B$498&gt;=E404-30,0))*(IFERROR($B$381:$B$498&lt;=E404+30,0))*($G$381:$G$498&gt;0)*($L$381:$L$498&lt;&gt;L404),0),0)),"")),"")</f>
        <v/>
      </c>
      <c r="R404" s="35"/>
      <c r="S404" s="34" t="str">
        <f>IF(R404&lt;&gt;"",R404,Q404)</f>
        <v/>
      </c>
      <c r="T404" s="73">
        <f>IF(OR(N404="",O404=0),0,N404*O404)</f>
        <v>0</v>
      </c>
      <c r="U404" s="73">
        <f>IF(COUNTIF($S$18:$S$498,L404)=0,"",SUMIF($S$18:$S$498,L404,$T$18:$T$498))</f>
        <v>0</v>
      </c>
      <c r="V404" s="73" t="str">
        <f>IF(H404="","",IFERROR(H404+U404,H404))</f>
        <v/>
      </c>
      <c r="W404" s="73" t="str">
        <f>IF(OR(V404="",C404=""),"",V404/C404)</f>
        <v/>
      </c>
      <c r="X404" s="12" t="str">
        <f>IF(A404="","",IF(AND(U404&lt;&gt;"",U404&lt;&gt;0,M404=0),"Replacement lot receiving wash basis",IF(J404="","",IF(J404&gt;=0,"",IF(O404=0,"No replacement buy found",IF(P404&gt;1,"Manual selection needed","Auto matched"))))))</f>
        <v/>
      </c>
      <c r="Z404" t="str">
        <f>IF(K404="Yes",COUNTIF($K$18:K404,"Yes"),"")</f>
        <v/>
      </c>
    </row>
    <row r="405" spans="1:26" ht="34.15" hidden="1" customHeight="1" x14ac:dyDescent="0.2">
      <c r="A405" s="10"/>
      <c r="B405" s="71"/>
      <c r="C405" s="33"/>
      <c r="D405" s="72"/>
      <c r="E405" s="71"/>
      <c r="F405" s="72"/>
      <c r="G405" s="33"/>
      <c r="H405" s="73" t="str">
        <f>IF(OR(C405="",D405=""),"",C405*D405)</f>
        <v/>
      </c>
      <c r="I405" s="73" t="str">
        <f>IF(OR(E405="",F405="",M405&lt;=0),"",M405*F405)</f>
        <v/>
      </c>
      <c r="J405" s="73" t="str">
        <f>IF(I405="","",I405-(M405*D405))</f>
        <v/>
      </c>
      <c r="K405" s="29" t="str">
        <f>IF(A405="","",IF(T405&gt;0,"Yes","No"))</f>
        <v/>
      </c>
      <c r="L405" s="29" t="str">
        <f>IF(A405="","",A405&amp;"-"&amp;TEXT(B405,"yyyymmdd")&amp;"-R"&amp;ROW())</f>
        <v/>
      </c>
      <c r="M405" s="29" t="str">
        <f>IF(OR(C405="",G405=""),"",C405-G405)</f>
        <v/>
      </c>
      <c r="N405" s="73" t="str">
        <f>IF(OR(M405&lt;=0,J405&gt;=0),"",ABS(J405)/M405)</f>
        <v/>
      </c>
      <c r="O405" s="73" t="str">
        <f>IF(OR(A405="",M405&lt;=0,J405&gt;=0),"",MIN(M405,SUMPRODUCT(($A$18:$A$379=A405)*(IFERROR($B$18:$B$379&gt;=E405-30,0))*(IFERROR($B$18:$B$379&lt;=E405+30,0))*($G$18:$G$379&gt;0)*($L$18:$L$379&lt;&gt;L405)*($G$18:$G$379))+SUMPRODUCT(($A$381:$A$498=A405)*(IFERROR($B$381:$B$498&gt;=E405-30,0))*(IFERROR($B$381:$B$498&lt;=E405+30,0))*($G$381:$G$498&gt;0)*($L$381:$L$498&lt;&gt;L405)*($G$381:$G$498))))</f>
        <v/>
      </c>
      <c r="P405" s="29" t="str">
        <f>IF(OR(A405="",M405&lt;=0,J405&gt;=0),"",SUMPRODUCT(($A$18:$A$379=A405)*(IFERROR($B$18:$B$379&gt;=E405-30,0))*(IFERROR($B$18:$B$379&lt;=E405+30,0))*($G$18:$G$379&gt;0)*($L$18:$L$379&lt;&gt;L405))+SUMPRODUCT(($A$381:$A$498=A405)*(IFERROR($B$381:$B$498&gt;=E405-30,0))*(IFERROR($B$381:$B$498&lt;=E405+30,0))*($G$381:$G$498&gt;0)*($L$381:$L$498&lt;&gt;L405)))</f>
        <v/>
      </c>
      <c r="Q405" s="34" t="str">
        <f>IF(P405=1,IFERROR(INDEX($L$18:$L$379,MATCH(1,INDEX(($A$18:$A$379=A405)*(IFERROR($B$18:$B$379&gt;=E405-30,0))*(IFERROR($B$18:$B$379&lt;=E405+30,0))*($G$18:$G$379&gt;0)*($L$18:$L$379&lt;&gt;L405),0),0)),IFERROR(INDEX($L$381:$L$498,MATCH(1,INDEX(($A$381:$A$498=A405)*(IFERROR($B$381:$B$498&gt;=E405-30,0))*(IFERROR($B$381:$B$498&lt;=E405+30,0))*($G$381:$G$498&gt;0)*($L$381:$L$498&lt;&gt;L405),0),0)),"")),"")</f>
        <v/>
      </c>
      <c r="R405" s="35"/>
      <c r="S405" s="34" t="str">
        <f>IF(R405&lt;&gt;"",R405,Q405)</f>
        <v/>
      </c>
      <c r="T405" s="73">
        <f>IF(OR(N405="",O405=0),0,N405*O405)</f>
        <v>0</v>
      </c>
      <c r="U405" s="73">
        <f>IF(COUNTIF($S$18:$S$498,L405)=0,"",SUMIF($S$18:$S$498,L405,$T$18:$T$498))</f>
        <v>0</v>
      </c>
      <c r="V405" s="73" t="str">
        <f>IF(H405="","",IFERROR(H405+U405,H405))</f>
        <v/>
      </c>
      <c r="W405" s="73" t="str">
        <f>IF(OR(V405="",C405=""),"",V405/C405)</f>
        <v/>
      </c>
      <c r="X405" s="12" t="str">
        <f>IF(A405="","",IF(AND(U405&lt;&gt;"",U405&lt;&gt;0,M405=0),"Replacement lot receiving wash basis",IF(J405="","",IF(J405&gt;=0,"",IF(O405=0,"No replacement buy found",IF(P405&gt;1,"Manual selection needed","Auto matched"))))))</f>
        <v/>
      </c>
      <c r="Z405" t="str">
        <f>IF(K405="Yes",COUNTIF($K$18:K405,"Yes"),"")</f>
        <v/>
      </c>
    </row>
    <row r="406" spans="1:26" ht="34.15" hidden="1" customHeight="1" x14ac:dyDescent="0.2">
      <c r="A406" s="10"/>
      <c r="B406" s="71"/>
      <c r="C406" s="33"/>
      <c r="D406" s="72"/>
      <c r="E406" s="71"/>
      <c r="F406" s="72"/>
      <c r="G406" s="33"/>
      <c r="H406" s="73" t="str">
        <f>IF(OR(C406="",D406=""),"",C406*D406)</f>
        <v/>
      </c>
      <c r="I406" s="73" t="str">
        <f>IF(OR(E406="",F406="",M406&lt;=0),"",M406*F406)</f>
        <v/>
      </c>
      <c r="J406" s="73" t="str">
        <f>IF(I406="","",I406-(M406*D406))</f>
        <v/>
      </c>
      <c r="K406" s="29" t="str">
        <f>IF(A406="","",IF(T406&gt;0,"Yes","No"))</f>
        <v/>
      </c>
      <c r="L406" s="29" t="str">
        <f>IF(A406="","",A406&amp;"-"&amp;TEXT(B406,"yyyymmdd")&amp;"-R"&amp;ROW())</f>
        <v/>
      </c>
      <c r="M406" s="29" t="str">
        <f>IF(OR(C406="",G406=""),"",C406-G406)</f>
        <v/>
      </c>
      <c r="N406" s="73" t="str">
        <f>IF(OR(M406&lt;=0,J406&gt;=0),"",ABS(J406)/M406)</f>
        <v/>
      </c>
      <c r="O406" s="73" t="str">
        <f>IF(OR(A406="",M406&lt;=0,J406&gt;=0),"",MIN(M406,SUMPRODUCT(($A$18:$A$379=A406)*(IFERROR($B$18:$B$379&gt;=E406-30,0))*(IFERROR($B$18:$B$379&lt;=E406+30,0))*($G$18:$G$379&gt;0)*($L$18:$L$379&lt;&gt;L406)*($G$18:$G$379))+SUMPRODUCT(($A$381:$A$498=A406)*(IFERROR($B$381:$B$498&gt;=E406-30,0))*(IFERROR($B$381:$B$498&lt;=E406+30,0))*($G$381:$G$498&gt;0)*($L$381:$L$498&lt;&gt;L406)*($G$381:$G$498))))</f>
        <v/>
      </c>
      <c r="P406" s="29" t="str">
        <f>IF(OR(A406="",M406&lt;=0,J406&gt;=0),"",SUMPRODUCT(($A$18:$A$379=A406)*(IFERROR($B$18:$B$379&gt;=E406-30,0))*(IFERROR($B$18:$B$379&lt;=E406+30,0))*($G$18:$G$379&gt;0)*($L$18:$L$379&lt;&gt;L406))+SUMPRODUCT(($A$381:$A$498=A406)*(IFERROR($B$381:$B$498&gt;=E406-30,0))*(IFERROR($B$381:$B$498&lt;=E406+30,0))*($G$381:$G$498&gt;0)*($L$381:$L$498&lt;&gt;L406)))</f>
        <v/>
      </c>
      <c r="Q406" s="34" t="str">
        <f>IF(P406=1,IFERROR(INDEX($L$18:$L$379,MATCH(1,INDEX(($A$18:$A$379=A406)*(IFERROR($B$18:$B$379&gt;=E406-30,0))*(IFERROR($B$18:$B$379&lt;=E406+30,0))*($G$18:$G$379&gt;0)*($L$18:$L$379&lt;&gt;L406),0),0)),IFERROR(INDEX($L$381:$L$498,MATCH(1,INDEX(($A$381:$A$498=A406)*(IFERROR($B$381:$B$498&gt;=E406-30,0))*(IFERROR($B$381:$B$498&lt;=E406+30,0))*($G$381:$G$498&gt;0)*($L$381:$L$498&lt;&gt;L406),0),0)),"")),"")</f>
        <v/>
      </c>
      <c r="R406" s="35"/>
      <c r="S406" s="34" t="str">
        <f>IF(R406&lt;&gt;"",R406,Q406)</f>
        <v/>
      </c>
      <c r="T406" s="73">
        <f>IF(OR(N406="",O406=0),0,N406*O406)</f>
        <v>0</v>
      </c>
      <c r="U406" s="73">
        <f>IF(COUNTIF($S$18:$S$498,L406)=0,"",SUMIF($S$18:$S$498,L406,$T$18:$T$498))</f>
        <v>0</v>
      </c>
      <c r="V406" s="73" t="str">
        <f>IF(H406="","",IFERROR(H406+U406,H406))</f>
        <v/>
      </c>
      <c r="W406" s="73" t="str">
        <f>IF(OR(V406="",C406=""),"",V406/C406)</f>
        <v/>
      </c>
      <c r="X406" s="12" t="str">
        <f>IF(A406="","",IF(AND(U406&lt;&gt;"",U406&lt;&gt;0,M406=0),"Replacement lot receiving wash basis",IF(J406="","",IF(J406&gt;=0,"",IF(O406=0,"No replacement buy found",IF(P406&gt;1,"Manual selection needed","Auto matched"))))))</f>
        <v/>
      </c>
      <c r="Z406" t="str">
        <f>IF(K406="Yes",COUNTIF($K$18:K406,"Yes"),"")</f>
        <v/>
      </c>
    </row>
    <row r="407" spans="1:26" ht="34.15" hidden="1" customHeight="1" x14ac:dyDescent="0.2">
      <c r="A407" s="10"/>
      <c r="B407" s="71"/>
      <c r="C407" s="33"/>
      <c r="D407" s="72"/>
      <c r="E407" s="71"/>
      <c r="F407" s="72"/>
      <c r="G407" s="33"/>
      <c r="H407" s="73" t="str">
        <f>IF(OR(C407="",D407=""),"",C407*D407)</f>
        <v/>
      </c>
      <c r="I407" s="73" t="str">
        <f>IF(OR(E407="",F407="",M407&lt;=0),"",M407*F407)</f>
        <v/>
      </c>
      <c r="J407" s="73" t="str">
        <f>IF(I407="","",I407-(M407*D407))</f>
        <v/>
      </c>
      <c r="K407" s="29" t="str">
        <f>IF(A407="","",IF(T407&gt;0,"Yes","No"))</f>
        <v/>
      </c>
      <c r="L407" s="29" t="str">
        <f>IF(A407="","",A407&amp;"-"&amp;TEXT(B407,"yyyymmdd")&amp;"-R"&amp;ROW())</f>
        <v/>
      </c>
      <c r="M407" s="29" t="str">
        <f>IF(OR(C407="",G407=""),"",C407-G407)</f>
        <v/>
      </c>
      <c r="N407" s="73" t="str">
        <f>IF(OR(M407&lt;=0,J407&gt;=0),"",ABS(J407)/M407)</f>
        <v/>
      </c>
      <c r="O407" s="73" t="str">
        <f>IF(OR(A407="",M407&lt;=0,J407&gt;=0),"",MIN(M407,SUMPRODUCT(($A$18:$A$379=A407)*(IFERROR($B$18:$B$379&gt;=E407-30,0))*(IFERROR($B$18:$B$379&lt;=E407+30,0))*($G$18:$G$379&gt;0)*($L$18:$L$379&lt;&gt;L407)*($G$18:$G$379))+SUMPRODUCT(($A$381:$A$498=A407)*(IFERROR($B$381:$B$498&gt;=E407-30,0))*(IFERROR($B$381:$B$498&lt;=E407+30,0))*($G$381:$G$498&gt;0)*($L$381:$L$498&lt;&gt;L407)*($G$381:$G$498))))</f>
        <v/>
      </c>
      <c r="P407" s="29" t="str">
        <f>IF(OR(A407="",M407&lt;=0,J407&gt;=0),"",SUMPRODUCT(($A$18:$A$379=A407)*(IFERROR($B$18:$B$379&gt;=E407-30,0))*(IFERROR($B$18:$B$379&lt;=E407+30,0))*($G$18:$G$379&gt;0)*($L$18:$L$379&lt;&gt;L407))+SUMPRODUCT(($A$381:$A$498=A407)*(IFERROR($B$381:$B$498&gt;=E407-30,0))*(IFERROR($B$381:$B$498&lt;=E407+30,0))*($G$381:$G$498&gt;0)*($L$381:$L$498&lt;&gt;L407)))</f>
        <v/>
      </c>
      <c r="Q407" s="34" t="str">
        <f>IF(P407=1,IFERROR(INDEX($L$18:$L$379,MATCH(1,INDEX(($A$18:$A$379=A407)*(IFERROR($B$18:$B$379&gt;=E407-30,0))*(IFERROR($B$18:$B$379&lt;=E407+30,0))*($G$18:$G$379&gt;0)*($L$18:$L$379&lt;&gt;L407),0),0)),IFERROR(INDEX($L$381:$L$498,MATCH(1,INDEX(($A$381:$A$498=A407)*(IFERROR($B$381:$B$498&gt;=E407-30,0))*(IFERROR($B$381:$B$498&lt;=E407+30,0))*($G$381:$G$498&gt;0)*($L$381:$L$498&lt;&gt;L407),0),0)),"")),"")</f>
        <v/>
      </c>
      <c r="R407" s="35"/>
      <c r="S407" s="34" t="str">
        <f>IF(R407&lt;&gt;"",R407,Q407)</f>
        <v/>
      </c>
      <c r="T407" s="73">
        <f>IF(OR(N407="",O407=0),0,N407*O407)</f>
        <v>0</v>
      </c>
      <c r="U407" s="73">
        <f>IF(COUNTIF($S$18:$S$498,L407)=0,"",SUMIF($S$18:$S$498,L407,$T$18:$T$498))</f>
        <v>0</v>
      </c>
      <c r="V407" s="73" t="str">
        <f>IF(H407="","",IFERROR(H407+U407,H407))</f>
        <v/>
      </c>
      <c r="W407" s="73" t="str">
        <f>IF(OR(V407="",C407=""),"",V407/C407)</f>
        <v/>
      </c>
      <c r="X407" s="12" t="str">
        <f>IF(A407="","",IF(AND(U407&lt;&gt;"",U407&lt;&gt;0,M407=0),"Replacement lot receiving wash basis",IF(J407="","",IF(J407&gt;=0,"",IF(O407=0,"No replacement buy found",IF(P407&gt;1,"Manual selection needed","Auto matched"))))))</f>
        <v/>
      </c>
      <c r="Z407" t="str">
        <f>IF(K407="Yes",COUNTIF($K$18:K407,"Yes"),"")</f>
        <v/>
      </c>
    </row>
    <row r="408" spans="1:26" ht="34.15" hidden="1" customHeight="1" x14ac:dyDescent="0.2">
      <c r="A408" s="10"/>
      <c r="B408" s="71"/>
      <c r="C408" s="33"/>
      <c r="D408" s="72"/>
      <c r="E408" s="71"/>
      <c r="F408" s="72"/>
      <c r="G408" s="33"/>
      <c r="H408" s="73" t="str">
        <f>IF(OR(C408="",D408=""),"",C408*D408)</f>
        <v/>
      </c>
      <c r="I408" s="73" t="str">
        <f>IF(OR(E408="",F408="",M408&lt;=0),"",M408*F408)</f>
        <v/>
      </c>
      <c r="J408" s="73" t="str">
        <f>IF(I408="","",I408-(M408*D408))</f>
        <v/>
      </c>
      <c r="K408" s="29" t="str">
        <f>IF(A408="","",IF(T408&gt;0,"Yes","No"))</f>
        <v/>
      </c>
      <c r="L408" s="29" t="str">
        <f>IF(A408="","",A408&amp;"-"&amp;TEXT(B408,"yyyymmdd")&amp;"-R"&amp;ROW())</f>
        <v/>
      </c>
      <c r="M408" s="29" t="str">
        <f>IF(OR(C408="",G408=""),"",C408-G408)</f>
        <v/>
      </c>
      <c r="N408" s="73" t="str">
        <f>IF(OR(M408&lt;=0,J408&gt;=0),"",ABS(J408)/M408)</f>
        <v/>
      </c>
      <c r="O408" s="73" t="str">
        <f>IF(OR(A408="",M408&lt;=0,J408&gt;=0),"",MIN(M408,SUMPRODUCT(($A$18:$A$379=A408)*(IFERROR($B$18:$B$379&gt;=E408-30,0))*(IFERROR($B$18:$B$379&lt;=E408+30,0))*($G$18:$G$379&gt;0)*($L$18:$L$379&lt;&gt;L408)*($G$18:$G$379))+SUMPRODUCT(($A$381:$A$498=A408)*(IFERROR($B$381:$B$498&gt;=E408-30,0))*(IFERROR($B$381:$B$498&lt;=E408+30,0))*($G$381:$G$498&gt;0)*($L$381:$L$498&lt;&gt;L408)*($G$381:$G$498))))</f>
        <v/>
      </c>
      <c r="P408" s="29" t="str">
        <f>IF(OR(A408="",M408&lt;=0,J408&gt;=0),"",SUMPRODUCT(($A$18:$A$379=A408)*(IFERROR($B$18:$B$379&gt;=E408-30,0))*(IFERROR($B$18:$B$379&lt;=E408+30,0))*($G$18:$G$379&gt;0)*($L$18:$L$379&lt;&gt;L408))+SUMPRODUCT(($A$381:$A$498=A408)*(IFERROR($B$381:$B$498&gt;=E408-30,0))*(IFERROR($B$381:$B$498&lt;=E408+30,0))*($G$381:$G$498&gt;0)*($L$381:$L$498&lt;&gt;L408)))</f>
        <v/>
      </c>
      <c r="Q408" s="34" t="str">
        <f>IF(P408=1,IFERROR(INDEX($L$18:$L$379,MATCH(1,INDEX(($A$18:$A$379=A408)*(IFERROR($B$18:$B$379&gt;=E408-30,0))*(IFERROR($B$18:$B$379&lt;=E408+30,0))*($G$18:$G$379&gt;0)*($L$18:$L$379&lt;&gt;L408),0),0)),IFERROR(INDEX($L$381:$L$498,MATCH(1,INDEX(($A$381:$A$498=A408)*(IFERROR($B$381:$B$498&gt;=E408-30,0))*(IFERROR($B$381:$B$498&lt;=E408+30,0))*($G$381:$G$498&gt;0)*($L$381:$L$498&lt;&gt;L408),0),0)),"")),"")</f>
        <v/>
      </c>
      <c r="R408" s="35"/>
      <c r="S408" s="34" t="str">
        <f>IF(R408&lt;&gt;"",R408,Q408)</f>
        <v/>
      </c>
      <c r="T408" s="73">
        <f>IF(OR(N408="",O408=0),0,N408*O408)</f>
        <v>0</v>
      </c>
      <c r="U408" s="73">
        <f>IF(COUNTIF($S$18:$S$498,L408)=0,"",SUMIF($S$18:$S$498,L408,$T$18:$T$498))</f>
        <v>0</v>
      </c>
      <c r="V408" s="73" t="str">
        <f>IF(H408="","",IFERROR(H408+U408,H408))</f>
        <v/>
      </c>
      <c r="W408" s="73" t="str">
        <f>IF(OR(V408="",C408=""),"",V408/C408)</f>
        <v/>
      </c>
      <c r="X408" s="12" t="str">
        <f>IF(A408="","",IF(AND(U408&lt;&gt;"",U408&lt;&gt;0,M408=0),"Replacement lot receiving wash basis",IF(J408="","",IF(J408&gt;=0,"",IF(O408=0,"No replacement buy found",IF(P408&gt;1,"Manual selection needed","Auto matched"))))))</f>
        <v/>
      </c>
      <c r="Z408" t="str">
        <f>IF(K408="Yes",COUNTIF($K$18:K408,"Yes"),"")</f>
        <v/>
      </c>
    </row>
    <row r="409" spans="1:26" ht="34.15" hidden="1" customHeight="1" x14ac:dyDescent="0.2">
      <c r="A409" s="10"/>
      <c r="B409" s="71"/>
      <c r="C409" s="33"/>
      <c r="D409" s="72"/>
      <c r="E409" s="71"/>
      <c r="F409" s="72"/>
      <c r="G409" s="33"/>
      <c r="H409" s="73" t="str">
        <f>IF(OR(C409="",D409=""),"",C409*D409)</f>
        <v/>
      </c>
      <c r="I409" s="73" t="str">
        <f>IF(OR(E409="",F409="",M409&lt;=0),"",M409*F409)</f>
        <v/>
      </c>
      <c r="J409" s="73" t="str">
        <f>IF(I409="","",I409-(M409*D409))</f>
        <v/>
      </c>
      <c r="K409" s="29" t="str">
        <f>IF(A409="","",IF(T409&gt;0,"Yes","No"))</f>
        <v/>
      </c>
      <c r="L409" s="29" t="str">
        <f>IF(A409="","",A409&amp;"-"&amp;TEXT(B409,"yyyymmdd")&amp;"-R"&amp;ROW())</f>
        <v/>
      </c>
      <c r="M409" s="29" t="str">
        <f>IF(OR(C409="",G409=""),"",C409-G409)</f>
        <v/>
      </c>
      <c r="N409" s="73" t="str">
        <f>IF(OR(M409&lt;=0,J409&gt;=0),"",ABS(J409)/M409)</f>
        <v/>
      </c>
      <c r="O409" s="73" t="str">
        <f>IF(OR(A409="",M409&lt;=0,J409&gt;=0),"",MIN(M409,SUMPRODUCT(($A$18:$A$379=A409)*(IFERROR($B$18:$B$379&gt;=E409-30,0))*(IFERROR($B$18:$B$379&lt;=E409+30,0))*($G$18:$G$379&gt;0)*($L$18:$L$379&lt;&gt;L409)*($G$18:$G$379))+SUMPRODUCT(($A$381:$A$498=A409)*(IFERROR($B$381:$B$498&gt;=E409-30,0))*(IFERROR($B$381:$B$498&lt;=E409+30,0))*($G$381:$G$498&gt;0)*($L$381:$L$498&lt;&gt;L409)*($G$381:$G$498))))</f>
        <v/>
      </c>
      <c r="P409" s="29" t="str">
        <f>IF(OR(A409="",M409&lt;=0,J409&gt;=0),"",SUMPRODUCT(($A$18:$A$379=A409)*(IFERROR($B$18:$B$379&gt;=E409-30,0))*(IFERROR($B$18:$B$379&lt;=E409+30,0))*($G$18:$G$379&gt;0)*($L$18:$L$379&lt;&gt;L409))+SUMPRODUCT(($A$381:$A$498=A409)*(IFERROR($B$381:$B$498&gt;=E409-30,0))*(IFERROR($B$381:$B$498&lt;=E409+30,0))*($G$381:$G$498&gt;0)*($L$381:$L$498&lt;&gt;L409)))</f>
        <v/>
      </c>
      <c r="Q409" s="34" t="str">
        <f>IF(P409=1,IFERROR(INDEX($L$18:$L$379,MATCH(1,INDEX(($A$18:$A$379=A409)*(IFERROR($B$18:$B$379&gt;=E409-30,0))*(IFERROR($B$18:$B$379&lt;=E409+30,0))*($G$18:$G$379&gt;0)*($L$18:$L$379&lt;&gt;L409),0),0)),IFERROR(INDEX($L$381:$L$498,MATCH(1,INDEX(($A$381:$A$498=A409)*(IFERROR($B$381:$B$498&gt;=E409-30,0))*(IFERROR($B$381:$B$498&lt;=E409+30,0))*($G$381:$G$498&gt;0)*($L$381:$L$498&lt;&gt;L409),0),0)),"")),"")</f>
        <v/>
      </c>
      <c r="R409" s="35"/>
      <c r="S409" s="34" t="str">
        <f>IF(R409&lt;&gt;"",R409,Q409)</f>
        <v/>
      </c>
      <c r="T409" s="73">
        <f>IF(OR(N409="",O409=0),0,N409*O409)</f>
        <v>0</v>
      </c>
      <c r="U409" s="73">
        <f>IF(COUNTIF($S$18:$S$498,L409)=0,"",SUMIF($S$18:$S$498,L409,$T$18:$T$498))</f>
        <v>0</v>
      </c>
      <c r="V409" s="73" t="str">
        <f>IF(H409="","",IFERROR(H409+U409,H409))</f>
        <v/>
      </c>
      <c r="W409" s="73" t="str">
        <f>IF(OR(V409="",C409=""),"",V409/C409)</f>
        <v/>
      </c>
      <c r="X409" s="12" t="str">
        <f>IF(A409="","",IF(AND(U409&lt;&gt;"",U409&lt;&gt;0,M409=0),"Replacement lot receiving wash basis",IF(J409="","",IF(J409&gt;=0,"",IF(O409=0,"No replacement buy found",IF(P409&gt;1,"Manual selection needed","Auto matched"))))))</f>
        <v/>
      </c>
      <c r="Z409" t="str">
        <f>IF(K409="Yes",COUNTIF($K$18:K409,"Yes"),"")</f>
        <v/>
      </c>
    </row>
    <row r="410" spans="1:26" ht="34.15" hidden="1" customHeight="1" x14ac:dyDescent="0.2">
      <c r="A410" s="10"/>
      <c r="B410" s="71"/>
      <c r="C410" s="33"/>
      <c r="D410" s="72"/>
      <c r="E410" s="71"/>
      <c r="F410" s="72"/>
      <c r="G410" s="33"/>
      <c r="H410" s="73" t="str">
        <f>IF(OR(C410="",D410=""),"",C410*D410)</f>
        <v/>
      </c>
      <c r="I410" s="73" t="str">
        <f>IF(OR(E410="",F410="",M410&lt;=0),"",M410*F410)</f>
        <v/>
      </c>
      <c r="J410" s="73" t="str">
        <f>IF(I410="","",I410-(M410*D410))</f>
        <v/>
      </c>
      <c r="K410" s="29" t="str">
        <f>IF(A410="","",IF(T410&gt;0,"Yes","No"))</f>
        <v/>
      </c>
      <c r="L410" s="29" t="str">
        <f>IF(A410="","",A410&amp;"-"&amp;TEXT(B410,"yyyymmdd")&amp;"-R"&amp;ROW())</f>
        <v/>
      </c>
      <c r="M410" s="29" t="str">
        <f>IF(OR(C410="",G410=""),"",C410-G410)</f>
        <v/>
      </c>
      <c r="N410" s="73" t="str">
        <f>IF(OR(M410&lt;=0,J410&gt;=0),"",ABS(J410)/M410)</f>
        <v/>
      </c>
      <c r="O410" s="73" t="str">
        <f>IF(OR(A410="",M410&lt;=0,J410&gt;=0),"",MIN(M410,SUMPRODUCT(($A$18:$A$379=A410)*(IFERROR($B$18:$B$379&gt;=E410-30,0))*(IFERROR($B$18:$B$379&lt;=E410+30,0))*($G$18:$G$379&gt;0)*($L$18:$L$379&lt;&gt;L410)*($G$18:$G$379))+SUMPRODUCT(($A$381:$A$498=A410)*(IFERROR($B$381:$B$498&gt;=E410-30,0))*(IFERROR($B$381:$B$498&lt;=E410+30,0))*($G$381:$G$498&gt;0)*($L$381:$L$498&lt;&gt;L410)*($G$381:$G$498))))</f>
        <v/>
      </c>
      <c r="P410" s="29" t="str">
        <f>IF(OR(A410="",M410&lt;=0,J410&gt;=0),"",SUMPRODUCT(($A$18:$A$379=A410)*(IFERROR($B$18:$B$379&gt;=E410-30,0))*(IFERROR($B$18:$B$379&lt;=E410+30,0))*($G$18:$G$379&gt;0)*($L$18:$L$379&lt;&gt;L410))+SUMPRODUCT(($A$381:$A$498=A410)*(IFERROR($B$381:$B$498&gt;=E410-30,0))*(IFERROR($B$381:$B$498&lt;=E410+30,0))*($G$381:$G$498&gt;0)*($L$381:$L$498&lt;&gt;L410)))</f>
        <v/>
      </c>
      <c r="Q410" s="34" t="str">
        <f>IF(P410=1,IFERROR(INDEX($L$18:$L$379,MATCH(1,INDEX(($A$18:$A$379=A410)*(IFERROR($B$18:$B$379&gt;=E410-30,0))*(IFERROR($B$18:$B$379&lt;=E410+30,0))*($G$18:$G$379&gt;0)*($L$18:$L$379&lt;&gt;L410),0),0)),IFERROR(INDEX($L$381:$L$498,MATCH(1,INDEX(($A$381:$A$498=A410)*(IFERROR($B$381:$B$498&gt;=E410-30,0))*(IFERROR($B$381:$B$498&lt;=E410+30,0))*($G$381:$G$498&gt;0)*($L$381:$L$498&lt;&gt;L410),0),0)),"")),"")</f>
        <v/>
      </c>
      <c r="R410" s="35"/>
      <c r="S410" s="34" t="str">
        <f>IF(R410&lt;&gt;"",R410,Q410)</f>
        <v/>
      </c>
      <c r="T410" s="73">
        <f>IF(OR(N410="",O410=0),0,N410*O410)</f>
        <v>0</v>
      </c>
      <c r="U410" s="73">
        <f>IF(COUNTIF($S$18:$S$498,L410)=0,"",SUMIF($S$18:$S$498,L410,$T$18:$T$498))</f>
        <v>0</v>
      </c>
      <c r="V410" s="73" t="str">
        <f>IF(H410="","",IFERROR(H410+U410,H410))</f>
        <v/>
      </c>
      <c r="W410" s="73" t="str">
        <f>IF(OR(V410="",C410=""),"",V410/C410)</f>
        <v/>
      </c>
      <c r="X410" s="12" t="str">
        <f>IF(A410="","",IF(AND(U410&lt;&gt;"",U410&lt;&gt;0,M410=0),"Replacement lot receiving wash basis",IF(J410="","",IF(J410&gt;=0,"",IF(O410=0,"No replacement buy found",IF(P410&gt;1,"Manual selection needed","Auto matched"))))))</f>
        <v/>
      </c>
      <c r="Z410" t="str">
        <f>IF(K410="Yes",COUNTIF($K$18:K410,"Yes"),"")</f>
        <v/>
      </c>
    </row>
    <row r="411" spans="1:26" ht="34.15" hidden="1" customHeight="1" x14ac:dyDescent="0.2">
      <c r="A411" s="10"/>
      <c r="B411" s="71"/>
      <c r="C411" s="33"/>
      <c r="D411" s="72"/>
      <c r="E411" s="71"/>
      <c r="F411" s="72"/>
      <c r="G411" s="33"/>
      <c r="H411" s="73" t="str">
        <f>IF(OR(C411="",D411=""),"",C411*D411)</f>
        <v/>
      </c>
      <c r="I411" s="73" t="str">
        <f>IF(OR(E411="",F411="",M411&lt;=0),"",M411*F411)</f>
        <v/>
      </c>
      <c r="J411" s="73" t="str">
        <f>IF(I411="","",I411-(M411*D411))</f>
        <v/>
      </c>
      <c r="K411" s="29" t="str">
        <f>IF(A411="","",IF(T411&gt;0,"Yes","No"))</f>
        <v/>
      </c>
      <c r="L411" s="29" t="str">
        <f>IF(A411="","",A411&amp;"-"&amp;TEXT(B411,"yyyymmdd")&amp;"-R"&amp;ROW())</f>
        <v/>
      </c>
      <c r="M411" s="29" t="str">
        <f>IF(OR(C411="",G411=""),"",C411-G411)</f>
        <v/>
      </c>
      <c r="N411" s="73" t="str">
        <f>IF(OR(M411&lt;=0,J411&gt;=0),"",ABS(J411)/M411)</f>
        <v/>
      </c>
      <c r="O411" s="73" t="str">
        <f>IF(OR(A411="",M411&lt;=0,J411&gt;=0),"",MIN(M411,SUMPRODUCT(($A$18:$A$379=A411)*(IFERROR($B$18:$B$379&gt;=E411-30,0))*(IFERROR($B$18:$B$379&lt;=E411+30,0))*($G$18:$G$379&gt;0)*($L$18:$L$379&lt;&gt;L411)*($G$18:$G$379))+SUMPRODUCT(($A$381:$A$498=A411)*(IFERROR($B$381:$B$498&gt;=E411-30,0))*(IFERROR($B$381:$B$498&lt;=E411+30,0))*($G$381:$G$498&gt;0)*($L$381:$L$498&lt;&gt;L411)*($G$381:$G$498))))</f>
        <v/>
      </c>
      <c r="P411" s="29" t="str">
        <f>IF(OR(A411="",M411&lt;=0,J411&gt;=0),"",SUMPRODUCT(($A$18:$A$379=A411)*(IFERROR($B$18:$B$379&gt;=E411-30,0))*(IFERROR($B$18:$B$379&lt;=E411+30,0))*($G$18:$G$379&gt;0)*($L$18:$L$379&lt;&gt;L411))+SUMPRODUCT(($A$381:$A$498=A411)*(IFERROR($B$381:$B$498&gt;=E411-30,0))*(IFERROR($B$381:$B$498&lt;=E411+30,0))*($G$381:$G$498&gt;0)*($L$381:$L$498&lt;&gt;L411)))</f>
        <v/>
      </c>
      <c r="Q411" s="34" t="str">
        <f>IF(P411=1,IFERROR(INDEX($L$18:$L$379,MATCH(1,INDEX(($A$18:$A$379=A411)*(IFERROR($B$18:$B$379&gt;=E411-30,0))*(IFERROR($B$18:$B$379&lt;=E411+30,0))*($G$18:$G$379&gt;0)*($L$18:$L$379&lt;&gt;L411),0),0)),IFERROR(INDEX($L$381:$L$498,MATCH(1,INDEX(($A$381:$A$498=A411)*(IFERROR($B$381:$B$498&gt;=E411-30,0))*(IFERROR($B$381:$B$498&lt;=E411+30,0))*($G$381:$G$498&gt;0)*($L$381:$L$498&lt;&gt;L411),0),0)),"")),"")</f>
        <v/>
      </c>
      <c r="R411" s="35"/>
      <c r="S411" s="34" t="str">
        <f>IF(R411&lt;&gt;"",R411,Q411)</f>
        <v/>
      </c>
      <c r="T411" s="73">
        <f>IF(OR(N411="",O411=0),0,N411*O411)</f>
        <v>0</v>
      </c>
      <c r="U411" s="73">
        <f>IF(COUNTIF($S$18:$S$498,L411)=0,"",SUMIF($S$18:$S$498,L411,$T$18:$T$498))</f>
        <v>0</v>
      </c>
      <c r="V411" s="73" t="str">
        <f>IF(H411="","",IFERROR(H411+U411,H411))</f>
        <v/>
      </c>
      <c r="W411" s="73" t="str">
        <f>IF(OR(V411="",C411=""),"",V411/C411)</f>
        <v/>
      </c>
      <c r="X411" s="12" t="str">
        <f>IF(A411="","",IF(AND(U411&lt;&gt;"",U411&lt;&gt;0,M411=0),"Replacement lot receiving wash basis",IF(J411="","",IF(J411&gt;=0,"",IF(O411=0,"No replacement buy found",IF(P411&gt;1,"Manual selection needed","Auto matched"))))))</f>
        <v/>
      </c>
      <c r="Z411" t="str">
        <f>IF(K411="Yes",COUNTIF($K$18:K411,"Yes"),"")</f>
        <v/>
      </c>
    </row>
    <row r="412" spans="1:26" ht="34.15" hidden="1" customHeight="1" x14ac:dyDescent="0.2">
      <c r="A412" s="10"/>
      <c r="B412" s="71"/>
      <c r="C412" s="33"/>
      <c r="D412" s="72"/>
      <c r="E412" s="71"/>
      <c r="F412" s="72"/>
      <c r="G412" s="33"/>
      <c r="H412" s="73" t="str">
        <f>IF(OR(C412="",D412=""),"",C412*D412)</f>
        <v/>
      </c>
      <c r="I412" s="73" t="str">
        <f>IF(OR(E412="",F412="",M412&lt;=0),"",M412*F412)</f>
        <v/>
      </c>
      <c r="J412" s="73" t="str">
        <f>IF(I412="","",I412-(M412*D412))</f>
        <v/>
      </c>
      <c r="K412" s="29" t="str">
        <f>IF(A412="","",IF(T412&gt;0,"Yes","No"))</f>
        <v/>
      </c>
      <c r="L412" s="29" t="str">
        <f>IF(A412="","",A412&amp;"-"&amp;TEXT(B412,"yyyymmdd")&amp;"-R"&amp;ROW())</f>
        <v/>
      </c>
      <c r="M412" s="29" t="str">
        <f>IF(OR(C412="",G412=""),"",C412-G412)</f>
        <v/>
      </c>
      <c r="N412" s="73" t="str">
        <f>IF(OR(M412&lt;=0,J412&gt;=0),"",ABS(J412)/M412)</f>
        <v/>
      </c>
      <c r="O412" s="73" t="str">
        <f>IF(OR(A412="",M412&lt;=0,J412&gt;=0),"",MIN(M412,SUMPRODUCT(($A$18:$A$379=A412)*(IFERROR($B$18:$B$379&gt;=E412-30,0))*(IFERROR($B$18:$B$379&lt;=E412+30,0))*($G$18:$G$379&gt;0)*($L$18:$L$379&lt;&gt;L412)*($G$18:$G$379))+SUMPRODUCT(($A$381:$A$498=A412)*(IFERROR($B$381:$B$498&gt;=E412-30,0))*(IFERROR($B$381:$B$498&lt;=E412+30,0))*($G$381:$G$498&gt;0)*($L$381:$L$498&lt;&gt;L412)*($G$381:$G$498))))</f>
        <v/>
      </c>
      <c r="P412" s="29" t="str">
        <f>IF(OR(A412="",M412&lt;=0,J412&gt;=0),"",SUMPRODUCT(($A$18:$A$379=A412)*(IFERROR($B$18:$B$379&gt;=E412-30,0))*(IFERROR($B$18:$B$379&lt;=E412+30,0))*($G$18:$G$379&gt;0)*($L$18:$L$379&lt;&gt;L412))+SUMPRODUCT(($A$381:$A$498=A412)*(IFERROR($B$381:$B$498&gt;=E412-30,0))*(IFERROR($B$381:$B$498&lt;=E412+30,0))*($G$381:$G$498&gt;0)*($L$381:$L$498&lt;&gt;L412)))</f>
        <v/>
      </c>
      <c r="Q412" s="34" t="str">
        <f>IF(P412=1,IFERROR(INDEX($L$18:$L$379,MATCH(1,INDEX(($A$18:$A$379=A412)*(IFERROR($B$18:$B$379&gt;=E412-30,0))*(IFERROR($B$18:$B$379&lt;=E412+30,0))*($G$18:$G$379&gt;0)*($L$18:$L$379&lt;&gt;L412),0),0)),IFERROR(INDEX($L$381:$L$498,MATCH(1,INDEX(($A$381:$A$498=A412)*(IFERROR($B$381:$B$498&gt;=E412-30,0))*(IFERROR($B$381:$B$498&lt;=E412+30,0))*($G$381:$G$498&gt;0)*($L$381:$L$498&lt;&gt;L412),0),0)),"")),"")</f>
        <v/>
      </c>
      <c r="R412" s="35"/>
      <c r="S412" s="34" t="str">
        <f>IF(R412&lt;&gt;"",R412,Q412)</f>
        <v/>
      </c>
      <c r="T412" s="73">
        <f>IF(OR(N412="",O412=0),0,N412*O412)</f>
        <v>0</v>
      </c>
      <c r="U412" s="73">
        <f>IF(COUNTIF($S$18:$S$498,L412)=0,"",SUMIF($S$18:$S$498,L412,$T$18:$T$498))</f>
        <v>0</v>
      </c>
      <c r="V412" s="73" t="str">
        <f>IF(H412="","",IFERROR(H412+U412,H412))</f>
        <v/>
      </c>
      <c r="W412" s="73" t="str">
        <f>IF(OR(V412="",C412=""),"",V412/C412)</f>
        <v/>
      </c>
      <c r="X412" s="12" t="str">
        <f>IF(A412="","",IF(AND(U412&lt;&gt;"",U412&lt;&gt;0,M412=0),"Replacement lot receiving wash basis",IF(J412="","",IF(J412&gt;=0,"",IF(O412=0,"No replacement buy found",IF(P412&gt;1,"Manual selection needed","Auto matched"))))))</f>
        <v/>
      </c>
      <c r="Z412" t="str">
        <f>IF(K412="Yes",COUNTIF($K$18:K412,"Yes"),"")</f>
        <v/>
      </c>
    </row>
    <row r="413" spans="1:26" ht="34.15" hidden="1" customHeight="1" x14ac:dyDescent="0.2">
      <c r="A413" s="10"/>
      <c r="B413" s="71"/>
      <c r="C413" s="33"/>
      <c r="D413" s="72"/>
      <c r="E413" s="71"/>
      <c r="F413" s="72"/>
      <c r="G413" s="33"/>
      <c r="H413" s="73" t="str">
        <f>IF(OR(C413="",D413=""),"",C413*D413)</f>
        <v/>
      </c>
      <c r="I413" s="73" t="str">
        <f>IF(OR(E413="",F413="",M413&lt;=0),"",M413*F413)</f>
        <v/>
      </c>
      <c r="J413" s="73" t="str">
        <f>IF(I413="","",I413-(M413*D413))</f>
        <v/>
      </c>
      <c r="K413" s="29" t="str">
        <f>IF(A413="","",IF(T413&gt;0,"Yes","No"))</f>
        <v/>
      </c>
      <c r="L413" s="29" t="str">
        <f>IF(A413="","",A413&amp;"-"&amp;TEXT(B413,"yyyymmdd")&amp;"-R"&amp;ROW())</f>
        <v/>
      </c>
      <c r="M413" s="29" t="str">
        <f>IF(OR(C413="",G413=""),"",C413-G413)</f>
        <v/>
      </c>
      <c r="N413" s="73" t="str">
        <f>IF(OR(M413&lt;=0,J413&gt;=0),"",ABS(J413)/M413)</f>
        <v/>
      </c>
      <c r="O413" s="73" t="str">
        <f>IF(OR(A413="",M413&lt;=0,J413&gt;=0),"",MIN(M413,SUMPRODUCT(($A$18:$A$379=A413)*(IFERROR($B$18:$B$379&gt;=E413-30,0))*(IFERROR($B$18:$B$379&lt;=E413+30,0))*($G$18:$G$379&gt;0)*($L$18:$L$379&lt;&gt;L413)*($G$18:$G$379))+SUMPRODUCT(($A$381:$A$498=A413)*(IFERROR($B$381:$B$498&gt;=E413-30,0))*(IFERROR($B$381:$B$498&lt;=E413+30,0))*($G$381:$G$498&gt;0)*($L$381:$L$498&lt;&gt;L413)*($G$381:$G$498))))</f>
        <v/>
      </c>
      <c r="P413" s="29" t="str">
        <f>IF(OR(A413="",M413&lt;=0,J413&gt;=0),"",SUMPRODUCT(($A$18:$A$379=A413)*(IFERROR($B$18:$B$379&gt;=E413-30,0))*(IFERROR($B$18:$B$379&lt;=E413+30,0))*($G$18:$G$379&gt;0)*($L$18:$L$379&lt;&gt;L413))+SUMPRODUCT(($A$381:$A$498=A413)*(IFERROR($B$381:$B$498&gt;=E413-30,0))*(IFERROR($B$381:$B$498&lt;=E413+30,0))*($G$381:$G$498&gt;0)*($L$381:$L$498&lt;&gt;L413)))</f>
        <v/>
      </c>
      <c r="Q413" s="34" t="str">
        <f>IF(P413=1,IFERROR(INDEX($L$18:$L$379,MATCH(1,INDEX(($A$18:$A$379=A413)*(IFERROR($B$18:$B$379&gt;=E413-30,0))*(IFERROR($B$18:$B$379&lt;=E413+30,0))*($G$18:$G$379&gt;0)*($L$18:$L$379&lt;&gt;L413),0),0)),IFERROR(INDEX($L$381:$L$498,MATCH(1,INDEX(($A$381:$A$498=A413)*(IFERROR($B$381:$B$498&gt;=E413-30,0))*(IFERROR($B$381:$B$498&lt;=E413+30,0))*($G$381:$G$498&gt;0)*($L$381:$L$498&lt;&gt;L413),0),0)),"")),"")</f>
        <v/>
      </c>
      <c r="R413" s="35"/>
      <c r="S413" s="34" t="str">
        <f>IF(R413&lt;&gt;"",R413,Q413)</f>
        <v/>
      </c>
      <c r="T413" s="73">
        <f>IF(OR(N413="",O413=0),0,N413*O413)</f>
        <v>0</v>
      </c>
      <c r="U413" s="73">
        <f>IF(COUNTIF($S$18:$S$498,L413)=0,"",SUMIF($S$18:$S$498,L413,$T$18:$T$498))</f>
        <v>0</v>
      </c>
      <c r="V413" s="73" t="str">
        <f>IF(H413="","",IFERROR(H413+U413,H413))</f>
        <v/>
      </c>
      <c r="W413" s="73" t="str">
        <f>IF(OR(V413="",C413=""),"",V413/C413)</f>
        <v/>
      </c>
      <c r="X413" s="12" t="str">
        <f>IF(A413="","",IF(AND(U413&lt;&gt;"",U413&lt;&gt;0,M413=0),"Replacement lot receiving wash basis",IF(J413="","",IF(J413&gt;=0,"",IF(O413=0,"No replacement buy found",IF(P413&gt;1,"Manual selection needed","Auto matched"))))))</f>
        <v/>
      </c>
      <c r="Z413" t="str">
        <f>IF(K413="Yes",COUNTIF($K$18:K413,"Yes"),"")</f>
        <v/>
      </c>
    </row>
    <row r="414" spans="1:26" ht="34.15" hidden="1" customHeight="1" x14ac:dyDescent="0.2">
      <c r="A414" s="10"/>
      <c r="B414" s="71"/>
      <c r="C414" s="33"/>
      <c r="D414" s="72"/>
      <c r="E414" s="71"/>
      <c r="F414" s="72"/>
      <c r="G414" s="33"/>
      <c r="H414" s="73" t="str">
        <f>IF(OR(C414="",D414=""),"",C414*D414)</f>
        <v/>
      </c>
      <c r="I414" s="73" t="str">
        <f>IF(OR(E414="",F414="",M414&lt;=0),"",M414*F414)</f>
        <v/>
      </c>
      <c r="J414" s="73" t="str">
        <f>IF(I414="","",I414-(M414*D414))</f>
        <v/>
      </c>
      <c r="K414" s="29" t="str">
        <f>IF(A414="","",IF(T414&gt;0,"Yes","No"))</f>
        <v/>
      </c>
      <c r="L414" s="29" t="str">
        <f>IF(A414="","",A414&amp;"-"&amp;TEXT(B414,"yyyymmdd")&amp;"-R"&amp;ROW())</f>
        <v/>
      </c>
      <c r="M414" s="29" t="str">
        <f>IF(OR(C414="",G414=""),"",C414-G414)</f>
        <v/>
      </c>
      <c r="N414" s="73" t="str">
        <f>IF(OR(M414&lt;=0,J414&gt;=0),"",ABS(J414)/M414)</f>
        <v/>
      </c>
      <c r="O414" s="73" t="str">
        <f>IF(OR(A414="",M414&lt;=0,J414&gt;=0),"",MIN(M414,SUMPRODUCT(($A$18:$A$379=A414)*(IFERROR($B$18:$B$379&gt;=E414-30,0))*(IFERROR($B$18:$B$379&lt;=E414+30,0))*($G$18:$G$379&gt;0)*($L$18:$L$379&lt;&gt;L414)*($G$18:$G$379))+SUMPRODUCT(($A$381:$A$498=A414)*(IFERROR($B$381:$B$498&gt;=E414-30,0))*(IFERROR($B$381:$B$498&lt;=E414+30,0))*($G$381:$G$498&gt;0)*($L$381:$L$498&lt;&gt;L414)*($G$381:$G$498))))</f>
        <v/>
      </c>
      <c r="P414" s="29" t="str">
        <f>IF(OR(A414="",M414&lt;=0,J414&gt;=0),"",SUMPRODUCT(($A$18:$A$379=A414)*(IFERROR($B$18:$B$379&gt;=E414-30,0))*(IFERROR($B$18:$B$379&lt;=E414+30,0))*($G$18:$G$379&gt;0)*($L$18:$L$379&lt;&gt;L414))+SUMPRODUCT(($A$381:$A$498=A414)*(IFERROR($B$381:$B$498&gt;=E414-30,0))*(IFERROR($B$381:$B$498&lt;=E414+30,0))*($G$381:$G$498&gt;0)*($L$381:$L$498&lt;&gt;L414)))</f>
        <v/>
      </c>
      <c r="Q414" s="34" t="str">
        <f>IF(P414=1,IFERROR(INDEX($L$18:$L$379,MATCH(1,INDEX(($A$18:$A$379=A414)*(IFERROR($B$18:$B$379&gt;=E414-30,0))*(IFERROR($B$18:$B$379&lt;=E414+30,0))*($G$18:$G$379&gt;0)*($L$18:$L$379&lt;&gt;L414),0),0)),IFERROR(INDEX($L$381:$L$498,MATCH(1,INDEX(($A$381:$A$498=A414)*(IFERROR($B$381:$B$498&gt;=E414-30,0))*(IFERROR($B$381:$B$498&lt;=E414+30,0))*($G$381:$G$498&gt;0)*($L$381:$L$498&lt;&gt;L414),0),0)),"")),"")</f>
        <v/>
      </c>
      <c r="R414" s="35"/>
      <c r="S414" s="34" t="str">
        <f>IF(R414&lt;&gt;"",R414,Q414)</f>
        <v/>
      </c>
      <c r="T414" s="73">
        <f>IF(OR(N414="",O414=0),0,N414*O414)</f>
        <v>0</v>
      </c>
      <c r="U414" s="73">
        <f>IF(COUNTIF($S$18:$S$498,L414)=0,"",SUMIF($S$18:$S$498,L414,$T$18:$T$498))</f>
        <v>0</v>
      </c>
      <c r="V414" s="73" t="str">
        <f>IF(H414="","",IFERROR(H414+U414,H414))</f>
        <v/>
      </c>
      <c r="W414" s="73" t="str">
        <f>IF(OR(V414="",C414=""),"",V414/C414)</f>
        <v/>
      </c>
      <c r="X414" s="12" t="str">
        <f>IF(A414="","",IF(AND(U414&lt;&gt;"",U414&lt;&gt;0,M414=0),"Replacement lot receiving wash basis",IF(J414="","",IF(J414&gt;=0,"",IF(O414=0,"No replacement buy found",IF(P414&gt;1,"Manual selection needed","Auto matched"))))))</f>
        <v/>
      </c>
      <c r="Z414" t="str">
        <f>IF(K414="Yes",COUNTIF($K$18:K414,"Yes"),"")</f>
        <v/>
      </c>
    </row>
    <row r="415" spans="1:26" ht="34.15" hidden="1" customHeight="1" x14ac:dyDescent="0.2">
      <c r="A415" s="10"/>
      <c r="B415" s="71"/>
      <c r="C415" s="33"/>
      <c r="D415" s="72"/>
      <c r="E415" s="71"/>
      <c r="F415" s="72"/>
      <c r="G415" s="33"/>
      <c r="H415" s="73" t="str">
        <f>IF(OR(C415="",D415=""),"",C415*D415)</f>
        <v/>
      </c>
      <c r="I415" s="73" t="str">
        <f>IF(OR(E415="",F415="",M415&lt;=0),"",M415*F415)</f>
        <v/>
      </c>
      <c r="J415" s="73" t="str">
        <f>IF(I415="","",I415-(M415*D415))</f>
        <v/>
      </c>
      <c r="K415" s="29" t="str">
        <f>IF(A415="","",IF(T415&gt;0,"Yes","No"))</f>
        <v/>
      </c>
      <c r="L415" s="29" t="str">
        <f>IF(A415="","",A415&amp;"-"&amp;TEXT(B415,"yyyymmdd")&amp;"-R"&amp;ROW())</f>
        <v/>
      </c>
      <c r="M415" s="29" t="str">
        <f>IF(OR(C415="",G415=""),"",C415-G415)</f>
        <v/>
      </c>
      <c r="N415" s="73" t="str">
        <f>IF(OR(M415&lt;=0,J415&gt;=0),"",ABS(J415)/M415)</f>
        <v/>
      </c>
      <c r="O415" s="73" t="str">
        <f>IF(OR(A415="",M415&lt;=0,J415&gt;=0),"",MIN(M415,SUMPRODUCT(($A$18:$A$379=A415)*(IFERROR($B$18:$B$379&gt;=E415-30,0))*(IFERROR($B$18:$B$379&lt;=E415+30,0))*($G$18:$G$379&gt;0)*($L$18:$L$379&lt;&gt;L415)*($G$18:$G$379))+SUMPRODUCT(($A$381:$A$498=A415)*(IFERROR($B$381:$B$498&gt;=E415-30,0))*(IFERROR($B$381:$B$498&lt;=E415+30,0))*($G$381:$G$498&gt;0)*($L$381:$L$498&lt;&gt;L415)*($G$381:$G$498))))</f>
        <v/>
      </c>
      <c r="P415" s="29" t="str">
        <f>IF(OR(A415="",M415&lt;=0,J415&gt;=0),"",SUMPRODUCT(($A$18:$A$379=A415)*(IFERROR($B$18:$B$379&gt;=E415-30,0))*(IFERROR($B$18:$B$379&lt;=E415+30,0))*($G$18:$G$379&gt;0)*($L$18:$L$379&lt;&gt;L415))+SUMPRODUCT(($A$381:$A$498=A415)*(IFERROR($B$381:$B$498&gt;=E415-30,0))*(IFERROR($B$381:$B$498&lt;=E415+30,0))*($G$381:$G$498&gt;0)*($L$381:$L$498&lt;&gt;L415)))</f>
        <v/>
      </c>
      <c r="Q415" s="34" t="str">
        <f>IF(P415=1,IFERROR(INDEX($L$18:$L$379,MATCH(1,INDEX(($A$18:$A$379=A415)*(IFERROR($B$18:$B$379&gt;=E415-30,0))*(IFERROR($B$18:$B$379&lt;=E415+30,0))*($G$18:$G$379&gt;0)*($L$18:$L$379&lt;&gt;L415),0),0)),IFERROR(INDEX($L$381:$L$498,MATCH(1,INDEX(($A$381:$A$498=A415)*(IFERROR($B$381:$B$498&gt;=E415-30,0))*(IFERROR($B$381:$B$498&lt;=E415+30,0))*($G$381:$G$498&gt;0)*($L$381:$L$498&lt;&gt;L415),0),0)),"")),"")</f>
        <v/>
      </c>
      <c r="R415" s="35"/>
      <c r="S415" s="34" t="str">
        <f>IF(R415&lt;&gt;"",R415,Q415)</f>
        <v/>
      </c>
      <c r="T415" s="73">
        <f>IF(OR(N415="",O415=0),0,N415*O415)</f>
        <v>0</v>
      </c>
      <c r="U415" s="73">
        <f>IF(COUNTIF($S$18:$S$498,L415)=0,"",SUMIF($S$18:$S$498,L415,$T$18:$T$498))</f>
        <v>0</v>
      </c>
      <c r="V415" s="73" t="str">
        <f>IF(H415="","",IFERROR(H415+U415,H415))</f>
        <v/>
      </c>
      <c r="W415" s="73" t="str">
        <f>IF(OR(V415="",C415=""),"",V415/C415)</f>
        <v/>
      </c>
      <c r="X415" s="12" t="str">
        <f>IF(A415="","",IF(AND(U415&lt;&gt;"",U415&lt;&gt;0,M415=0),"Replacement lot receiving wash basis",IF(J415="","",IF(J415&gt;=0,"",IF(O415=0,"No replacement buy found",IF(P415&gt;1,"Manual selection needed","Auto matched"))))))</f>
        <v/>
      </c>
      <c r="Z415" t="str">
        <f>IF(K415="Yes",COUNTIF($K$18:K415,"Yes"),"")</f>
        <v/>
      </c>
    </row>
    <row r="416" spans="1:26" ht="34.15" hidden="1" customHeight="1" x14ac:dyDescent="0.2">
      <c r="A416" s="10"/>
      <c r="B416" s="71"/>
      <c r="C416" s="33"/>
      <c r="D416" s="72"/>
      <c r="E416" s="71"/>
      <c r="F416" s="72"/>
      <c r="G416" s="33"/>
      <c r="H416" s="73" t="str">
        <f>IF(OR(C416="",D416=""),"",C416*D416)</f>
        <v/>
      </c>
      <c r="I416" s="73" t="str">
        <f>IF(OR(E416="",F416="",M416&lt;=0),"",M416*F416)</f>
        <v/>
      </c>
      <c r="J416" s="73" t="str">
        <f>IF(I416="","",I416-(M416*D416))</f>
        <v/>
      </c>
      <c r="K416" s="29" t="str">
        <f>IF(A416="","",IF(T416&gt;0,"Yes","No"))</f>
        <v/>
      </c>
      <c r="L416" s="29" t="str">
        <f>IF(A416="","",A416&amp;"-"&amp;TEXT(B416,"yyyymmdd")&amp;"-R"&amp;ROW())</f>
        <v/>
      </c>
      <c r="M416" s="29" t="str">
        <f>IF(OR(C416="",G416=""),"",C416-G416)</f>
        <v/>
      </c>
      <c r="N416" s="73" t="str">
        <f>IF(OR(M416&lt;=0,J416&gt;=0),"",ABS(J416)/M416)</f>
        <v/>
      </c>
      <c r="O416" s="73" t="str">
        <f>IF(OR(A416="",M416&lt;=0,J416&gt;=0),"",MIN(M416,SUMPRODUCT(($A$18:$A$379=A416)*(IFERROR($B$18:$B$379&gt;=E416-30,0))*(IFERROR($B$18:$B$379&lt;=E416+30,0))*($G$18:$G$379&gt;0)*($L$18:$L$379&lt;&gt;L416)*($G$18:$G$379))+SUMPRODUCT(($A$381:$A$498=A416)*(IFERROR($B$381:$B$498&gt;=E416-30,0))*(IFERROR($B$381:$B$498&lt;=E416+30,0))*($G$381:$G$498&gt;0)*($L$381:$L$498&lt;&gt;L416)*($G$381:$G$498))))</f>
        <v/>
      </c>
      <c r="P416" s="29" t="str">
        <f>IF(OR(A416="",M416&lt;=0,J416&gt;=0),"",SUMPRODUCT(($A$18:$A$379=A416)*(IFERROR($B$18:$B$379&gt;=E416-30,0))*(IFERROR($B$18:$B$379&lt;=E416+30,0))*($G$18:$G$379&gt;0)*($L$18:$L$379&lt;&gt;L416))+SUMPRODUCT(($A$381:$A$498=A416)*(IFERROR($B$381:$B$498&gt;=E416-30,0))*(IFERROR($B$381:$B$498&lt;=E416+30,0))*($G$381:$G$498&gt;0)*($L$381:$L$498&lt;&gt;L416)))</f>
        <v/>
      </c>
      <c r="Q416" s="34" t="str">
        <f>IF(P416=1,IFERROR(INDEX($L$18:$L$379,MATCH(1,INDEX(($A$18:$A$379=A416)*(IFERROR($B$18:$B$379&gt;=E416-30,0))*(IFERROR($B$18:$B$379&lt;=E416+30,0))*($G$18:$G$379&gt;0)*($L$18:$L$379&lt;&gt;L416),0),0)),IFERROR(INDEX($L$381:$L$498,MATCH(1,INDEX(($A$381:$A$498=A416)*(IFERROR($B$381:$B$498&gt;=E416-30,0))*(IFERROR($B$381:$B$498&lt;=E416+30,0))*($G$381:$G$498&gt;0)*($L$381:$L$498&lt;&gt;L416),0),0)),"")),"")</f>
        <v/>
      </c>
      <c r="R416" s="35"/>
      <c r="S416" s="34" t="str">
        <f>IF(R416&lt;&gt;"",R416,Q416)</f>
        <v/>
      </c>
      <c r="T416" s="73">
        <f>IF(OR(N416="",O416=0),0,N416*O416)</f>
        <v>0</v>
      </c>
      <c r="U416" s="73">
        <f>IF(COUNTIF($S$18:$S$498,L416)=0,"",SUMIF($S$18:$S$498,L416,$T$18:$T$498))</f>
        <v>0</v>
      </c>
      <c r="V416" s="73" t="str">
        <f>IF(H416="","",IFERROR(H416+U416,H416))</f>
        <v/>
      </c>
      <c r="W416" s="73" t="str">
        <f>IF(OR(V416="",C416=""),"",V416/C416)</f>
        <v/>
      </c>
      <c r="X416" s="12" t="str">
        <f>IF(A416="","",IF(AND(U416&lt;&gt;"",U416&lt;&gt;0,M416=0),"Replacement lot receiving wash basis",IF(J416="","",IF(J416&gt;=0,"",IF(O416=0,"No replacement buy found",IF(P416&gt;1,"Manual selection needed","Auto matched"))))))</f>
        <v/>
      </c>
      <c r="Z416" t="str">
        <f>IF(K416="Yes",COUNTIF($K$18:K416,"Yes"),"")</f>
        <v/>
      </c>
    </row>
    <row r="417" spans="1:26" ht="34.15" hidden="1" customHeight="1" x14ac:dyDescent="0.2">
      <c r="A417" s="10"/>
      <c r="B417" s="71"/>
      <c r="C417" s="33"/>
      <c r="D417" s="72"/>
      <c r="E417" s="71"/>
      <c r="F417" s="72"/>
      <c r="G417" s="33"/>
      <c r="H417" s="73" t="str">
        <f>IF(OR(C417="",D417=""),"",C417*D417)</f>
        <v/>
      </c>
      <c r="I417" s="73" t="str">
        <f>IF(OR(E417="",F417="",M417&lt;=0),"",M417*F417)</f>
        <v/>
      </c>
      <c r="J417" s="73" t="str">
        <f>IF(I417="","",I417-(M417*D417))</f>
        <v/>
      </c>
      <c r="K417" s="29" t="str">
        <f>IF(A417="","",IF(T417&gt;0,"Yes","No"))</f>
        <v/>
      </c>
      <c r="L417" s="29" t="str">
        <f>IF(A417="","",A417&amp;"-"&amp;TEXT(B417,"yyyymmdd")&amp;"-R"&amp;ROW())</f>
        <v/>
      </c>
      <c r="M417" s="29" t="str">
        <f>IF(OR(C417="",G417=""),"",C417-G417)</f>
        <v/>
      </c>
      <c r="N417" s="73" t="str">
        <f>IF(OR(M417&lt;=0,J417&gt;=0),"",ABS(J417)/M417)</f>
        <v/>
      </c>
      <c r="O417" s="73" t="str">
        <f>IF(OR(A417="",M417&lt;=0,J417&gt;=0),"",MIN(M417,SUMPRODUCT(($A$18:$A$379=A417)*(IFERROR($B$18:$B$379&gt;=E417-30,0))*(IFERROR($B$18:$B$379&lt;=E417+30,0))*($G$18:$G$379&gt;0)*($L$18:$L$379&lt;&gt;L417)*($G$18:$G$379))+SUMPRODUCT(($A$381:$A$498=A417)*(IFERROR($B$381:$B$498&gt;=E417-30,0))*(IFERROR($B$381:$B$498&lt;=E417+30,0))*($G$381:$G$498&gt;0)*($L$381:$L$498&lt;&gt;L417)*($G$381:$G$498))))</f>
        <v/>
      </c>
      <c r="P417" s="29" t="str">
        <f>IF(OR(A417="",M417&lt;=0,J417&gt;=0),"",SUMPRODUCT(($A$18:$A$379=A417)*(IFERROR($B$18:$B$379&gt;=E417-30,0))*(IFERROR($B$18:$B$379&lt;=E417+30,0))*($G$18:$G$379&gt;0)*($L$18:$L$379&lt;&gt;L417))+SUMPRODUCT(($A$381:$A$498=A417)*(IFERROR($B$381:$B$498&gt;=E417-30,0))*(IFERROR($B$381:$B$498&lt;=E417+30,0))*($G$381:$G$498&gt;0)*($L$381:$L$498&lt;&gt;L417)))</f>
        <v/>
      </c>
      <c r="Q417" s="34" t="str">
        <f>IF(P417=1,IFERROR(INDEX($L$18:$L$379,MATCH(1,INDEX(($A$18:$A$379=A417)*(IFERROR($B$18:$B$379&gt;=E417-30,0))*(IFERROR($B$18:$B$379&lt;=E417+30,0))*($G$18:$G$379&gt;0)*($L$18:$L$379&lt;&gt;L417),0),0)),IFERROR(INDEX($L$381:$L$498,MATCH(1,INDEX(($A$381:$A$498=A417)*(IFERROR($B$381:$B$498&gt;=E417-30,0))*(IFERROR($B$381:$B$498&lt;=E417+30,0))*($G$381:$G$498&gt;0)*($L$381:$L$498&lt;&gt;L417),0),0)),"")),"")</f>
        <v/>
      </c>
      <c r="R417" s="35"/>
      <c r="S417" s="34" t="str">
        <f>IF(R417&lt;&gt;"",R417,Q417)</f>
        <v/>
      </c>
      <c r="T417" s="73">
        <f>IF(OR(N417="",O417=0),0,N417*O417)</f>
        <v>0</v>
      </c>
      <c r="U417" s="73">
        <f>IF(COUNTIF($S$18:$S$498,L417)=0,"",SUMIF($S$18:$S$498,L417,$T$18:$T$498))</f>
        <v>0</v>
      </c>
      <c r="V417" s="73" t="str">
        <f>IF(H417="","",IFERROR(H417+U417,H417))</f>
        <v/>
      </c>
      <c r="W417" s="73" t="str">
        <f>IF(OR(V417="",C417=""),"",V417/C417)</f>
        <v/>
      </c>
      <c r="X417" s="12" t="str">
        <f>IF(A417="","",IF(AND(U417&lt;&gt;"",U417&lt;&gt;0,M417=0),"Replacement lot receiving wash basis",IF(J417="","",IF(J417&gt;=0,"",IF(O417=0,"No replacement buy found",IF(P417&gt;1,"Manual selection needed","Auto matched"))))))</f>
        <v/>
      </c>
      <c r="Z417" t="str">
        <f>IF(K417="Yes",COUNTIF($K$18:K417,"Yes"),"")</f>
        <v/>
      </c>
    </row>
    <row r="418" spans="1:26" ht="34.15" hidden="1" customHeight="1" x14ac:dyDescent="0.2">
      <c r="A418" s="10"/>
      <c r="B418" s="71"/>
      <c r="C418" s="33"/>
      <c r="D418" s="72"/>
      <c r="E418" s="71"/>
      <c r="F418" s="72"/>
      <c r="G418" s="33"/>
      <c r="H418" s="73" t="str">
        <f>IF(OR(C418="",D418=""),"",C418*D418)</f>
        <v/>
      </c>
      <c r="I418" s="73" t="str">
        <f>IF(OR(E418="",F418="",M418&lt;=0),"",M418*F418)</f>
        <v/>
      </c>
      <c r="J418" s="73" t="str">
        <f>IF(I418="","",I418-(M418*D418))</f>
        <v/>
      </c>
      <c r="K418" s="29" t="str">
        <f>IF(A418="","",IF(T418&gt;0,"Yes","No"))</f>
        <v/>
      </c>
      <c r="L418" s="29" t="str">
        <f>IF(A418="","",A418&amp;"-"&amp;TEXT(B418,"yyyymmdd")&amp;"-R"&amp;ROW())</f>
        <v/>
      </c>
      <c r="M418" s="29" t="str">
        <f>IF(OR(C418="",G418=""),"",C418-G418)</f>
        <v/>
      </c>
      <c r="N418" s="73" t="str">
        <f>IF(OR(M418&lt;=0,J418&gt;=0),"",ABS(J418)/M418)</f>
        <v/>
      </c>
      <c r="O418" s="73" t="str">
        <f>IF(OR(A418="",M418&lt;=0,J418&gt;=0),"",MIN(M418,SUMPRODUCT(($A$18:$A$379=A418)*(IFERROR($B$18:$B$379&gt;=E418-30,0))*(IFERROR($B$18:$B$379&lt;=E418+30,0))*($G$18:$G$379&gt;0)*($L$18:$L$379&lt;&gt;L418)*($G$18:$G$379))+SUMPRODUCT(($A$381:$A$498=A418)*(IFERROR($B$381:$B$498&gt;=E418-30,0))*(IFERROR($B$381:$B$498&lt;=E418+30,0))*($G$381:$G$498&gt;0)*($L$381:$L$498&lt;&gt;L418)*($G$381:$G$498))))</f>
        <v/>
      </c>
      <c r="P418" s="29" t="str">
        <f>IF(OR(A418="",M418&lt;=0,J418&gt;=0),"",SUMPRODUCT(($A$18:$A$379=A418)*(IFERROR($B$18:$B$379&gt;=E418-30,0))*(IFERROR($B$18:$B$379&lt;=E418+30,0))*($G$18:$G$379&gt;0)*($L$18:$L$379&lt;&gt;L418))+SUMPRODUCT(($A$381:$A$498=A418)*(IFERROR($B$381:$B$498&gt;=E418-30,0))*(IFERROR($B$381:$B$498&lt;=E418+30,0))*($G$381:$G$498&gt;0)*($L$381:$L$498&lt;&gt;L418)))</f>
        <v/>
      </c>
      <c r="Q418" s="34" t="str">
        <f>IF(P418=1,IFERROR(INDEX($L$18:$L$379,MATCH(1,INDEX(($A$18:$A$379=A418)*(IFERROR($B$18:$B$379&gt;=E418-30,0))*(IFERROR($B$18:$B$379&lt;=E418+30,0))*($G$18:$G$379&gt;0)*($L$18:$L$379&lt;&gt;L418),0),0)),IFERROR(INDEX($L$381:$L$498,MATCH(1,INDEX(($A$381:$A$498=A418)*(IFERROR($B$381:$B$498&gt;=E418-30,0))*(IFERROR($B$381:$B$498&lt;=E418+30,0))*($G$381:$G$498&gt;0)*($L$381:$L$498&lt;&gt;L418),0),0)),"")),"")</f>
        <v/>
      </c>
      <c r="R418" s="35"/>
      <c r="S418" s="34" t="str">
        <f>IF(R418&lt;&gt;"",R418,Q418)</f>
        <v/>
      </c>
      <c r="T418" s="73">
        <f>IF(OR(N418="",O418=0),0,N418*O418)</f>
        <v>0</v>
      </c>
      <c r="U418" s="73">
        <f>IF(COUNTIF($S$18:$S$498,L418)=0,"",SUMIF($S$18:$S$498,L418,$T$18:$T$498))</f>
        <v>0</v>
      </c>
      <c r="V418" s="73" t="str">
        <f>IF(H418="","",IFERROR(H418+U418,H418))</f>
        <v/>
      </c>
      <c r="W418" s="73" t="str">
        <f>IF(OR(V418="",C418=""),"",V418/C418)</f>
        <v/>
      </c>
      <c r="X418" s="12" t="str">
        <f>IF(A418="","",IF(AND(U418&lt;&gt;"",U418&lt;&gt;0,M418=0),"Replacement lot receiving wash basis",IF(J418="","",IF(J418&gt;=0,"",IF(O418=0,"No replacement buy found",IF(P418&gt;1,"Manual selection needed","Auto matched"))))))</f>
        <v/>
      </c>
      <c r="Z418" t="str">
        <f>IF(K418="Yes",COUNTIF($K$18:K418,"Yes"),"")</f>
        <v/>
      </c>
    </row>
    <row r="419" spans="1:26" ht="34.15" hidden="1" customHeight="1" x14ac:dyDescent="0.2">
      <c r="A419" s="10"/>
      <c r="B419" s="71"/>
      <c r="C419" s="33"/>
      <c r="D419" s="72"/>
      <c r="E419" s="71"/>
      <c r="F419" s="72"/>
      <c r="G419" s="33"/>
      <c r="H419" s="73" t="str">
        <f>IF(OR(C419="",D419=""),"",C419*D419)</f>
        <v/>
      </c>
      <c r="I419" s="73" t="str">
        <f>IF(OR(E419="",F419="",M419&lt;=0),"",M419*F419)</f>
        <v/>
      </c>
      <c r="J419" s="73" t="str">
        <f>IF(I419="","",I419-(M419*D419))</f>
        <v/>
      </c>
      <c r="K419" s="29" t="str">
        <f>IF(A419="","",IF(T419&gt;0,"Yes","No"))</f>
        <v/>
      </c>
      <c r="L419" s="29" t="str">
        <f>IF(A419="","",A419&amp;"-"&amp;TEXT(B419,"yyyymmdd")&amp;"-R"&amp;ROW())</f>
        <v/>
      </c>
      <c r="M419" s="29" t="str">
        <f>IF(OR(C419="",G419=""),"",C419-G419)</f>
        <v/>
      </c>
      <c r="N419" s="73" t="str">
        <f>IF(OR(M419&lt;=0,J419&gt;=0),"",ABS(J419)/M419)</f>
        <v/>
      </c>
      <c r="O419" s="73" t="str">
        <f>IF(OR(A419="",M419&lt;=0,J419&gt;=0),"",MIN(M419,SUMPRODUCT(($A$18:$A$379=A419)*(IFERROR($B$18:$B$379&gt;=E419-30,0))*(IFERROR($B$18:$B$379&lt;=E419+30,0))*($G$18:$G$379&gt;0)*($L$18:$L$379&lt;&gt;L419)*($G$18:$G$379))+SUMPRODUCT(($A$381:$A$498=A419)*(IFERROR($B$381:$B$498&gt;=E419-30,0))*(IFERROR($B$381:$B$498&lt;=E419+30,0))*($G$381:$G$498&gt;0)*($L$381:$L$498&lt;&gt;L419)*($G$381:$G$498))))</f>
        <v/>
      </c>
      <c r="P419" s="29" t="str">
        <f>IF(OR(A419="",M419&lt;=0,J419&gt;=0),"",SUMPRODUCT(($A$18:$A$379=A419)*(IFERROR($B$18:$B$379&gt;=E419-30,0))*(IFERROR($B$18:$B$379&lt;=E419+30,0))*($G$18:$G$379&gt;0)*($L$18:$L$379&lt;&gt;L419))+SUMPRODUCT(($A$381:$A$498=A419)*(IFERROR($B$381:$B$498&gt;=E419-30,0))*(IFERROR($B$381:$B$498&lt;=E419+30,0))*($G$381:$G$498&gt;0)*($L$381:$L$498&lt;&gt;L419)))</f>
        <v/>
      </c>
      <c r="Q419" s="34" t="str">
        <f>IF(P419=1,IFERROR(INDEX($L$18:$L$379,MATCH(1,INDEX(($A$18:$A$379=A419)*(IFERROR($B$18:$B$379&gt;=E419-30,0))*(IFERROR($B$18:$B$379&lt;=E419+30,0))*($G$18:$G$379&gt;0)*($L$18:$L$379&lt;&gt;L419),0),0)),IFERROR(INDEX($L$381:$L$498,MATCH(1,INDEX(($A$381:$A$498=A419)*(IFERROR($B$381:$B$498&gt;=E419-30,0))*(IFERROR($B$381:$B$498&lt;=E419+30,0))*($G$381:$G$498&gt;0)*($L$381:$L$498&lt;&gt;L419),0),0)),"")),"")</f>
        <v/>
      </c>
      <c r="R419" s="35"/>
      <c r="S419" s="34" t="str">
        <f>IF(R419&lt;&gt;"",R419,Q419)</f>
        <v/>
      </c>
      <c r="T419" s="73">
        <f>IF(OR(N419="",O419=0),0,N419*O419)</f>
        <v>0</v>
      </c>
      <c r="U419" s="73">
        <f>IF(COUNTIF($S$18:$S$498,L419)=0,"",SUMIF($S$18:$S$498,L419,$T$18:$T$498))</f>
        <v>0</v>
      </c>
      <c r="V419" s="73" t="str">
        <f>IF(H419="","",IFERROR(H419+U419,H419))</f>
        <v/>
      </c>
      <c r="W419" s="73" t="str">
        <f>IF(OR(V419="",C419=""),"",V419/C419)</f>
        <v/>
      </c>
      <c r="X419" s="12" t="str">
        <f>IF(A419="","",IF(AND(U419&lt;&gt;"",U419&lt;&gt;0,M419=0),"Replacement lot receiving wash basis",IF(J419="","",IF(J419&gt;=0,"",IF(O419=0,"No replacement buy found",IF(P419&gt;1,"Manual selection needed","Auto matched"))))))</f>
        <v/>
      </c>
      <c r="Z419" t="str">
        <f>IF(K419="Yes",COUNTIF($K$18:K419,"Yes"),"")</f>
        <v/>
      </c>
    </row>
    <row r="420" spans="1:26" ht="34.15" hidden="1" customHeight="1" x14ac:dyDescent="0.2">
      <c r="A420" s="10"/>
      <c r="B420" s="71"/>
      <c r="C420" s="33"/>
      <c r="D420" s="72"/>
      <c r="E420" s="71"/>
      <c r="F420" s="72"/>
      <c r="G420" s="33"/>
      <c r="H420" s="73" t="str">
        <f>IF(OR(C420="",D420=""),"",C420*D420)</f>
        <v/>
      </c>
      <c r="I420" s="73" t="str">
        <f>IF(OR(E420="",F420="",M420&lt;=0),"",M420*F420)</f>
        <v/>
      </c>
      <c r="J420" s="73" t="str">
        <f>IF(I420="","",I420-(M420*D420))</f>
        <v/>
      </c>
      <c r="K420" s="29" t="str">
        <f>IF(A420="","",IF(T420&gt;0,"Yes","No"))</f>
        <v/>
      </c>
      <c r="L420" s="29" t="str">
        <f>IF(A420="","",A420&amp;"-"&amp;TEXT(B420,"yyyymmdd")&amp;"-R"&amp;ROW())</f>
        <v/>
      </c>
      <c r="M420" s="29" t="str">
        <f>IF(OR(C420="",G420=""),"",C420-G420)</f>
        <v/>
      </c>
      <c r="N420" s="73" t="str">
        <f>IF(OR(M420&lt;=0,J420&gt;=0),"",ABS(J420)/M420)</f>
        <v/>
      </c>
      <c r="O420" s="73" t="str">
        <f>IF(OR(A420="",M420&lt;=0,J420&gt;=0),"",MIN(M420,SUMPRODUCT(($A$18:$A$379=A420)*(IFERROR($B$18:$B$379&gt;=E420-30,0))*(IFERROR($B$18:$B$379&lt;=E420+30,0))*($G$18:$G$379&gt;0)*($L$18:$L$379&lt;&gt;L420)*($G$18:$G$379))+SUMPRODUCT(($A$381:$A$498=A420)*(IFERROR($B$381:$B$498&gt;=E420-30,0))*(IFERROR($B$381:$B$498&lt;=E420+30,0))*($G$381:$G$498&gt;0)*($L$381:$L$498&lt;&gt;L420)*($G$381:$G$498))))</f>
        <v/>
      </c>
      <c r="P420" s="29" t="str">
        <f>IF(OR(A420="",M420&lt;=0,J420&gt;=0),"",SUMPRODUCT(($A$18:$A$379=A420)*(IFERROR($B$18:$B$379&gt;=E420-30,0))*(IFERROR($B$18:$B$379&lt;=E420+30,0))*($G$18:$G$379&gt;0)*($L$18:$L$379&lt;&gt;L420))+SUMPRODUCT(($A$381:$A$498=A420)*(IFERROR($B$381:$B$498&gt;=E420-30,0))*(IFERROR($B$381:$B$498&lt;=E420+30,0))*($G$381:$G$498&gt;0)*($L$381:$L$498&lt;&gt;L420)))</f>
        <v/>
      </c>
      <c r="Q420" s="34" t="str">
        <f>IF(P420=1,IFERROR(INDEX($L$18:$L$379,MATCH(1,INDEX(($A$18:$A$379=A420)*(IFERROR($B$18:$B$379&gt;=E420-30,0))*(IFERROR($B$18:$B$379&lt;=E420+30,0))*($G$18:$G$379&gt;0)*($L$18:$L$379&lt;&gt;L420),0),0)),IFERROR(INDEX($L$381:$L$498,MATCH(1,INDEX(($A$381:$A$498=A420)*(IFERROR($B$381:$B$498&gt;=E420-30,0))*(IFERROR($B$381:$B$498&lt;=E420+30,0))*($G$381:$G$498&gt;0)*($L$381:$L$498&lt;&gt;L420),0),0)),"")),"")</f>
        <v/>
      </c>
      <c r="R420" s="35"/>
      <c r="S420" s="34" t="str">
        <f>IF(R420&lt;&gt;"",R420,Q420)</f>
        <v/>
      </c>
      <c r="T420" s="73">
        <f>IF(OR(N420="",O420=0),0,N420*O420)</f>
        <v>0</v>
      </c>
      <c r="U420" s="73">
        <f>IF(COUNTIF($S$18:$S$498,L420)=0,"",SUMIF($S$18:$S$498,L420,$T$18:$T$498))</f>
        <v>0</v>
      </c>
      <c r="V420" s="73" t="str">
        <f>IF(H420="","",IFERROR(H420+U420,H420))</f>
        <v/>
      </c>
      <c r="W420" s="73" t="str">
        <f>IF(OR(V420="",C420=""),"",V420/C420)</f>
        <v/>
      </c>
      <c r="X420" s="12" t="str">
        <f>IF(A420="","",IF(AND(U420&lt;&gt;"",U420&lt;&gt;0,M420=0),"Replacement lot receiving wash basis",IF(J420="","",IF(J420&gt;=0,"",IF(O420=0,"No replacement buy found",IF(P420&gt;1,"Manual selection needed","Auto matched"))))))</f>
        <v/>
      </c>
      <c r="Z420" t="str">
        <f>IF(K420="Yes",COUNTIF($K$18:K420,"Yes"),"")</f>
        <v/>
      </c>
    </row>
    <row r="421" spans="1:26" ht="34.15" hidden="1" customHeight="1" x14ac:dyDescent="0.2">
      <c r="A421" s="10"/>
      <c r="B421" s="71"/>
      <c r="C421" s="33"/>
      <c r="D421" s="72"/>
      <c r="E421" s="71"/>
      <c r="F421" s="72"/>
      <c r="G421" s="33"/>
      <c r="H421" s="73" t="str">
        <f>IF(OR(C421="",D421=""),"",C421*D421)</f>
        <v/>
      </c>
      <c r="I421" s="73" t="str">
        <f>IF(OR(E421="",F421="",M421&lt;=0),"",M421*F421)</f>
        <v/>
      </c>
      <c r="J421" s="73" t="str">
        <f>IF(I421="","",I421-(M421*D421))</f>
        <v/>
      </c>
      <c r="K421" s="29" t="str">
        <f>IF(A421="","",IF(T421&gt;0,"Yes","No"))</f>
        <v/>
      </c>
      <c r="L421" s="29" t="str">
        <f>IF(A421="","",A421&amp;"-"&amp;TEXT(B421,"yyyymmdd")&amp;"-R"&amp;ROW())</f>
        <v/>
      </c>
      <c r="M421" s="29" t="str">
        <f>IF(OR(C421="",G421=""),"",C421-G421)</f>
        <v/>
      </c>
      <c r="N421" s="73" t="str">
        <f>IF(OR(M421&lt;=0,J421&gt;=0),"",ABS(J421)/M421)</f>
        <v/>
      </c>
      <c r="O421" s="73" t="str">
        <f>IF(OR(A421="",M421&lt;=0,J421&gt;=0),"",MIN(M421,SUMPRODUCT(($A$18:$A$379=A421)*(IFERROR($B$18:$B$379&gt;=E421-30,0))*(IFERROR($B$18:$B$379&lt;=E421+30,0))*($G$18:$G$379&gt;0)*($L$18:$L$379&lt;&gt;L421)*($G$18:$G$379))+SUMPRODUCT(($A$381:$A$498=A421)*(IFERROR($B$381:$B$498&gt;=E421-30,0))*(IFERROR($B$381:$B$498&lt;=E421+30,0))*($G$381:$G$498&gt;0)*($L$381:$L$498&lt;&gt;L421)*($G$381:$G$498))))</f>
        <v/>
      </c>
      <c r="P421" s="29" t="str">
        <f>IF(OR(A421="",M421&lt;=0,J421&gt;=0),"",SUMPRODUCT(($A$18:$A$379=A421)*(IFERROR($B$18:$B$379&gt;=E421-30,0))*(IFERROR($B$18:$B$379&lt;=E421+30,0))*($G$18:$G$379&gt;0)*($L$18:$L$379&lt;&gt;L421))+SUMPRODUCT(($A$381:$A$498=A421)*(IFERROR($B$381:$B$498&gt;=E421-30,0))*(IFERROR($B$381:$B$498&lt;=E421+30,0))*($G$381:$G$498&gt;0)*($L$381:$L$498&lt;&gt;L421)))</f>
        <v/>
      </c>
      <c r="Q421" s="34" t="str">
        <f>IF(P421=1,IFERROR(INDEX($L$18:$L$379,MATCH(1,INDEX(($A$18:$A$379=A421)*(IFERROR($B$18:$B$379&gt;=E421-30,0))*(IFERROR($B$18:$B$379&lt;=E421+30,0))*($G$18:$G$379&gt;0)*($L$18:$L$379&lt;&gt;L421),0),0)),IFERROR(INDEX($L$381:$L$498,MATCH(1,INDEX(($A$381:$A$498=A421)*(IFERROR($B$381:$B$498&gt;=E421-30,0))*(IFERROR($B$381:$B$498&lt;=E421+30,0))*($G$381:$G$498&gt;0)*($L$381:$L$498&lt;&gt;L421),0),0)),"")),"")</f>
        <v/>
      </c>
      <c r="R421" s="35"/>
      <c r="S421" s="34" t="str">
        <f>IF(R421&lt;&gt;"",R421,Q421)</f>
        <v/>
      </c>
      <c r="T421" s="73">
        <f>IF(OR(N421="",O421=0),0,N421*O421)</f>
        <v>0</v>
      </c>
      <c r="U421" s="73">
        <f>IF(COUNTIF($S$18:$S$498,L421)=0,"",SUMIF($S$18:$S$498,L421,$T$18:$T$498))</f>
        <v>0</v>
      </c>
      <c r="V421" s="73" t="str">
        <f>IF(H421="","",IFERROR(H421+U421,H421))</f>
        <v/>
      </c>
      <c r="W421" s="73" t="str">
        <f>IF(OR(V421="",C421=""),"",V421/C421)</f>
        <v/>
      </c>
      <c r="X421" s="12" t="str">
        <f>IF(A421="","",IF(AND(U421&lt;&gt;"",U421&lt;&gt;0,M421=0),"Replacement lot receiving wash basis",IF(J421="","",IF(J421&gt;=0,"",IF(O421=0,"No replacement buy found",IF(P421&gt;1,"Manual selection needed","Auto matched"))))))</f>
        <v/>
      </c>
      <c r="Z421" t="str">
        <f>IF(K421="Yes",COUNTIF($K$18:K421,"Yes"),"")</f>
        <v/>
      </c>
    </row>
    <row r="422" spans="1:26" ht="34.15" hidden="1" customHeight="1" x14ac:dyDescent="0.2">
      <c r="A422" s="10"/>
      <c r="B422" s="71"/>
      <c r="C422" s="33"/>
      <c r="D422" s="72"/>
      <c r="E422" s="71"/>
      <c r="F422" s="72"/>
      <c r="G422" s="33"/>
      <c r="H422" s="73" t="str">
        <f>IF(OR(C422="",D422=""),"",C422*D422)</f>
        <v/>
      </c>
      <c r="I422" s="73" t="str">
        <f>IF(OR(E422="",F422="",M422&lt;=0),"",M422*F422)</f>
        <v/>
      </c>
      <c r="J422" s="73" t="str">
        <f>IF(I422="","",I422-(M422*D422))</f>
        <v/>
      </c>
      <c r="K422" s="29" t="str">
        <f>IF(A422="","",IF(T422&gt;0,"Yes","No"))</f>
        <v/>
      </c>
      <c r="L422" s="29" t="str">
        <f>IF(A422="","",A422&amp;"-"&amp;TEXT(B422,"yyyymmdd")&amp;"-R"&amp;ROW())</f>
        <v/>
      </c>
      <c r="M422" s="29" t="str">
        <f>IF(OR(C422="",G422=""),"",C422-G422)</f>
        <v/>
      </c>
      <c r="N422" s="73" t="str">
        <f>IF(OR(M422&lt;=0,J422&gt;=0),"",ABS(J422)/M422)</f>
        <v/>
      </c>
      <c r="O422" s="73" t="str">
        <f>IF(OR(A422="",M422&lt;=0,J422&gt;=0),"",MIN(M422,SUMPRODUCT(($A$18:$A$379=A422)*(IFERROR($B$18:$B$379&gt;=E422-30,0))*(IFERROR($B$18:$B$379&lt;=E422+30,0))*($G$18:$G$379&gt;0)*($L$18:$L$379&lt;&gt;L422)*($G$18:$G$379))+SUMPRODUCT(($A$381:$A$498=A422)*(IFERROR($B$381:$B$498&gt;=E422-30,0))*(IFERROR($B$381:$B$498&lt;=E422+30,0))*($G$381:$G$498&gt;0)*($L$381:$L$498&lt;&gt;L422)*($G$381:$G$498))))</f>
        <v/>
      </c>
      <c r="P422" s="29" t="str">
        <f>IF(OR(A422="",M422&lt;=0,J422&gt;=0),"",SUMPRODUCT(($A$18:$A$379=A422)*(IFERROR($B$18:$B$379&gt;=E422-30,0))*(IFERROR($B$18:$B$379&lt;=E422+30,0))*($G$18:$G$379&gt;0)*($L$18:$L$379&lt;&gt;L422))+SUMPRODUCT(($A$381:$A$498=A422)*(IFERROR($B$381:$B$498&gt;=E422-30,0))*(IFERROR($B$381:$B$498&lt;=E422+30,0))*($G$381:$G$498&gt;0)*($L$381:$L$498&lt;&gt;L422)))</f>
        <v/>
      </c>
      <c r="Q422" s="34" t="str">
        <f>IF(P422=1,IFERROR(INDEX($L$18:$L$379,MATCH(1,INDEX(($A$18:$A$379=A422)*(IFERROR($B$18:$B$379&gt;=E422-30,0))*(IFERROR($B$18:$B$379&lt;=E422+30,0))*($G$18:$G$379&gt;0)*($L$18:$L$379&lt;&gt;L422),0),0)),IFERROR(INDEX($L$381:$L$498,MATCH(1,INDEX(($A$381:$A$498=A422)*(IFERROR($B$381:$B$498&gt;=E422-30,0))*(IFERROR($B$381:$B$498&lt;=E422+30,0))*($G$381:$G$498&gt;0)*($L$381:$L$498&lt;&gt;L422),0),0)),"")),"")</f>
        <v/>
      </c>
      <c r="R422" s="35"/>
      <c r="S422" s="34" t="str">
        <f>IF(R422&lt;&gt;"",R422,Q422)</f>
        <v/>
      </c>
      <c r="T422" s="73">
        <f>IF(OR(N422="",O422=0),0,N422*O422)</f>
        <v>0</v>
      </c>
      <c r="U422" s="73">
        <f>IF(COUNTIF($S$18:$S$498,L422)=0,"",SUMIF($S$18:$S$498,L422,$T$18:$T$498))</f>
        <v>0</v>
      </c>
      <c r="V422" s="73" t="str">
        <f>IF(H422="","",IFERROR(H422+U422,H422))</f>
        <v/>
      </c>
      <c r="W422" s="73" t="str">
        <f>IF(OR(V422="",C422=""),"",V422/C422)</f>
        <v/>
      </c>
      <c r="X422" s="12" t="str">
        <f>IF(A422="","",IF(AND(U422&lt;&gt;"",U422&lt;&gt;0,M422=0),"Replacement lot receiving wash basis",IF(J422="","",IF(J422&gt;=0,"",IF(O422=0,"No replacement buy found",IF(P422&gt;1,"Manual selection needed","Auto matched"))))))</f>
        <v/>
      </c>
      <c r="Z422" t="str">
        <f>IF(K422="Yes",COUNTIF($K$18:K422,"Yes"),"")</f>
        <v/>
      </c>
    </row>
    <row r="423" spans="1:26" ht="34.15" hidden="1" customHeight="1" x14ac:dyDescent="0.2">
      <c r="A423" s="10"/>
      <c r="B423" s="71"/>
      <c r="C423" s="33"/>
      <c r="D423" s="72"/>
      <c r="E423" s="71"/>
      <c r="F423" s="72"/>
      <c r="G423" s="33"/>
      <c r="H423" s="73" t="str">
        <f>IF(OR(C423="",D423=""),"",C423*D423)</f>
        <v/>
      </c>
      <c r="I423" s="73" t="str">
        <f>IF(OR(E423="",F423="",M423&lt;=0),"",M423*F423)</f>
        <v/>
      </c>
      <c r="J423" s="73" t="str">
        <f>IF(I423="","",I423-(M423*D423))</f>
        <v/>
      </c>
      <c r="K423" s="29" t="str">
        <f>IF(A423="","",IF(T423&gt;0,"Yes","No"))</f>
        <v/>
      </c>
      <c r="L423" s="29" t="str">
        <f>IF(A423="","",A423&amp;"-"&amp;TEXT(B423,"yyyymmdd")&amp;"-R"&amp;ROW())</f>
        <v/>
      </c>
      <c r="M423" s="29" t="str">
        <f>IF(OR(C423="",G423=""),"",C423-G423)</f>
        <v/>
      </c>
      <c r="N423" s="73" t="str">
        <f>IF(OR(M423&lt;=0,J423&gt;=0),"",ABS(J423)/M423)</f>
        <v/>
      </c>
      <c r="O423" s="73" t="str">
        <f>IF(OR(A423="",M423&lt;=0,J423&gt;=0),"",MIN(M423,SUMPRODUCT(($A$18:$A$379=A423)*(IFERROR($B$18:$B$379&gt;=E423-30,0))*(IFERROR($B$18:$B$379&lt;=E423+30,0))*($G$18:$G$379&gt;0)*($L$18:$L$379&lt;&gt;L423)*($G$18:$G$379))+SUMPRODUCT(($A$381:$A$498=A423)*(IFERROR($B$381:$B$498&gt;=E423-30,0))*(IFERROR($B$381:$B$498&lt;=E423+30,0))*($G$381:$G$498&gt;0)*($L$381:$L$498&lt;&gt;L423)*($G$381:$G$498))))</f>
        <v/>
      </c>
      <c r="P423" s="29" t="str">
        <f>IF(OR(A423="",M423&lt;=0,J423&gt;=0),"",SUMPRODUCT(($A$18:$A$379=A423)*(IFERROR($B$18:$B$379&gt;=E423-30,0))*(IFERROR($B$18:$B$379&lt;=E423+30,0))*($G$18:$G$379&gt;0)*($L$18:$L$379&lt;&gt;L423))+SUMPRODUCT(($A$381:$A$498=A423)*(IFERROR($B$381:$B$498&gt;=E423-30,0))*(IFERROR($B$381:$B$498&lt;=E423+30,0))*($G$381:$G$498&gt;0)*($L$381:$L$498&lt;&gt;L423)))</f>
        <v/>
      </c>
      <c r="Q423" s="34" t="str">
        <f>IF(P423=1,IFERROR(INDEX($L$18:$L$379,MATCH(1,INDEX(($A$18:$A$379=A423)*(IFERROR($B$18:$B$379&gt;=E423-30,0))*(IFERROR($B$18:$B$379&lt;=E423+30,0))*($G$18:$G$379&gt;0)*($L$18:$L$379&lt;&gt;L423),0),0)),IFERROR(INDEX($L$381:$L$498,MATCH(1,INDEX(($A$381:$A$498=A423)*(IFERROR($B$381:$B$498&gt;=E423-30,0))*(IFERROR($B$381:$B$498&lt;=E423+30,0))*($G$381:$G$498&gt;0)*($L$381:$L$498&lt;&gt;L423),0),0)),"")),"")</f>
        <v/>
      </c>
      <c r="R423" s="35"/>
      <c r="S423" s="34" t="str">
        <f>IF(R423&lt;&gt;"",R423,Q423)</f>
        <v/>
      </c>
      <c r="T423" s="73">
        <f>IF(OR(N423="",O423=0),0,N423*O423)</f>
        <v>0</v>
      </c>
      <c r="U423" s="73">
        <f>IF(COUNTIF($S$18:$S$498,L423)=0,"",SUMIF($S$18:$S$498,L423,$T$18:$T$498))</f>
        <v>0</v>
      </c>
      <c r="V423" s="73" t="str">
        <f>IF(H423="","",IFERROR(H423+U423,H423))</f>
        <v/>
      </c>
      <c r="W423" s="73" t="str">
        <f>IF(OR(V423="",C423=""),"",V423/C423)</f>
        <v/>
      </c>
      <c r="X423" s="12" t="str">
        <f>IF(A423="","",IF(AND(U423&lt;&gt;"",U423&lt;&gt;0,M423=0),"Replacement lot receiving wash basis",IF(J423="","",IF(J423&gt;=0,"",IF(O423=0,"No replacement buy found",IF(P423&gt;1,"Manual selection needed","Auto matched"))))))</f>
        <v/>
      </c>
      <c r="Z423" t="str">
        <f>IF(K423="Yes",COUNTIF($K$18:K423,"Yes"),"")</f>
        <v/>
      </c>
    </row>
    <row r="424" spans="1:26" ht="34.15" hidden="1" customHeight="1" x14ac:dyDescent="0.2">
      <c r="A424" s="10"/>
      <c r="B424" s="71"/>
      <c r="C424" s="33"/>
      <c r="D424" s="72"/>
      <c r="E424" s="71"/>
      <c r="F424" s="72"/>
      <c r="G424" s="33"/>
      <c r="H424" s="73" t="str">
        <f>IF(OR(C424="",D424=""),"",C424*D424)</f>
        <v/>
      </c>
      <c r="I424" s="73" t="str">
        <f>IF(OR(E424="",F424="",M424&lt;=0),"",M424*F424)</f>
        <v/>
      </c>
      <c r="J424" s="73" t="str">
        <f>IF(I424="","",I424-(M424*D424))</f>
        <v/>
      </c>
      <c r="K424" s="29" t="str">
        <f>IF(A424="","",IF(T424&gt;0,"Yes","No"))</f>
        <v/>
      </c>
      <c r="L424" s="29" t="str">
        <f>IF(A424="","",A424&amp;"-"&amp;TEXT(B424,"yyyymmdd")&amp;"-R"&amp;ROW())</f>
        <v/>
      </c>
      <c r="M424" s="29" t="str">
        <f>IF(OR(C424="",G424=""),"",C424-G424)</f>
        <v/>
      </c>
      <c r="N424" s="73" t="str">
        <f>IF(OR(M424&lt;=0,J424&gt;=0),"",ABS(J424)/M424)</f>
        <v/>
      </c>
      <c r="O424" s="73" t="str">
        <f>IF(OR(A424="",M424&lt;=0,J424&gt;=0),"",MIN(M424,SUMPRODUCT(($A$18:$A$379=A424)*(IFERROR($B$18:$B$379&gt;=E424-30,0))*(IFERROR($B$18:$B$379&lt;=E424+30,0))*($G$18:$G$379&gt;0)*($L$18:$L$379&lt;&gt;L424)*($G$18:$G$379))+SUMPRODUCT(($A$381:$A$498=A424)*(IFERROR($B$381:$B$498&gt;=E424-30,0))*(IFERROR($B$381:$B$498&lt;=E424+30,0))*($G$381:$G$498&gt;0)*($L$381:$L$498&lt;&gt;L424)*($G$381:$G$498))))</f>
        <v/>
      </c>
      <c r="P424" s="29" t="str">
        <f>IF(OR(A424="",M424&lt;=0,J424&gt;=0),"",SUMPRODUCT(($A$18:$A$379=A424)*(IFERROR($B$18:$B$379&gt;=E424-30,0))*(IFERROR($B$18:$B$379&lt;=E424+30,0))*($G$18:$G$379&gt;0)*($L$18:$L$379&lt;&gt;L424))+SUMPRODUCT(($A$381:$A$498=A424)*(IFERROR($B$381:$B$498&gt;=E424-30,0))*(IFERROR($B$381:$B$498&lt;=E424+30,0))*($G$381:$G$498&gt;0)*($L$381:$L$498&lt;&gt;L424)))</f>
        <v/>
      </c>
      <c r="Q424" s="34" t="str">
        <f>IF(P424=1,IFERROR(INDEX($L$18:$L$379,MATCH(1,INDEX(($A$18:$A$379=A424)*(IFERROR($B$18:$B$379&gt;=E424-30,0))*(IFERROR($B$18:$B$379&lt;=E424+30,0))*($G$18:$G$379&gt;0)*($L$18:$L$379&lt;&gt;L424),0),0)),IFERROR(INDEX($L$381:$L$498,MATCH(1,INDEX(($A$381:$A$498=A424)*(IFERROR($B$381:$B$498&gt;=E424-30,0))*(IFERROR($B$381:$B$498&lt;=E424+30,0))*($G$381:$G$498&gt;0)*($L$381:$L$498&lt;&gt;L424),0),0)),"")),"")</f>
        <v/>
      </c>
      <c r="R424" s="35"/>
      <c r="S424" s="34" t="str">
        <f>IF(R424&lt;&gt;"",R424,Q424)</f>
        <v/>
      </c>
      <c r="T424" s="73">
        <f>IF(OR(N424="",O424=0),0,N424*O424)</f>
        <v>0</v>
      </c>
      <c r="U424" s="73">
        <f>IF(COUNTIF($S$18:$S$498,L424)=0,"",SUMIF($S$18:$S$498,L424,$T$18:$T$498))</f>
        <v>0</v>
      </c>
      <c r="V424" s="73" t="str">
        <f>IF(H424="","",IFERROR(H424+U424,H424))</f>
        <v/>
      </c>
      <c r="W424" s="73" t="str">
        <f>IF(OR(V424="",C424=""),"",V424/C424)</f>
        <v/>
      </c>
      <c r="X424" s="12" t="str">
        <f>IF(A424="","",IF(AND(U424&lt;&gt;"",U424&lt;&gt;0,M424=0),"Replacement lot receiving wash basis",IF(J424="","",IF(J424&gt;=0,"",IF(O424=0,"No replacement buy found",IF(P424&gt;1,"Manual selection needed","Auto matched"))))))</f>
        <v/>
      </c>
      <c r="Z424" t="str">
        <f>IF(K424="Yes",COUNTIF($K$18:K424,"Yes"),"")</f>
        <v/>
      </c>
    </row>
    <row r="425" spans="1:26" ht="34.15" hidden="1" customHeight="1" x14ac:dyDescent="0.2">
      <c r="A425" s="10"/>
      <c r="B425" s="71"/>
      <c r="C425" s="33"/>
      <c r="D425" s="72"/>
      <c r="E425" s="71"/>
      <c r="F425" s="72"/>
      <c r="G425" s="33"/>
      <c r="H425" s="73" t="str">
        <f>IF(OR(C425="",D425=""),"",C425*D425)</f>
        <v/>
      </c>
      <c r="I425" s="73" t="str">
        <f>IF(OR(E425="",F425="",M425&lt;=0),"",M425*F425)</f>
        <v/>
      </c>
      <c r="J425" s="73" t="str">
        <f>IF(I425="","",I425-(M425*D425))</f>
        <v/>
      </c>
      <c r="K425" s="29" t="str">
        <f>IF(A425="","",IF(T425&gt;0,"Yes","No"))</f>
        <v/>
      </c>
      <c r="L425" s="29" t="str">
        <f>IF(A425="","",A425&amp;"-"&amp;TEXT(B425,"yyyymmdd")&amp;"-R"&amp;ROW())</f>
        <v/>
      </c>
      <c r="M425" s="29" t="str">
        <f>IF(OR(C425="",G425=""),"",C425-G425)</f>
        <v/>
      </c>
      <c r="N425" s="73" t="str">
        <f>IF(OR(M425&lt;=0,J425&gt;=0),"",ABS(J425)/M425)</f>
        <v/>
      </c>
      <c r="O425" s="73" t="str">
        <f>IF(OR(A425="",M425&lt;=0,J425&gt;=0),"",MIN(M425,SUMPRODUCT(($A$18:$A$379=A425)*(IFERROR($B$18:$B$379&gt;=E425-30,0))*(IFERROR($B$18:$B$379&lt;=E425+30,0))*($G$18:$G$379&gt;0)*($L$18:$L$379&lt;&gt;L425)*($G$18:$G$379))+SUMPRODUCT(($A$381:$A$498=A425)*(IFERROR($B$381:$B$498&gt;=E425-30,0))*(IFERROR($B$381:$B$498&lt;=E425+30,0))*($G$381:$G$498&gt;0)*($L$381:$L$498&lt;&gt;L425)*($G$381:$G$498))))</f>
        <v/>
      </c>
      <c r="P425" s="29" t="str">
        <f>IF(OR(A425="",M425&lt;=0,J425&gt;=0),"",SUMPRODUCT(($A$18:$A$379=A425)*(IFERROR($B$18:$B$379&gt;=E425-30,0))*(IFERROR($B$18:$B$379&lt;=E425+30,0))*($G$18:$G$379&gt;0)*($L$18:$L$379&lt;&gt;L425))+SUMPRODUCT(($A$381:$A$498=A425)*(IFERROR($B$381:$B$498&gt;=E425-30,0))*(IFERROR($B$381:$B$498&lt;=E425+30,0))*($G$381:$G$498&gt;0)*($L$381:$L$498&lt;&gt;L425)))</f>
        <v/>
      </c>
      <c r="Q425" s="34" t="str">
        <f>IF(P425=1,IFERROR(INDEX($L$18:$L$379,MATCH(1,INDEX(($A$18:$A$379=A425)*(IFERROR($B$18:$B$379&gt;=E425-30,0))*(IFERROR($B$18:$B$379&lt;=E425+30,0))*($G$18:$G$379&gt;0)*($L$18:$L$379&lt;&gt;L425),0),0)),IFERROR(INDEX($L$381:$L$498,MATCH(1,INDEX(($A$381:$A$498=A425)*(IFERROR($B$381:$B$498&gt;=E425-30,0))*(IFERROR($B$381:$B$498&lt;=E425+30,0))*($G$381:$G$498&gt;0)*($L$381:$L$498&lt;&gt;L425),0),0)),"")),"")</f>
        <v/>
      </c>
      <c r="R425" s="35"/>
      <c r="S425" s="34" t="str">
        <f>IF(R425&lt;&gt;"",R425,Q425)</f>
        <v/>
      </c>
      <c r="T425" s="73">
        <f>IF(OR(N425="",O425=0),0,N425*O425)</f>
        <v>0</v>
      </c>
      <c r="U425" s="73">
        <f>IF(COUNTIF($S$18:$S$498,L425)=0,"",SUMIF($S$18:$S$498,L425,$T$18:$T$498))</f>
        <v>0</v>
      </c>
      <c r="V425" s="73" t="str">
        <f>IF(H425="","",IFERROR(H425+U425,H425))</f>
        <v/>
      </c>
      <c r="W425" s="73" t="str">
        <f>IF(OR(V425="",C425=""),"",V425/C425)</f>
        <v/>
      </c>
      <c r="X425" s="12" t="str">
        <f>IF(A425="","",IF(AND(U425&lt;&gt;"",U425&lt;&gt;0,M425=0),"Replacement lot receiving wash basis",IF(J425="","",IF(J425&gt;=0,"",IF(O425=0,"No replacement buy found",IF(P425&gt;1,"Manual selection needed","Auto matched"))))))</f>
        <v/>
      </c>
      <c r="Z425" t="str">
        <f>IF(K425="Yes",COUNTIF($K$18:K425,"Yes"),"")</f>
        <v/>
      </c>
    </row>
    <row r="426" spans="1:26" ht="34.15" hidden="1" customHeight="1" x14ac:dyDescent="0.2">
      <c r="A426" s="10"/>
      <c r="B426" s="71"/>
      <c r="C426" s="33"/>
      <c r="D426" s="72"/>
      <c r="E426" s="71"/>
      <c r="F426" s="72"/>
      <c r="G426" s="33"/>
      <c r="H426" s="73" t="str">
        <f>IF(OR(C426="",D426=""),"",C426*D426)</f>
        <v/>
      </c>
      <c r="I426" s="73" t="str">
        <f>IF(OR(E426="",F426="",M426&lt;=0),"",M426*F426)</f>
        <v/>
      </c>
      <c r="J426" s="73" t="str">
        <f>IF(I426="","",I426-(M426*D426))</f>
        <v/>
      </c>
      <c r="K426" s="29" t="str">
        <f>IF(A426="","",IF(T426&gt;0,"Yes","No"))</f>
        <v/>
      </c>
      <c r="L426" s="29" t="str">
        <f>IF(A426="","",A426&amp;"-"&amp;TEXT(B426,"yyyymmdd")&amp;"-R"&amp;ROW())</f>
        <v/>
      </c>
      <c r="M426" s="29" t="str">
        <f>IF(OR(C426="",G426=""),"",C426-G426)</f>
        <v/>
      </c>
      <c r="N426" s="73" t="str">
        <f>IF(OR(M426&lt;=0,J426&gt;=0),"",ABS(J426)/M426)</f>
        <v/>
      </c>
      <c r="O426" s="73" t="str">
        <f>IF(OR(A426="",M426&lt;=0,J426&gt;=0),"",MIN(M426,SUMPRODUCT(($A$18:$A$379=A426)*(IFERROR($B$18:$B$379&gt;=E426-30,0))*(IFERROR($B$18:$B$379&lt;=E426+30,0))*($G$18:$G$379&gt;0)*($L$18:$L$379&lt;&gt;L426)*($G$18:$G$379))+SUMPRODUCT(($A$381:$A$498=A426)*(IFERROR($B$381:$B$498&gt;=E426-30,0))*(IFERROR($B$381:$B$498&lt;=E426+30,0))*($G$381:$G$498&gt;0)*($L$381:$L$498&lt;&gt;L426)*($G$381:$G$498))))</f>
        <v/>
      </c>
      <c r="P426" s="29" t="str">
        <f>IF(OR(A426="",M426&lt;=0,J426&gt;=0),"",SUMPRODUCT(($A$18:$A$379=A426)*(IFERROR($B$18:$B$379&gt;=E426-30,0))*(IFERROR($B$18:$B$379&lt;=E426+30,0))*($G$18:$G$379&gt;0)*($L$18:$L$379&lt;&gt;L426))+SUMPRODUCT(($A$381:$A$498=A426)*(IFERROR($B$381:$B$498&gt;=E426-30,0))*(IFERROR($B$381:$B$498&lt;=E426+30,0))*($G$381:$G$498&gt;0)*($L$381:$L$498&lt;&gt;L426)))</f>
        <v/>
      </c>
      <c r="Q426" s="34" t="str">
        <f>IF(P426=1,IFERROR(INDEX($L$18:$L$379,MATCH(1,INDEX(($A$18:$A$379=A426)*(IFERROR($B$18:$B$379&gt;=E426-30,0))*(IFERROR($B$18:$B$379&lt;=E426+30,0))*($G$18:$G$379&gt;0)*($L$18:$L$379&lt;&gt;L426),0),0)),IFERROR(INDEX($L$381:$L$498,MATCH(1,INDEX(($A$381:$A$498=A426)*(IFERROR($B$381:$B$498&gt;=E426-30,0))*(IFERROR($B$381:$B$498&lt;=E426+30,0))*($G$381:$G$498&gt;0)*($L$381:$L$498&lt;&gt;L426),0),0)),"")),"")</f>
        <v/>
      </c>
      <c r="R426" s="35"/>
      <c r="S426" s="34" t="str">
        <f>IF(R426&lt;&gt;"",R426,Q426)</f>
        <v/>
      </c>
      <c r="T426" s="73">
        <f>IF(OR(N426="",O426=0),0,N426*O426)</f>
        <v>0</v>
      </c>
      <c r="U426" s="73">
        <f>IF(COUNTIF($S$18:$S$498,L426)=0,"",SUMIF($S$18:$S$498,L426,$T$18:$T$498))</f>
        <v>0</v>
      </c>
      <c r="V426" s="73" t="str">
        <f>IF(H426="","",IFERROR(H426+U426,H426))</f>
        <v/>
      </c>
      <c r="W426" s="73" t="str">
        <f>IF(OR(V426="",C426=""),"",V426/C426)</f>
        <v/>
      </c>
      <c r="X426" s="12" t="str">
        <f>IF(A426="","",IF(AND(U426&lt;&gt;"",U426&lt;&gt;0,M426=0),"Replacement lot receiving wash basis",IF(J426="","",IF(J426&gt;=0,"",IF(O426=0,"No replacement buy found",IF(P426&gt;1,"Manual selection needed","Auto matched"))))))</f>
        <v/>
      </c>
      <c r="Z426" t="str">
        <f>IF(K426="Yes",COUNTIF($K$18:K426,"Yes"),"")</f>
        <v/>
      </c>
    </row>
    <row r="427" spans="1:26" ht="34.15" hidden="1" customHeight="1" x14ac:dyDescent="0.2">
      <c r="A427" s="10"/>
      <c r="B427" s="71"/>
      <c r="C427" s="33"/>
      <c r="D427" s="72"/>
      <c r="E427" s="71"/>
      <c r="F427" s="72"/>
      <c r="G427" s="33"/>
      <c r="H427" s="73" t="str">
        <f>IF(OR(C427="",D427=""),"",C427*D427)</f>
        <v/>
      </c>
      <c r="I427" s="73" t="str">
        <f>IF(OR(E427="",F427="",M427&lt;=0),"",M427*F427)</f>
        <v/>
      </c>
      <c r="J427" s="73" t="str">
        <f>IF(I427="","",I427-(M427*D427))</f>
        <v/>
      </c>
      <c r="K427" s="29" t="str">
        <f>IF(A427="","",IF(T427&gt;0,"Yes","No"))</f>
        <v/>
      </c>
      <c r="L427" s="29" t="str">
        <f>IF(A427="","",A427&amp;"-"&amp;TEXT(B427,"yyyymmdd")&amp;"-R"&amp;ROW())</f>
        <v/>
      </c>
      <c r="M427" s="29" t="str">
        <f>IF(OR(C427="",G427=""),"",C427-G427)</f>
        <v/>
      </c>
      <c r="N427" s="73" t="str">
        <f>IF(OR(M427&lt;=0,J427&gt;=0),"",ABS(J427)/M427)</f>
        <v/>
      </c>
      <c r="O427" s="73" t="str">
        <f>IF(OR(A427="",M427&lt;=0,J427&gt;=0),"",MIN(M427,SUMPRODUCT(($A$18:$A$379=A427)*(IFERROR($B$18:$B$379&gt;=E427-30,0))*(IFERROR($B$18:$B$379&lt;=E427+30,0))*($G$18:$G$379&gt;0)*($L$18:$L$379&lt;&gt;L427)*($G$18:$G$379))+SUMPRODUCT(($A$381:$A$498=A427)*(IFERROR($B$381:$B$498&gt;=E427-30,0))*(IFERROR($B$381:$B$498&lt;=E427+30,0))*($G$381:$G$498&gt;0)*($L$381:$L$498&lt;&gt;L427)*($G$381:$G$498))))</f>
        <v/>
      </c>
      <c r="P427" s="29" t="str">
        <f>IF(OR(A427="",M427&lt;=0,J427&gt;=0),"",SUMPRODUCT(($A$18:$A$379=A427)*(IFERROR($B$18:$B$379&gt;=E427-30,0))*(IFERROR($B$18:$B$379&lt;=E427+30,0))*($G$18:$G$379&gt;0)*($L$18:$L$379&lt;&gt;L427))+SUMPRODUCT(($A$381:$A$498=A427)*(IFERROR($B$381:$B$498&gt;=E427-30,0))*(IFERROR($B$381:$B$498&lt;=E427+30,0))*($G$381:$G$498&gt;0)*($L$381:$L$498&lt;&gt;L427)))</f>
        <v/>
      </c>
      <c r="Q427" s="34" t="str">
        <f>IF(P427=1,IFERROR(INDEX($L$18:$L$379,MATCH(1,INDEX(($A$18:$A$379=A427)*(IFERROR($B$18:$B$379&gt;=E427-30,0))*(IFERROR($B$18:$B$379&lt;=E427+30,0))*($G$18:$G$379&gt;0)*($L$18:$L$379&lt;&gt;L427),0),0)),IFERROR(INDEX($L$381:$L$498,MATCH(1,INDEX(($A$381:$A$498=A427)*(IFERROR($B$381:$B$498&gt;=E427-30,0))*(IFERROR($B$381:$B$498&lt;=E427+30,0))*($G$381:$G$498&gt;0)*($L$381:$L$498&lt;&gt;L427),0),0)),"")),"")</f>
        <v/>
      </c>
      <c r="R427" s="35"/>
      <c r="S427" s="34" t="str">
        <f>IF(R427&lt;&gt;"",R427,Q427)</f>
        <v/>
      </c>
      <c r="T427" s="73">
        <f>IF(OR(N427="",O427=0),0,N427*O427)</f>
        <v>0</v>
      </c>
      <c r="U427" s="73">
        <f>IF(COUNTIF($S$18:$S$498,L427)=0,"",SUMIF($S$18:$S$498,L427,$T$18:$T$498))</f>
        <v>0</v>
      </c>
      <c r="V427" s="73" t="str">
        <f>IF(H427="","",IFERROR(H427+U427,H427))</f>
        <v/>
      </c>
      <c r="W427" s="73" t="str">
        <f>IF(OR(V427="",C427=""),"",V427/C427)</f>
        <v/>
      </c>
      <c r="X427" s="12" t="str">
        <f>IF(A427="","",IF(AND(U427&lt;&gt;"",U427&lt;&gt;0,M427=0),"Replacement lot receiving wash basis",IF(J427="","",IF(J427&gt;=0,"",IF(O427=0,"No replacement buy found",IF(P427&gt;1,"Manual selection needed","Auto matched"))))))</f>
        <v/>
      </c>
      <c r="Z427" t="str">
        <f>IF(K427="Yes",COUNTIF($K$18:K427,"Yes"),"")</f>
        <v/>
      </c>
    </row>
    <row r="428" spans="1:26" ht="34.15" hidden="1" customHeight="1" x14ac:dyDescent="0.2">
      <c r="A428" s="10"/>
      <c r="B428" s="71"/>
      <c r="C428" s="33"/>
      <c r="D428" s="72"/>
      <c r="E428" s="71"/>
      <c r="F428" s="72"/>
      <c r="G428" s="33"/>
      <c r="H428" s="73" t="str">
        <f>IF(OR(C428="",D428=""),"",C428*D428)</f>
        <v/>
      </c>
      <c r="I428" s="73" t="str">
        <f>IF(OR(E428="",F428="",M428&lt;=0),"",M428*F428)</f>
        <v/>
      </c>
      <c r="J428" s="73" t="str">
        <f>IF(I428="","",I428-(M428*D428))</f>
        <v/>
      </c>
      <c r="K428" s="29" t="str">
        <f>IF(A428="","",IF(T428&gt;0,"Yes","No"))</f>
        <v/>
      </c>
      <c r="L428" s="29" t="str">
        <f>IF(A428="","",A428&amp;"-"&amp;TEXT(B428,"yyyymmdd")&amp;"-R"&amp;ROW())</f>
        <v/>
      </c>
      <c r="M428" s="29" t="str">
        <f>IF(OR(C428="",G428=""),"",C428-G428)</f>
        <v/>
      </c>
      <c r="N428" s="73" t="str">
        <f>IF(OR(M428&lt;=0,J428&gt;=0),"",ABS(J428)/M428)</f>
        <v/>
      </c>
      <c r="O428" s="73" t="str">
        <f>IF(OR(A428="",M428&lt;=0,J428&gt;=0),"",MIN(M428,SUMPRODUCT(($A$18:$A$379=A428)*(IFERROR($B$18:$B$379&gt;=E428-30,0))*(IFERROR($B$18:$B$379&lt;=E428+30,0))*($G$18:$G$379&gt;0)*($L$18:$L$379&lt;&gt;L428)*($G$18:$G$379))+SUMPRODUCT(($A$381:$A$498=A428)*(IFERROR($B$381:$B$498&gt;=E428-30,0))*(IFERROR($B$381:$B$498&lt;=E428+30,0))*($G$381:$G$498&gt;0)*($L$381:$L$498&lt;&gt;L428)*($G$381:$G$498))))</f>
        <v/>
      </c>
      <c r="P428" s="29" t="str">
        <f>IF(OR(A428="",M428&lt;=0,J428&gt;=0),"",SUMPRODUCT(($A$18:$A$379=A428)*(IFERROR($B$18:$B$379&gt;=E428-30,0))*(IFERROR($B$18:$B$379&lt;=E428+30,0))*($G$18:$G$379&gt;0)*($L$18:$L$379&lt;&gt;L428))+SUMPRODUCT(($A$381:$A$498=A428)*(IFERROR($B$381:$B$498&gt;=E428-30,0))*(IFERROR($B$381:$B$498&lt;=E428+30,0))*($G$381:$G$498&gt;0)*($L$381:$L$498&lt;&gt;L428)))</f>
        <v/>
      </c>
      <c r="Q428" s="34" t="str">
        <f>IF(P428=1,IFERROR(INDEX($L$18:$L$379,MATCH(1,INDEX(($A$18:$A$379=A428)*(IFERROR($B$18:$B$379&gt;=E428-30,0))*(IFERROR($B$18:$B$379&lt;=E428+30,0))*($G$18:$G$379&gt;0)*($L$18:$L$379&lt;&gt;L428),0),0)),IFERROR(INDEX($L$381:$L$498,MATCH(1,INDEX(($A$381:$A$498=A428)*(IFERROR($B$381:$B$498&gt;=E428-30,0))*(IFERROR($B$381:$B$498&lt;=E428+30,0))*($G$381:$G$498&gt;0)*($L$381:$L$498&lt;&gt;L428),0),0)),"")),"")</f>
        <v/>
      </c>
      <c r="R428" s="35"/>
      <c r="S428" s="34" t="str">
        <f>IF(R428&lt;&gt;"",R428,Q428)</f>
        <v/>
      </c>
      <c r="T428" s="73">
        <f>IF(OR(N428="",O428=0),0,N428*O428)</f>
        <v>0</v>
      </c>
      <c r="U428" s="73">
        <f>IF(COUNTIF($S$18:$S$498,L428)=0,"",SUMIF($S$18:$S$498,L428,$T$18:$T$498))</f>
        <v>0</v>
      </c>
      <c r="V428" s="73" t="str">
        <f>IF(H428="","",IFERROR(H428+U428,H428))</f>
        <v/>
      </c>
      <c r="W428" s="73" t="str">
        <f>IF(OR(V428="",C428=""),"",V428/C428)</f>
        <v/>
      </c>
      <c r="X428" s="12" t="str">
        <f>IF(A428="","",IF(AND(U428&lt;&gt;"",U428&lt;&gt;0,M428=0),"Replacement lot receiving wash basis",IF(J428="","",IF(J428&gt;=0,"",IF(O428=0,"No replacement buy found",IF(P428&gt;1,"Manual selection needed","Auto matched"))))))</f>
        <v/>
      </c>
      <c r="Z428" t="str">
        <f>IF(K428="Yes",COUNTIF($K$18:K428,"Yes"),"")</f>
        <v/>
      </c>
    </row>
    <row r="429" spans="1:26" ht="34.15" hidden="1" customHeight="1" x14ac:dyDescent="0.2">
      <c r="A429" s="10"/>
      <c r="B429" s="71"/>
      <c r="C429" s="33"/>
      <c r="D429" s="72"/>
      <c r="E429" s="71"/>
      <c r="F429" s="72"/>
      <c r="G429" s="33"/>
      <c r="H429" s="73" t="str">
        <f>IF(OR(C429="",D429=""),"",C429*D429)</f>
        <v/>
      </c>
      <c r="I429" s="73" t="str">
        <f>IF(OR(E429="",F429="",M429&lt;=0),"",M429*F429)</f>
        <v/>
      </c>
      <c r="J429" s="73" t="str">
        <f>IF(I429="","",I429-(M429*D429))</f>
        <v/>
      </c>
      <c r="K429" s="29" t="str">
        <f>IF(A429="","",IF(T429&gt;0,"Yes","No"))</f>
        <v/>
      </c>
      <c r="L429" s="29" t="str">
        <f>IF(A429="","",A429&amp;"-"&amp;TEXT(B429,"yyyymmdd")&amp;"-R"&amp;ROW())</f>
        <v/>
      </c>
      <c r="M429" s="29" t="str">
        <f>IF(OR(C429="",G429=""),"",C429-G429)</f>
        <v/>
      </c>
      <c r="N429" s="73" t="str">
        <f>IF(OR(M429&lt;=0,J429&gt;=0),"",ABS(J429)/M429)</f>
        <v/>
      </c>
      <c r="O429" s="73" t="str">
        <f>IF(OR(A429="",M429&lt;=0,J429&gt;=0),"",MIN(M429,SUMPRODUCT(($A$18:$A$379=A429)*(IFERROR($B$18:$B$379&gt;=E429-30,0))*(IFERROR($B$18:$B$379&lt;=E429+30,0))*($G$18:$G$379&gt;0)*($L$18:$L$379&lt;&gt;L429)*($G$18:$G$379))+SUMPRODUCT(($A$381:$A$498=A429)*(IFERROR($B$381:$B$498&gt;=E429-30,0))*(IFERROR($B$381:$B$498&lt;=E429+30,0))*($G$381:$G$498&gt;0)*($L$381:$L$498&lt;&gt;L429)*($G$381:$G$498))))</f>
        <v/>
      </c>
      <c r="P429" s="29" t="str">
        <f>IF(OR(A429="",M429&lt;=0,J429&gt;=0),"",SUMPRODUCT(($A$18:$A$379=A429)*(IFERROR($B$18:$B$379&gt;=E429-30,0))*(IFERROR($B$18:$B$379&lt;=E429+30,0))*($G$18:$G$379&gt;0)*($L$18:$L$379&lt;&gt;L429))+SUMPRODUCT(($A$381:$A$498=A429)*(IFERROR($B$381:$B$498&gt;=E429-30,0))*(IFERROR($B$381:$B$498&lt;=E429+30,0))*($G$381:$G$498&gt;0)*($L$381:$L$498&lt;&gt;L429)))</f>
        <v/>
      </c>
      <c r="Q429" s="34" t="str">
        <f>IF(P429=1,IFERROR(INDEX($L$18:$L$379,MATCH(1,INDEX(($A$18:$A$379=A429)*(IFERROR($B$18:$B$379&gt;=E429-30,0))*(IFERROR($B$18:$B$379&lt;=E429+30,0))*($G$18:$G$379&gt;0)*($L$18:$L$379&lt;&gt;L429),0),0)),IFERROR(INDEX($L$381:$L$498,MATCH(1,INDEX(($A$381:$A$498=A429)*(IFERROR($B$381:$B$498&gt;=E429-30,0))*(IFERROR($B$381:$B$498&lt;=E429+30,0))*($G$381:$G$498&gt;0)*($L$381:$L$498&lt;&gt;L429),0),0)),"")),"")</f>
        <v/>
      </c>
      <c r="R429" s="35"/>
      <c r="S429" s="34" t="str">
        <f>IF(R429&lt;&gt;"",R429,Q429)</f>
        <v/>
      </c>
      <c r="T429" s="73">
        <f>IF(OR(N429="",O429=0),0,N429*O429)</f>
        <v>0</v>
      </c>
      <c r="U429" s="73">
        <f>IF(COUNTIF($S$18:$S$498,L429)=0,"",SUMIF($S$18:$S$498,L429,$T$18:$T$498))</f>
        <v>0</v>
      </c>
      <c r="V429" s="73" t="str">
        <f>IF(H429="","",IFERROR(H429+U429,H429))</f>
        <v/>
      </c>
      <c r="W429" s="73" t="str">
        <f>IF(OR(V429="",C429=""),"",V429/C429)</f>
        <v/>
      </c>
      <c r="X429" s="12" t="str">
        <f>IF(A429="","",IF(AND(U429&lt;&gt;"",U429&lt;&gt;0,M429=0),"Replacement lot receiving wash basis",IF(J429="","",IF(J429&gt;=0,"",IF(O429=0,"No replacement buy found",IF(P429&gt;1,"Manual selection needed","Auto matched"))))))</f>
        <v/>
      </c>
      <c r="Z429" t="str">
        <f>IF(K429="Yes",COUNTIF($K$18:K429,"Yes"),"")</f>
        <v/>
      </c>
    </row>
    <row r="430" spans="1:26" ht="34.15" hidden="1" customHeight="1" x14ac:dyDescent="0.2">
      <c r="A430" s="10"/>
      <c r="B430" s="71"/>
      <c r="C430" s="33"/>
      <c r="D430" s="72"/>
      <c r="E430" s="71"/>
      <c r="F430" s="72"/>
      <c r="G430" s="33"/>
      <c r="H430" s="73" t="str">
        <f>IF(OR(C430="",D430=""),"",C430*D430)</f>
        <v/>
      </c>
      <c r="I430" s="73" t="str">
        <f>IF(OR(E430="",F430="",M430&lt;=0),"",M430*F430)</f>
        <v/>
      </c>
      <c r="J430" s="73" t="str">
        <f>IF(I430="","",I430-(M430*D430))</f>
        <v/>
      </c>
      <c r="K430" s="29" t="str">
        <f>IF(A430="","",IF(T430&gt;0,"Yes","No"))</f>
        <v/>
      </c>
      <c r="L430" s="29" t="str">
        <f>IF(A430="","",A430&amp;"-"&amp;TEXT(B430,"yyyymmdd")&amp;"-R"&amp;ROW())</f>
        <v/>
      </c>
      <c r="M430" s="29" t="str">
        <f>IF(OR(C430="",G430=""),"",C430-G430)</f>
        <v/>
      </c>
      <c r="N430" s="73" t="str">
        <f>IF(OR(M430&lt;=0,J430&gt;=0),"",ABS(J430)/M430)</f>
        <v/>
      </c>
      <c r="O430" s="73" t="str">
        <f>IF(OR(A430="",M430&lt;=0,J430&gt;=0),"",MIN(M430,SUMPRODUCT(($A$18:$A$379=A430)*(IFERROR($B$18:$B$379&gt;=E430-30,0))*(IFERROR($B$18:$B$379&lt;=E430+30,0))*($G$18:$G$379&gt;0)*($L$18:$L$379&lt;&gt;L430)*($G$18:$G$379))+SUMPRODUCT(($A$381:$A$498=A430)*(IFERROR($B$381:$B$498&gt;=E430-30,0))*(IFERROR($B$381:$B$498&lt;=E430+30,0))*($G$381:$G$498&gt;0)*($L$381:$L$498&lt;&gt;L430)*($G$381:$G$498))))</f>
        <v/>
      </c>
      <c r="P430" s="29" t="str">
        <f>IF(OR(A430="",M430&lt;=0,J430&gt;=0),"",SUMPRODUCT(($A$18:$A$379=A430)*(IFERROR($B$18:$B$379&gt;=E430-30,0))*(IFERROR($B$18:$B$379&lt;=E430+30,0))*($G$18:$G$379&gt;0)*($L$18:$L$379&lt;&gt;L430))+SUMPRODUCT(($A$381:$A$498=A430)*(IFERROR($B$381:$B$498&gt;=E430-30,0))*(IFERROR($B$381:$B$498&lt;=E430+30,0))*($G$381:$G$498&gt;0)*($L$381:$L$498&lt;&gt;L430)))</f>
        <v/>
      </c>
      <c r="Q430" s="34" t="str">
        <f>IF(P430=1,IFERROR(INDEX($L$18:$L$379,MATCH(1,INDEX(($A$18:$A$379=A430)*(IFERROR($B$18:$B$379&gt;=E430-30,0))*(IFERROR($B$18:$B$379&lt;=E430+30,0))*($G$18:$G$379&gt;0)*($L$18:$L$379&lt;&gt;L430),0),0)),IFERROR(INDEX($L$381:$L$498,MATCH(1,INDEX(($A$381:$A$498=A430)*(IFERROR($B$381:$B$498&gt;=E430-30,0))*(IFERROR($B$381:$B$498&lt;=E430+30,0))*($G$381:$G$498&gt;0)*($L$381:$L$498&lt;&gt;L430),0),0)),"")),"")</f>
        <v/>
      </c>
      <c r="R430" s="35"/>
      <c r="S430" s="34" t="str">
        <f>IF(R430&lt;&gt;"",R430,Q430)</f>
        <v/>
      </c>
      <c r="T430" s="73">
        <f>IF(OR(N430="",O430=0),0,N430*O430)</f>
        <v>0</v>
      </c>
      <c r="U430" s="73">
        <f>IF(COUNTIF($S$18:$S$498,L430)=0,"",SUMIF($S$18:$S$498,L430,$T$18:$T$498))</f>
        <v>0</v>
      </c>
      <c r="V430" s="73" t="str">
        <f>IF(H430="","",IFERROR(H430+U430,H430))</f>
        <v/>
      </c>
      <c r="W430" s="73" t="str">
        <f>IF(OR(V430="",C430=""),"",V430/C430)</f>
        <v/>
      </c>
      <c r="X430" s="12" t="str">
        <f>IF(A430="","",IF(AND(U430&lt;&gt;"",U430&lt;&gt;0,M430=0),"Replacement lot receiving wash basis",IF(J430="","",IF(J430&gt;=0,"",IF(O430=0,"No replacement buy found",IF(P430&gt;1,"Manual selection needed","Auto matched"))))))</f>
        <v/>
      </c>
      <c r="Z430" t="str">
        <f>IF(K430="Yes",COUNTIF($K$18:K430,"Yes"),"")</f>
        <v/>
      </c>
    </row>
    <row r="431" spans="1:26" ht="34.15" hidden="1" customHeight="1" x14ac:dyDescent="0.2">
      <c r="A431" s="10"/>
      <c r="B431" s="71"/>
      <c r="C431" s="33"/>
      <c r="D431" s="72"/>
      <c r="E431" s="71"/>
      <c r="F431" s="72"/>
      <c r="G431" s="33"/>
      <c r="H431" s="73" t="str">
        <f>IF(OR(C431="",D431=""),"",C431*D431)</f>
        <v/>
      </c>
      <c r="I431" s="73" t="str">
        <f>IF(OR(E431="",F431="",M431&lt;=0),"",M431*F431)</f>
        <v/>
      </c>
      <c r="J431" s="73" t="str">
        <f>IF(I431="","",I431-(M431*D431))</f>
        <v/>
      </c>
      <c r="K431" s="29" t="str">
        <f>IF(A431="","",IF(T431&gt;0,"Yes","No"))</f>
        <v/>
      </c>
      <c r="L431" s="29" t="str">
        <f>IF(A431="","",A431&amp;"-"&amp;TEXT(B431,"yyyymmdd")&amp;"-R"&amp;ROW())</f>
        <v/>
      </c>
      <c r="M431" s="29" t="str">
        <f>IF(OR(C431="",G431=""),"",C431-G431)</f>
        <v/>
      </c>
      <c r="N431" s="73" t="str">
        <f>IF(OR(M431&lt;=0,J431&gt;=0),"",ABS(J431)/M431)</f>
        <v/>
      </c>
      <c r="O431" s="73" t="str">
        <f>IF(OR(A431="",M431&lt;=0,J431&gt;=0),"",MIN(M431,SUMPRODUCT(($A$18:$A$379=A431)*(IFERROR($B$18:$B$379&gt;=E431-30,0))*(IFERROR($B$18:$B$379&lt;=E431+30,0))*($G$18:$G$379&gt;0)*($L$18:$L$379&lt;&gt;L431)*($G$18:$G$379))+SUMPRODUCT(($A$381:$A$498=A431)*(IFERROR($B$381:$B$498&gt;=E431-30,0))*(IFERROR($B$381:$B$498&lt;=E431+30,0))*($G$381:$G$498&gt;0)*($L$381:$L$498&lt;&gt;L431)*($G$381:$G$498))))</f>
        <v/>
      </c>
      <c r="P431" s="29" t="str">
        <f>IF(OR(A431="",M431&lt;=0,J431&gt;=0),"",SUMPRODUCT(($A$18:$A$379=A431)*(IFERROR($B$18:$B$379&gt;=E431-30,0))*(IFERROR($B$18:$B$379&lt;=E431+30,0))*($G$18:$G$379&gt;0)*($L$18:$L$379&lt;&gt;L431))+SUMPRODUCT(($A$381:$A$498=A431)*(IFERROR($B$381:$B$498&gt;=E431-30,0))*(IFERROR($B$381:$B$498&lt;=E431+30,0))*($G$381:$G$498&gt;0)*($L$381:$L$498&lt;&gt;L431)))</f>
        <v/>
      </c>
      <c r="Q431" s="34" t="str">
        <f>IF(P431=1,IFERROR(INDEX($L$18:$L$379,MATCH(1,INDEX(($A$18:$A$379=A431)*(IFERROR($B$18:$B$379&gt;=E431-30,0))*(IFERROR($B$18:$B$379&lt;=E431+30,0))*($G$18:$G$379&gt;0)*($L$18:$L$379&lt;&gt;L431),0),0)),IFERROR(INDEX($L$381:$L$498,MATCH(1,INDEX(($A$381:$A$498=A431)*(IFERROR($B$381:$B$498&gt;=E431-30,0))*(IFERROR($B$381:$B$498&lt;=E431+30,0))*($G$381:$G$498&gt;0)*($L$381:$L$498&lt;&gt;L431),0),0)),"")),"")</f>
        <v/>
      </c>
      <c r="R431" s="35"/>
      <c r="S431" s="34" t="str">
        <f>IF(R431&lt;&gt;"",R431,Q431)</f>
        <v/>
      </c>
      <c r="T431" s="73">
        <f>IF(OR(N431="",O431=0),0,N431*O431)</f>
        <v>0</v>
      </c>
      <c r="U431" s="73">
        <f>IF(COUNTIF($S$18:$S$498,L431)=0,"",SUMIF($S$18:$S$498,L431,$T$18:$T$498))</f>
        <v>0</v>
      </c>
      <c r="V431" s="73" t="str">
        <f>IF(H431="","",IFERROR(H431+U431,H431))</f>
        <v/>
      </c>
      <c r="W431" s="73" t="str">
        <f>IF(OR(V431="",C431=""),"",V431/C431)</f>
        <v/>
      </c>
      <c r="X431" s="12" t="str">
        <f>IF(A431="","",IF(AND(U431&lt;&gt;"",U431&lt;&gt;0,M431=0),"Replacement lot receiving wash basis",IF(J431="","",IF(J431&gt;=0,"",IF(O431=0,"No replacement buy found",IF(P431&gt;1,"Manual selection needed","Auto matched"))))))</f>
        <v/>
      </c>
      <c r="Z431" t="str">
        <f>IF(K431="Yes",COUNTIF($K$18:K431,"Yes"),"")</f>
        <v/>
      </c>
    </row>
    <row r="432" spans="1:26" ht="34.15" hidden="1" customHeight="1" x14ac:dyDescent="0.2">
      <c r="A432" s="10"/>
      <c r="B432" s="71"/>
      <c r="C432" s="33"/>
      <c r="D432" s="72"/>
      <c r="E432" s="71"/>
      <c r="F432" s="72"/>
      <c r="G432" s="33"/>
      <c r="H432" s="73" t="str">
        <f>IF(OR(C432="",D432=""),"",C432*D432)</f>
        <v/>
      </c>
      <c r="I432" s="73" t="str">
        <f>IF(OR(E432="",F432="",M432&lt;=0),"",M432*F432)</f>
        <v/>
      </c>
      <c r="J432" s="73" t="str">
        <f>IF(I432="","",I432-(M432*D432))</f>
        <v/>
      </c>
      <c r="K432" s="29" t="str">
        <f>IF(A432="","",IF(T432&gt;0,"Yes","No"))</f>
        <v/>
      </c>
      <c r="L432" s="29" t="str">
        <f>IF(A432="","",A432&amp;"-"&amp;TEXT(B432,"yyyymmdd")&amp;"-R"&amp;ROW())</f>
        <v/>
      </c>
      <c r="M432" s="29" t="str">
        <f>IF(OR(C432="",G432=""),"",C432-G432)</f>
        <v/>
      </c>
      <c r="N432" s="73" t="str">
        <f>IF(OR(M432&lt;=0,J432&gt;=0),"",ABS(J432)/M432)</f>
        <v/>
      </c>
      <c r="O432" s="73" t="str">
        <f>IF(OR(A432="",M432&lt;=0,J432&gt;=0),"",MIN(M432,SUMPRODUCT(($A$18:$A$379=A432)*(IFERROR($B$18:$B$379&gt;=E432-30,0))*(IFERROR($B$18:$B$379&lt;=E432+30,0))*($G$18:$G$379&gt;0)*($L$18:$L$379&lt;&gt;L432)*($G$18:$G$379))+SUMPRODUCT(($A$381:$A$498=A432)*(IFERROR($B$381:$B$498&gt;=E432-30,0))*(IFERROR($B$381:$B$498&lt;=E432+30,0))*($G$381:$G$498&gt;0)*($L$381:$L$498&lt;&gt;L432)*($G$381:$G$498))))</f>
        <v/>
      </c>
      <c r="P432" s="29" t="str">
        <f>IF(OR(A432="",M432&lt;=0,J432&gt;=0),"",SUMPRODUCT(($A$18:$A$379=A432)*(IFERROR($B$18:$B$379&gt;=E432-30,0))*(IFERROR($B$18:$B$379&lt;=E432+30,0))*($G$18:$G$379&gt;0)*($L$18:$L$379&lt;&gt;L432))+SUMPRODUCT(($A$381:$A$498=A432)*(IFERROR($B$381:$B$498&gt;=E432-30,0))*(IFERROR($B$381:$B$498&lt;=E432+30,0))*($G$381:$G$498&gt;0)*($L$381:$L$498&lt;&gt;L432)))</f>
        <v/>
      </c>
      <c r="Q432" s="34" t="str">
        <f>IF(P432=1,IFERROR(INDEX($L$18:$L$379,MATCH(1,INDEX(($A$18:$A$379=A432)*(IFERROR($B$18:$B$379&gt;=E432-30,0))*(IFERROR($B$18:$B$379&lt;=E432+30,0))*($G$18:$G$379&gt;0)*($L$18:$L$379&lt;&gt;L432),0),0)),IFERROR(INDEX($L$381:$L$498,MATCH(1,INDEX(($A$381:$A$498=A432)*(IFERROR($B$381:$B$498&gt;=E432-30,0))*(IFERROR($B$381:$B$498&lt;=E432+30,0))*($G$381:$G$498&gt;0)*($L$381:$L$498&lt;&gt;L432),0),0)),"")),"")</f>
        <v/>
      </c>
      <c r="R432" s="35"/>
      <c r="S432" s="34" t="str">
        <f>IF(R432&lt;&gt;"",R432,Q432)</f>
        <v/>
      </c>
      <c r="T432" s="73">
        <f>IF(OR(N432="",O432=0),0,N432*O432)</f>
        <v>0</v>
      </c>
      <c r="U432" s="73">
        <f>IF(COUNTIF($S$18:$S$498,L432)=0,"",SUMIF($S$18:$S$498,L432,$T$18:$T$498))</f>
        <v>0</v>
      </c>
      <c r="V432" s="73" t="str">
        <f>IF(H432="","",IFERROR(H432+U432,H432))</f>
        <v/>
      </c>
      <c r="W432" s="73" t="str">
        <f>IF(OR(V432="",C432=""),"",V432/C432)</f>
        <v/>
      </c>
      <c r="X432" s="12" t="str">
        <f>IF(A432="","",IF(AND(U432&lt;&gt;"",U432&lt;&gt;0,M432=0),"Replacement lot receiving wash basis",IF(J432="","",IF(J432&gt;=0,"",IF(O432=0,"No replacement buy found",IF(P432&gt;1,"Manual selection needed","Auto matched"))))))</f>
        <v/>
      </c>
      <c r="Z432" t="str">
        <f>IF(K432="Yes",COUNTIF($K$18:K432,"Yes"),"")</f>
        <v/>
      </c>
    </row>
    <row r="433" spans="1:26" ht="34.15" hidden="1" customHeight="1" x14ac:dyDescent="0.2">
      <c r="A433" s="10"/>
      <c r="B433" s="71"/>
      <c r="C433" s="33"/>
      <c r="D433" s="72"/>
      <c r="E433" s="71"/>
      <c r="F433" s="72"/>
      <c r="G433" s="33"/>
      <c r="H433" s="73" t="str">
        <f>IF(OR(C433="",D433=""),"",C433*D433)</f>
        <v/>
      </c>
      <c r="I433" s="73" t="str">
        <f>IF(OR(E433="",F433="",M433&lt;=0),"",M433*F433)</f>
        <v/>
      </c>
      <c r="J433" s="73" t="str">
        <f>IF(I433="","",I433-(M433*D433))</f>
        <v/>
      </c>
      <c r="K433" s="29" t="str">
        <f>IF(A433="","",IF(T433&gt;0,"Yes","No"))</f>
        <v/>
      </c>
      <c r="L433" s="29" t="str">
        <f>IF(A433="","",A433&amp;"-"&amp;TEXT(B433,"yyyymmdd")&amp;"-R"&amp;ROW())</f>
        <v/>
      </c>
      <c r="M433" s="29" t="str">
        <f>IF(OR(C433="",G433=""),"",C433-G433)</f>
        <v/>
      </c>
      <c r="N433" s="73" t="str">
        <f>IF(OR(M433&lt;=0,J433&gt;=0),"",ABS(J433)/M433)</f>
        <v/>
      </c>
      <c r="O433" s="73" t="str">
        <f>IF(OR(A433="",M433&lt;=0,J433&gt;=0),"",MIN(M433,SUMPRODUCT(($A$18:$A$379=A433)*(IFERROR($B$18:$B$379&gt;=E433-30,0))*(IFERROR($B$18:$B$379&lt;=E433+30,0))*($G$18:$G$379&gt;0)*($L$18:$L$379&lt;&gt;L433)*($G$18:$G$379))+SUMPRODUCT(($A$381:$A$498=A433)*(IFERROR($B$381:$B$498&gt;=E433-30,0))*(IFERROR($B$381:$B$498&lt;=E433+30,0))*($G$381:$G$498&gt;0)*($L$381:$L$498&lt;&gt;L433)*($G$381:$G$498))))</f>
        <v/>
      </c>
      <c r="P433" s="29" t="str">
        <f>IF(OR(A433="",M433&lt;=0,J433&gt;=0),"",SUMPRODUCT(($A$18:$A$379=A433)*(IFERROR($B$18:$B$379&gt;=E433-30,0))*(IFERROR($B$18:$B$379&lt;=E433+30,0))*($G$18:$G$379&gt;0)*($L$18:$L$379&lt;&gt;L433))+SUMPRODUCT(($A$381:$A$498=A433)*(IFERROR($B$381:$B$498&gt;=E433-30,0))*(IFERROR($B$381:$B$498&lt;=E433+30,0))*($G$381:$G$498&gt;0)*($L$381:$L$498&lt;&gt;L433)))</f>
        <v/>
      </c>
      <c r="Q433" s="34" t="str">
        <f>IF(P433=1,IFERROR(INDEX($L$18:$L$379,MATCH(1,INDEX(($A$18:$A$379=A433)*(IFERROR($B$18:$B$379&gt;=E433-30,0))*(IFERROR($B$18:$B$379&lt;=E433+30,0))*($G$18:$G$379&gt;0)*($L$18:$L$379&lt;&gt;L433),0),0)),IFERROR(INDEX($L$381:$L$498,MATCH(1,INDEX(($A$381:$A$498=A433)*(IFERROR($B$381:$B$498&gt;=E433-30,0))*(IFERROR($B$381:$B$498&lt;=E433+30,0))*($G$381:$G$498&gt;0)*($L$381:$L$498&lt;&gt;L433),0),0)),"")),"")</f>
        <v/>
      </c>
      <c r="R433" s="35"/>
      <c r="S433" s="34" t="str">
        <f>IF(R433&lt;&gt;"",R433,Q433)</f>
        <v/>
      </c>
      <c r="T433" s="73">
        <f>IF(OR(N433="",O433=0),0,N433*O433)</f>
        <v>0</v>
      </c>
      <c r="U433" s="73">
        <f>IF(COUNTIF($S$18:$S$498,L433)=0,"",SUMIF($S$18:$S$498,L433,$T$18:$T$498))</f>
        <v>0</v>
      </c>
      <c r="V433" s="73" t="str">
        <f>IF(H433="","",IFERROR(H433+U433,H433))</f>
        <v/>
      </c>
      <c r="W433" s="73" t="str">
        <f>IF(OR(V433="",C433=""),"",V433/C433)</f>
        <v/>
      </c>
      <c r="X433" s="12" t="str">
        <f>IF(A433="","",IF(AND(U433&lt;&gt;"",U433&lt;&gt;0,M433=0),"Replacement lot receiving wash basis",IF(J433="","",IF(J433&gt;=0,"",IF(O433=0,"No replacement buy found",IF(P433&gt;1,"Manual selection needed","Auto matched"))))))</f>
        <v/>
      </c>
      <c r="Z433" t="str">
        <f>IF(K433="Yes",COUNTIF($K$18:K433,"Yes"),"")</f>
        <v/>
      </c>
    </row>
    <row r="434" spans="1:26" ht="34.15" hidden="1" customHeight="1" x14ac:dyDescent="0.2">
      <c r="A434" s="10"/>
      <c r="B434" s="71"/>
      <c r="C434" s="33"/>
      <c r="D434" s="72"/>
      <c r="E434" s="71"/>
      <c r="F434" s="72"/>
      <c r="G434" s="33"/>
      <c r="H434" s="73" t="str">
        <f>IF(OR(C434="",D434=""),"",C434*D434)</f>
        <v/>
      </c>
      <c r="I434" s="73" t="str">
        <f>IF(OR(E434="",F434="",M434&lt;=0),"",M434*F434)</f>
        <v/>
      </c>
      <c r="J434" s="73" t="str">
        <f>IF(I434="","",I434-(M434*D434))</f>
        <v/>
      </c>
      <c r="K434" s="29" t="str">
        <f>IF(A434="","",IF(T434&gt;0,"Yes","No"))</f>
        <v/>
      </c>
      <c r="L434" s="29" t="str">
        <f>IF(A434="","",A434&amp;"-"&amp;TEXT(B434,"yyyymmdd")&amp;"-R"&amp;ROW())</f>
        <v/>
      </c>
      <c r="M434" s="29" t="str">
        <f>IF(OR(C434="",G434=""),"",C434-G434)</f>
        <v/>
      </c>
      <c r="N434" s="73" t="str">
        <f>IF(OR(M434&lt;=0,J434&gt;=0),"",ABS(J434)/M434)</f>
        <v/>
      </c>
      <c r="O434" s="73" t="str">
        <f>IF(OR(A434="",M434&lt;=0,J434&gt;=0),"",MIN(M434,SUMPRODUCT(($A$18:$A$379=A434)*(IFERROR($B$18:$B$379&gt;=E434-30,0))*(IFERROR($B$18:$B$379&lt;=E434+30,0))*($G$18:$G$379&gt;0)*($L$18:$L$379&lt;&gt;L434)*($G$18:$G$379))+SUMPRODUCT(($A$381:$A$498=A434)*(IFERROR($B$381:$B$498&gt;=E434-30,0))*(IFERROR($B$381:$B$498&lt;=E434+30,0))*($G$381:$G$498&gt;0)*($L$381:$L$498&lt;&gt;L434)*($G$381:$G$498))))</f>
        <v/>
      </c>
      <c r="P434" s="29" t="str">
        <f>IF(OR(A434="",M434&lt;=0,J434&gt;=0),"",SUMPRODUCT(($A$18:$A$379=A434)*(IFERROR($B$18:$B$379&gt;=E434-30,0))*(IFERROR($B$18:$B$379&lt;=E434+30,0))*($G$18:$G$379&gt;0)*($L$18:$L$379&lt;&gt;L434))+SUMPRODUCT(($A$381:$A$498=A434)*(IFERROR($B$381:$B$498&gt;=E434-30,0))*(IFERROR($B$381:$B$498&lt;=E434+30,0))*($G$381:$G$498&gt;0)*($L$381:$L$498&lt;&gt;L434)))</f>
        <v/>
      </c>
      <c r="Q434" s="34" t="str">
        <f>IF(P434=1,IFERROR(INDEX($L$18:$L$379,MATCH(1,INDEX(($A$18:$A$379=A434)*(IFERROR($B$18:$B$379&gt;=E434-30,0))*(IFERROR($B$18:$B$379&lt;=E434+30,0))*($G$18:$G$379&gt;0)*($L$18:$L$379&lt;&gt;L434),0),0)),IFERROR(INDEX($L$381:$L$498,MATCH(1,INDEX(($A$381:$A$498=A434)*(IFERROR($B$381:$B$498&gt;=E434-30,0))*(IFERROR($B$381:$B$498&lt;=E434+30,0))*($G$381:$G$498&gt;0)*($L$381:$L$498&lt;&gt;L434),0),0)),"")),"")</f>
        <v/>
      </c>
      <c r="R434" s="35"/>
      <c r="S434" s="34" t="str">
        <f>IF(R434&lt;&gt;"",R434,Q434)</f>
        <v/>
      </c>
      <c r="T434" s="73">
        <f>IF(OR(N434="",O434=0),0,N434*O434)</f>
        <v>0</v>
      </c>
      <c r="U434" s="73">
        <f>IF(COUNTIF($S$18:$S$498,L434)=0,"",SUMIF($S$18:$S$498,L434,$T$18:$T$498))</f>
        <v>0</v>
      </c>
      <c r="V434" s="73" t="str">
        <f>IF(H434="","",IFERROR(H434+U434,H434))</f>
        <v/>
      </c>
      <c r="W434" s="73" t="str">
        <f>IF(OR(V434="",C434=""),"",V434/C434)</f>
        <v/>
      </c>
      <c r="X434" s="12" t="str">
        <f>IF(A434="","",IF(AND(U434&lt;&gt;"",U434&lt;&gt;0,M434=0),"Replacement lot receiving wash basis",IF(J434="","",IF(J434&gt;=0,"",IF(O434=0,"No replacement buy found",IF(P434&gt;1,"Manual selection needed","Auto matched"))))))</f>
        <v/>
      </c>
      <c r="Z434" t="str">
        <f>IF(K434="Yes",COUNTIF($K$18:K434,"Yes"),"")</f>
        <v/>
      </c>
    </row>
    <row r="435" spans="1:26" ht="34.15" hidden="1" customHeight="1" x14ac:dyDescent="0.2">
      <c r="A435" s="10"/>
      <c r="B435" s="71"/>
      <c r="C435" s="33"/>
      <c r="D435" s="72"/>
      <c r="E435" s="71"/>
      <c r="F435" s="72"/>
      <c r="G435" s="33"/>
      <c r="H435" s="73" t="str">
        <f>IF(OR(C435="",D435=""),"",C435*D435)</f>
        <v/>
      </c>
      <c r="I435" s="73" t="str">
        <f>IF(OR(E435="",F435="",M435&lt;=0),"",M435*F435)</f>
        <v/>
      </c>
      <c r="J435" s="73" t="str">
        <f>IF(I435="","",I435-(M435*D435))</f>
        <v/>
      </c>
      <c r="K435" s="29" t="str">
        <f>IF(A435="","",IF(T435&gt;0,"Yes","No"))</f>
        <v/>
      </c>
      <c r="L435" s="29" t="str">
        <f>IF(A435="","",A435&amp;"-"&amp;TEXT(B435,"yyyymmdd")&amp;"-R"&amp;ROW())</f>
        <v/>
      </c>
      <c r="M435" s="29" t="str">
        <f>IF(OR(C435="",G435=""),"",C435-G435)</f>
        <v/>
      </c>
      <c r="N435" s="73" t="str">
        <f>IF(OR(M435&lt;=0,J435&gt;=0),"",ABS(J435)/M435)</f>
        <v/>
      </c>
      <c r="O435" s="73" t="str">
        <f>IF(OR(A435="",M435&lt;=0,J435&gt;=0),"",MIN(M435,SUMPRODUCT(($A$18:$A$379=A435)*(IFERROR($B$18:$B$379&gt;=E435-30,0))*(IFERROR($B$18:$B$379&lt;=E435+30,0))*($G$18:$G$379&gt;0)*($L$18:$L$379&lt;&gt;L435)*($G$18:$G$379))+SUMPRODUCT(($A$381:$A$498=A435)*(IFERROR($B$381:$B$498&gt;=E435-30,0))*(IFERROR($B$381:$B$498&lt;=E435+30,0))*($G$381:$G$498&gt;0)*($L$381:$L$498&lt;&gt;L435)*($G$381:$G$498))))</f>
        <v/>
      </c>
      <c r="P435" s="29" t="str">
        <f>IF(OR(A435="",M435&lt;=0,J435&gt;=0),"",SUMPRODUCT(($A$18:$A$379=A435)*(IFERROR($B$18:$B$379&gt;=E435-30,0))*(IFERROR($B$18:$B$379&lt;=E435+30,0))*($G$18:$G$379&gt;0)*($L$18:$L$379&lt;&gt;L435))+SUMPRODUCT(($A$381:$A$498=A435)*(IFERROR($B$381:$B$498&gt;=E435-30,0))*(IFERROR($B$381:$B$498&lt;=E435+30,0))*($G$381:$G$498&gt;0)*($L$381:$L$498&lt;&gt;L435)))</f>
        <v/>
      </c>
      <c r="Q435" s="34" t="str">
        <f>IF(P435=1,IFERROR(INDEX($L$18:$L$379,MATCH(1,INDEX(($A$18:$A$379=A435)*(IFERROR($B$18:$B$379&gt;=E435-30,0))*(IFERROR($B$18:$B$379&lt;=E435+30,0))*($G$18:$G$379&gt;0)*($L$18:$L$379&lt;&gt;L435),0),0)),IFERROR(INDEX($L$381:$L$498,MATCH(1,INDEX(($A$381:$A$498=A435)*(IFERROR($B$381:$B$498&gt;=E435-30,0))*(IFERROR($B$381:$B$498&lt;=E435+30,0))*($G$381:$G$498&gt;0)*($L$381:$L$498&lt;&gt;L435),0),0)),"")),"")</f>
        <v/>
      </c>
      <c r="R435" s="35"/>
      <c r="S435" s="34" t="str">
        <f>IF(R435&lt;&gt;"",R435,Q435)</f>
        <v/>
      </c>
      <c r="T435" s="73">
        <f>IF(OR(N435="",O435=0),0,N435*O435)</f>
        <v>0</v>
      </c>
      <c r="U435" s="73">
        <f>IF(COUNTIF($S$18:$S$498,L435)=0,"",SUMIF($S$18:$S$498,L435,$T$18:$T$498))</f>
        <v>0</v>
      </c>
      <c r="V435" s="73" t="str">
        <f>IF(H435="","",IFERROR(H435+U435,H435))</f>
        <v/>
      </c>
      <c r="W435" s="73" t="str">
        <f>IF(OR(V435="",C435=""),"",V435/C435)</f>
        <v/>
      </c>
      <c r="X435" s="12" t="str">
        <f>IF(A435="","",IF(AND(U435&lt;&gt;"",U435&lt;&gt;0,M435=0),"Replacement lot receiving wash basis",IF(J435="","",IF(J435&gt;=0,"",IF(O435=0,"No replacement buy found",IF(P435&gt;1,"Manual selection needed","Auto matched"))))))</f>
        <v/>
      </c>
      <c r="Z435" t="str">
        <f>IF(K435="Yes",COUNTIF($K$18:K435,"Yes"),"")</f>
        <v/>
      </c>
    </row>
    <row r="436" spans="1:26" ht="34.15" hidden="1" customHeight="1" x14ac:dyDescent="0.2">
      <c r="A436" s="10"/>
      <c r="B436" s="71"/>
      <c r="C436" s="33"/>
      <c r="D436" s="72"/>
      <c r="E436" s="71"/>
      <c r="F436" s="72"/>
      <c r="G436" s="33"/>
      <c r="H436" s="73" t="str">
        <f>IF(OR(C436="",D436=""),"",C436*D436)</f>
        <v/>
      </c>
      <c r="I436" s="73" t="str">
        <f>IF(OR(E436="",F436="",M436&lt;=0),"",M436*F436)</f>
        <v/>
      </c>
      <c r="J436" s="73" t="str">
        <f>IF(I436="","",I436-(M436*D436))</f>
        <v/>
      </c>
      <c r="K436" s="29" t="str">
        <f>IF(A436="","",IF(T436&gt;0,"Yes","No"))</f>
        <v/>
      </c>
      <c r="L436" s="29" t="str">
        <f>IF(A436="","",A436&amp;"-"&amp;TEXT(B436,"yyyymmdd")&amp;"-R"&amp;ROW())</f>
        <v/>
      </c>
      <c r="M436" s="29" t="str">
        <f>IF(OR(C436="",G436=""),"",C436-G436)</f>
        <v/>
      </c>
      <c r="N436" s="73" t="str">
        <f>IF(OR(M436&lt;=0,J436&gt;=0),"",ABS(J436)/M436)</f>
        <v/>
      </c>
      <c r="O436" s="73" t="str">
        <f>IF(OR(A436="",M436&lt;=0,J436&gt;=0),"",MIN(M436,SUMPRODUCT(($A$18:$A$379=A436)*(IFERROR($B$18:$B$379&gt;=E436-30,0))*(IFERROR($B$18:$B$379&lt;=E436+30,0))*($G$18:$G$379&gt;0)*($L$18:$L$379&lt;&gt;L436)*($G$18:$G$379))+SUMPRODUCT(($A$381:$A$498=A436)*(IFERROR($B$381:$B$498&gt;=E436-30,0))*(IFERROR($B$381:$B$498&lt;=E436+30,0))*($G$381:$G$498&gt;0)*($L$381:$L$498&lt;&gt;L436)*($G$381:$G$498))))</f>
        <v/>
      </c>
      <c r="P436" s="29" t="str">
        <f>IF(OR(A436="",M436&lt;=0,J436&gt;=0),"",SUMPRODUCT(($A$18:$A$379=A436)*(IFERROR($B$18:$B$379&gt;=E436-30,0))*(IFERROR($B$18:$B$379&lt;=E436+30,0))*($G$18:$G$379&gt;0)*($L$18:$L$379&lt;&gt;L436))+SUMPRODUCT(($A$381:$A$498=A436)*(IFERROR($B$381:$B$498&gt;=E436-30,0))*(IFERROR($B$381:$B$498&lt;=E436+30,0))*($G$381:$G$498&gt;0)*($L$381:$L$498&lt;&gt;L436)))</f>
        <v/>
      </c>
      <c r="Q436" s="34" t="str">
        <f>IF(P436=1,IFERROR(INDEX($L$18:$L$379,MATCH(1,INDEX(($A$18:$A$379=A436)*(IFERROR($B$18:$B$379&gt;=E436-30,0))*(IFERROR($B$18:$B$379&lt;=E436+30,0))*($G$18:$G$379&gt;0)*($L$18:$L$379&lt;&gt;L436),0),0)),IFERROR(INDEX($L$381:$L$498,MATCH(1,INDEX(($A$381:$A$498=A436)*(IFERROR($B$381:$B$498&gt;=E436-30,0))*(IFERROR($B$381:$B$498&lt;=E436+30,0))*($G$381:$G$498&gt;0)*($L$381:$L$498&lt;&gt;L436),0),0)),"")),"")</f>
        <v/>
      </c>
      <c r="R436" s="35"/>
      <c r="S436" s="34" t="str">
        <f>IF(R436&lt;&gt;"",R436,Q436)</f>
        <v/>
      </c>
      <c r="T436" s="73">
        <f>IF(OR(N436="",O436=0),0,N436*O436)</f>
        <v>0</v>
      </c>
      <c r="U436" s="73">
        <f>IF(COUNTIF($S$18:$S$498,L436)=0,"",SUMIF($S$18:$S$498,L436,$T$18:$T$498))</f>
        <v>0</v>
      </c>
      <c r="V436" s="73" t="str">
        <f>IF(H436="","",IFERROR(H436+U436,H436))</f>
        <v/>
      </c>
      <c r="W436" s="73" t="str">
        <f>IF(OR(V436="",C436=""),"",V436/C436)</f>
        <v/>
      </c>
      <c r="X436" s="12" t="str">
        <f>IF(A436="","",IF(AND(U436&lt;&gt;"",U436&lt;&gt;0,M436=0),"Replacement lot receiving wash basis",IF(J436="","",IF(J436&gt;=0,"",IF(O436=0,"No replacement buy found",IF(P436&gt;1,"Manual selection needed","Auto matched"))))))</f>
        <v/>
      </c>
      <c r="Z436" t="str">
        <f>IF(K436="Yes",COUNTIF($K$18:K436,"Yes"),"")</f>
        <v/>
      </c>
    </row>
    <row r="437" spans="1:26" ht="34.15" hidden="1" customHeight="1" x14ac:dyDescent="0.2">
      <c r="A437" s="10"/>
      <c r="B437" s="71"/>
      <c r="C437" s="33"/>
      <c r="D437" s="72"/>
      <c r="E437" s="71"/>
      <c r="F437" s="72"/>
      <c r="G437" s="33"/>
      <c r="H437" s="73" t="str">
        <f>IF(OR(C437="",D437=""),"",C437*D437)</f>
        <v/>
      </c>
      <c r="I437" s="73" t="str">
        <f>IF(OR(E437="",F437="",M437&lt;=0),"",M437*F437)</f>
        <v/>
      </c>
      <c r="J437" s="73" t="str">
        <f>IF(I437="","",I437-(M437*D437))</f>
        <v/>
      </c>
      <c r="K437" s="29" t="str">
        <f>IF(A437="","",IF(T437&gt;0,"Yes","No"))</f>
        <v/>
      </c>
      <c r="L437" s="29" t="str">
        <f>IF(A437="","",A437&amp;"-"&amp;TEXT(B437,"yyyymmdd")&amp;"-R"&amp;ROW())</f>
        <v/>
      </c>
      <c r="M437" s="29" t="str">
        <f>IF(OR(C437="",G437=""),"",C437-G437)</f>
        <v/>
      </c>
      <c r="N437" s="73" t="str">
        <f>IF(OR(M437&lt;=0,J437&gt;=0),"",ABS(J437)/M437)</f>
        <v/>
      </c>
      <c r="O437" s="73" t="str">
        <f>IF(OR(A437="",M437&lt;=0,J437&gt;=0),"",MIN(M437,SUMPRODUCT(($A$18:$A$379=A437)*(IFERROR($B$18:$B$379&gt;=E437-30,0))*(IFERROR($B$18:$B$379&lt;=E437+30,0))*($G$18:$G$379&gt;0)*($L$18:$L$379&lt;&gt;L437)*($G$18:$G$379))+SUMPRODUCT(($A$381:$A$498=A437)*(IFERROR($B$381:$B$498&gt;=E437-30,0))*(IFERROR($B$381:$B$498&lt;=E437+30,0))*($G$381:$G$498&gt;0)*($L$381:$L$498&lt;&gt;L437)*($G$381:$G$498))))</f>
        <v/>
      </c>
      <c r="P437" s="29" t="str">
        <f>IF(OR(A437="",M437&lt;=0,J437&gt;=0),"",SUMPRODUCT(($A$18:$A$379=A437)*(IFERROR($B$18:$B$379&gt;=E437-30,0))*(IFERROR($B$18:$B$379&lt;=E437+30,0))*($G$18:$G$379&gt;0)*($L$18:$L$379&lt;&gt;L437))+SUMPRODUCT(($A$381:$A$498=A437)*(IFERROR($B$381:$B$498&gt;=E437-30,0))*(IFERROR($B$381:$B$498&lt;=E437+30,0))*($G$381:$G$498&gt;0)*($L$381:$L$498&lt;&gt;L437)))</f>
        <v/>
      </c>
      <c r="Q437" s="34" t="str">
        <f>IF(P437=1,IFERROR(INDEX($L$18:$L$379,MATCH(1,INDEX(($A$18:$A$379=A437)*(IFERROR($B$18:$B$379&gt;=E437-30,0))*(IFERROR($B$18:$B$379&lt;=E437+30,0))*($G$18:$G$379&gt;0)*($L$18:$L$379&lt;&gt;L437),0),0)),IFERROR(INDEX($L$381:$L$498,MATCH(1,INDEX(($A$381:$A$498=A437)*(IFERROR($B$381:$B$498&gt;=E437-30,0))*(IFERROR($B$381:$B$498&lt;=E437+30,0))*($G$381:$G$498&gt;0)*($L$381:$L$498&lt;&gt;L437),0),0)),"")),"")</f>
        <v/>
      </c>
      <c r="R437" s="35"/>
      <c r="S437" s="34" t="str">
        <f>IF(R437&lt;&gt;"",R437,Q437)</f>
        <v/>
      </c>
      <c r="T437" s="73">
        <f>IF(OR(N437="",O437=0),0,N437*O437)</f>
        <v>0</v>
      </c>
      <c r="U437" s="73">
        <f>IF(COUNTIF($S$18:$S$498,L437)=0,"",SUMIF($S$18:$S$498,L437,$T$18:$T$498))</f>
        <v>0</v>
      </c>
      <c r="V437" s="73" t="str">
        <f>IF(H437="","",IFERROR(H437+U437,H437))</f>
        <v/>
      </c>
      <c r="W437" s="73" t="str">
        <f>IF(OR(V437="",C437=""),"",V437/C437)</f>
        <v/>
      </c>
      <c r="X437" s="12" t="str">
        <f>IF(A437="","",IF(AND(U437&lt;&gt;"",U437&lt;&gt;0,M437=0),"Replacement lot receiving wash basis",IF(J437="","",IF(J437&gt;=0,"",IF(O437=0,"No replacement buy found",IF(P437&gt;1,"Manual selection needed","Auto matched"))))))</f>
        <v/>
      </c>
      <c r="Z437" t="str">
        <f>IF(K437="Yes",COUNTIF($K$18:K437,"Yes"),"")</f>
        <v/>
      </c>
    </row>
    <row r="438" spans="1:26" ht="34.15" hidden="1" customHeight="1" x14ac:dyDescent="0.2">
      <c r="A438" s="10"/>
      <c r="B438" s="71"/>
      <c r="C438" s="33"/>
      <c r="D438" s="72"/>
      <c r="E438" s="71"/>
      <c r="F438" s="72"/>
      <c r="G438" s="33"/>
      <c r="H438" s="73" t="str">
        <f>IF(OR(C438="",D438=""),"",C438*D438)</f>
        <v/>
      </c>
      <c r="I438" s="73" t="str">
        <f>IF(OR(E438="",F438="",M438&lt;=0),"",M438*F438)</f>
        <v/>
      </c>
      <c r="J438" s="73" t="str">
        <f>IF(I438="","",I438-(M438*D438))</f>
        <v/>
      </c>
      <c r="K438" s="29" t="str">
        <f>IF(A438="","",IF(T438&gt;0,"Yes","No"))</f>
        <v/>
      </c>
      <c r="L438" s="29" t="str">
        <f>IF(A438="","",A438&amp;"-"&amp;TEXT(B438,"yyyymmdd")&amp;"-R"&amp;ROW())</f>
        <v/>
      </c>
      <c r="M438" s="29" t="str">
        <f>IF(OR(C438="",G438=""),"",C438-G438)</f>
        <v/>
      </c>
      <c r="N438" s="73" t="str">
        <f>IF(OR(M438&lt;=0,J438&gt;=0),"",ABS(J438)/M438)</f>
        <v/>
      </c>
      <c r="O438" s="73" t="str">
        <f>IF(OR(A438="",M438&lt;=0,J438&gt;=0),"",MIN(M438,SUMPRODUCT(($A$18:$A$379=A438)*(IFERROR($B$18:$B$379&gt;=E438-30,0))*(IFERROR($B$18:$B$379&lt;=E438+30,0))*($G$18:$G$379&gt;0)*($L$18:$L$379&lt;&gt;L438)*($G$18:$G$379))+SUMPRODUCT(($A$381:$A$498=A438)*(IFERROR($B$381:$B$498&gt;=E438-30,0))*(IFERROR($B$381:$B$498&lt;=E438+30,0))*($G$381:$G$498&gt;0)*($L$381:$L$498&lt;&gt;L438)*($G$381:$G$498))))</f>
        <v/>
      </c>
      <c r="P438" s="29" t="str">
        <f>IF(OR(A438="",M438&lt;=0,J438&gt;=0),"",SUMPRODUCT(($A$18:$A$379=A438)*(IFERROR($B$18:$B$379&gt;=E438-30,0))*(IFERROR($B$18:$B$379&lt;=E438+30,0))*($G$18:$G$379&gt;0)*($L$18:$L$379&lt;&gt;L438))+SUMPRODUCT(($A$381:$A$498=A438)*(IFERROR($B$381:$B$498&gt;=E438-30,0))*(IFERROR($B$381:$B$498&lt;=E438+30,0))*($G$381:$G$498&gt;0)*($L$381:$L$498&lt;&gt;L438)))</f>
        <v/>
      </c>
      <c r="Q438" s="34" t="str">
        <f>IF(P438=1,IFERROR(INDEX($L$18:$L$379,MATCH(1,INDEX(($A$18:$A$379=A438)*(IFERROR($B$18:$B$379&gt;=E438-30,0))*(IFERROR($B$18:$B$379&lt;=E438+30,0))*($G$18:$G$379&gt;0)*($L$18:$L$379&lt;&gt;L438),0),0)),IFERROR(INDEX($L$381:$L$498,MATCH(1,INDEX(($A$381:$A$498=A438)*(IFERROR($B$381:$B$498&gt;=E438-30,0))*(IFERROR($B$381:$B$498&lt;=E438+30,0))*($G$381:$G$498&gt;0)*($L$381:$L$498&lt;&gt;L438),0),0)),"")),"")</f>
        <v/>
      </c>
      <c r="R438" s="35"/>
      <c r="S438" s="34" t="str">
        <f>IF(R438&lt;&gt;"",R438,Q438)</f>
        <v/>
      </c>
      <c r="T438" s="73">
        <f>IF(OR(N438="",O438=0),0,N438*O438)</f>
        <v>0</v>
      </c>
      <c r="U438" s="73">
        <f>IF(COUNTIF($S$18:$S$498,L438)=0,"",SUMIF($S$18:$S$498,L438,$T$18:$T$498))</f>
        <v>0</v>
      </c>
      <c r="V438" s="73" t="str">
        <f>IF(H438="","",IFERROR(H438+U438,H438))</f>
        <v/>
      </c>
      <c r="W438" s="73" t="str">
        <f>IF(OR(V438="",C438=""),"",V438/C438)</f>
        <v/>
      </c>
      <c r="X438" s="12" t="str">
        <f>IF(A438="","",IF(AND(U438&lt;&gt;"",U438&lt;&gt;0,M438=0),"Replacement lot receiving wash basis",IF(J438="","",IF(J438&gt;=0,"",IF(O438=0,"No replacement buy found",IF(P438&gt;1,"Manual selection needed","Auto matched"))))))</f>
        <v/>
      </c>
      <c r="Z438" t="str">
        <f>IF(K438="Yes",COUNTIF($K$18:K438,"Yes"),"")</f>
        <v/>
      </c>
    </row>
    <row r="439" spans="1:26" ht="34.15" hidden="1" customHeight="1" x14ac:dyDescent="0.2">
      <c r="A439" s="10"/>
      <c r="B439" s="71"/>
      <c r="C439" s="33"/>
      <c r="D439" s="72"/>
      <c r="E439" s="71"/>
      <c r="F439" s="72"/>
      <c r="G439" s="33"/>
      <c r="H439" s="73" t="str">
        <f>IF(OR(C439="",D439=""),"",C439*D439)</f>
        <v/>
      </c>
      <c r="I439" s="73" t="str">
        <f>IF(OR(E439="",F439="",M439&lt;=0),"",M439*F439)</f>
        <v/>
      </c>
      <c r="J439" s="73" t="str">
        <f>IF(I439="","",I439-(M439*D439))</f>
        <v/>
      </c>
      <c r="K439" s="29" t="str">
        <f>IF(A439="","",IF(T439&gt;0,"Yes","No"))</f>
        <v/>
      </c>
      <c r="L439" s="29" t="str">
        <f>IF(A439="","",A439&amp;"-"&amp;TEXT(B439,"yyyymmdd")&amp;"-R"&amp;ROW())</f>
        <v/>
      </c>
      <c r="M439" s="29" t="str">
        <f>IF(OR(C439="",G439=""),"",C439-G439)</f>
        <v/>
      </c>
      <c r="N439" s="73" t="str">
        <f>IF(OR(M439&lt;=0,J439&gt;=0),"",ABS(J439)/M439)</f>
        <v/>
      </c>
      <c r="O439" s="73" t="str">
        <f>IF(OR(A439="",M439&lt;=0,J439&gt;=0),"",MIN(M439,SUMPRODUCT(($A$18:$A$379=A439)*(IFERROR($B$18:$B$379&gt;=E439-30,0))*(IFERROR($B$18:$B$379&lt;=E439+30,0))*($G$18:$G$379&gt;0)*($L$18:$L$379&lt;&gt;L439)*($G$18:$G$379))+SUMPRODUCT(($A$381:$A$498=A439)*(IFERROR($B$381:$B$498&gt;=E439-30,0))*(IFERROR($B$381:$B$498&lt;=E439+30,0))*($G$381:$G$498&gt;0)*($L$381:$L$498&lt;&gt;L439)*($G$381:$G$498))))</f>
        <v/>
      </c>
      <c r="P439" s="29" t="str">
        <f>IF(OR(A439="",M439&lt;=0,J439&gt;=0),"",SUMPRODUCT(($A$18:$A$379=A439)*(IFERROR($B$18:$B$379&gt;=E439-30,0))*(IFERROR($B$18:$B$379&lt;=E439+30,0))*($G$18:$G$379&gt;0)*($L$18:$L$379&lt;&gt;L439))+SUMPRODUCT(($A$381:$A$498=A439)*(IFERROR($B$381:$B$498&gt;=E439-30,0))*(IFERROR($B$381:$B$498&lt;=E439+30,0))*($G$381:$G$498&gt;0)*($L$381:$L$498&lt;&gt;L439)))</f>
        <v/>
      </c>
      <c r="Q439" s="34" t="str">
        <f>IF(P439=1,IFERROR(INDEX($L$18:$L$379,MATCH(1,INDEX(($A$18:$A$379=A439)*(IFERROR($B$18:$B$379&gt;=E439-30,0))*(IFERROR($B$18:$B$379&lt;=E439+30,0))*($G$18:$G$379&gt;0)*($L$18:$L$379&lt;&gt;L439),0),0)),IFERROR(INDEX($L$381:$L$498,MATCH(1,INDEX(($A$381:$A$498=A439)*(IFERROR($B$381:$B$498&gt;=E439-30,0))*(IFERROR($B$381:$B$498&lt;=E439+30,0))*($G$381:$G$498&gt;0)*($L$381:$L$498&lt;&gt;L439),0),0)),"")),"")</f>
        <v/>
      </c>
      <c r="R439" s="35"/>
      <c r="S439" s="34" t="str">
        <f>IF(R439&lt;&gt;"",R439,Q439)</f>
        <v/>
      </c>
      <c r="T439" s="73">
        <f>IF(OR(N439="",O439=0),0,N439*O439)</f>
        <v>0</v>
      </c>
      <c r="U439" s="73">
        <f>IF(COUNTIF($S$18:$S$498,L439)=0,"",SUMIF($S$18:$S$498,L439,$T$18:$T$498))</f>
        <v>0</v>
      </c>
      <c r="V439" s="73" t="str">
        <f>IF(H439="","",IFERROR(H439+U439,H439))</f>
        <v/>
      </c>
      <c r="W439" s="73" t="str">
        <f>IF(OR(V439="",C439=""),"",V439/C439)</f>
        <v/>
      </c>
      <c r="X439" s="12" t="str">
        <f>IF(A439="","",IF(AND(U439&lt;&gt;"",U439&lt;&gt;0,M439=0),"Replacement lot receiving wash basis",IF(J439="","",IF(J439&gt;=0,"",IF(O439=0,"No replacement buy found",IF(P439&gt;1,"Manual selection needed","Auto matched"))))))</f>
        <v/>
      </c>
      <c r="Z439" t="str">
        <f>IF(K439="Yes",COUNTIF($K$18:K439,"Yes"),"")</f>
        <v/>
      </c>
    </row>
    <row r="440" spans="1:26" ht="34.15" hidden="1" customHeight="1" x14ac:dyDescent="0.2">
      <c r="A440" s="10"/>
      <c r="B440" s="71"/>
      <c r="C440" s="33"/>
      <c r="D440" s="72"/>
      <c r="E440" s="71"/>
      <c r="F440" s="72"/>
      <c r="G440" s="33"/>
      <c r="H440" s="73" t="str">
        <f>IF(OR(C440="",D440=""),"",C440*D440)</f>
        <v/>
      </c>
      <c r="I440" s="73" t="str">
        <f>IF(OR(E440="",F440="",M440&lt;=0),"",M440*F440)</f>
        <v/>
      </c>
      <c r="J440" s="73" t="str">
        <f>IF(I440="","",I440-(M440*D440))</f>
        <v/>
      </c>
      <c r="K440" s="29" t="str">
        <f>IF(A440="","",IF(T440&gt;0,"Yes","No"))</f>
        <v/>
      </c>
      <c r="L440" s="29" t="str">
        <f>IF(A440="","",A440&amp;"-"&amp;TEXT(B440,"yyyymmdd")&amp;"-R"&amp;ROW())</f>
        <v/>
      </c>
      <c r="M440" s="29" t="str">
        <f>IF(OR(C440="",G440=""),"",C440-G440)</f>
        <v/>
      </c>
      <c r="N440" s="73" t="str">
        <f>IF(OR(M440&lt;=0,J440&gt;=0),"",ABS(J440)/M440)</f>
        <v/>
      </c>
      <c r="O440" s="73" t="str">
        <f>IF(OR(A440="",M440&lt;=0,J440&gt;=0),"",MIN(M440,SUMPRODUCT(($A$18:$A$379=A440)*(IFERROR($B$18:$B$379&gt;=E440-30,0))*(IFERROR($B$18:$B$379&lt;=E440+30,0))*($G$18:$G$379&gt;0)*($L$18:$L$379&lt;&gt;L440)*($G$18:$G$379))+SUMPRODUCT(($A$381:$A$498=A440)*(IFERROR($B$381:$B$498&gt;=E440-30,0))*(IFERROR($B$381:$B$498&lt;=E440+30,0))*($G$381:$G$498&gt;0)*($L$381:$L$498&lt;&gt;L440)*($G$381:$G$498))))</f>
        <v/>
      </c>
      <c r="P440" s="29" t="str">
        <f>IF(OR(A440="",M440&lt;=0,J440&gt;=0),"",SUMPRODUCT(($A$18:$A$379=A440)*(IFERROR($B$18:$B$379&gt;=E440-30,0))*(IFERROR($B$18:$B$379&lt;=E440+30,0))*($G$18:$G$379&gt;0)*($L$18:$L$379&lt;&gt;L440))+SUMPRODUCT(($A$381:$A$498=A440)*(IFERROR($B$381:$B$498&gt;=E440-30,0))*(IFERROR($B$381:$B$498&lt;=E440+30,0))*($G$381:$G$498&gt;0)*($L$381:$L$498&lt;&gt;L440)))</f>
        <v/>
      </c>
      <c r="Q440" s="34" t="str">
        <f>IF(P440=1,IFERROR(INDEX($L$18:$L$379,MATCH(1,INDEX(($A$18:$A$379=A440)*(IFERROR($B$18:$B$379&gt;=E440-30,0))*(IFERROR($B$18:$B$379&lt;=E440+30,0))*($G$18:$G$379&gt;0)*($L$18:$L$379&lt;&gt;L440),0),0)),IFERROR(INDEX($L$381:$L$498,MATCH(1,INDEX(($A$381:$A$498=A440)*(IFERROR($B$381:$B$498&gt;=E440-30,0))*(IFERROR($B$381:$B$498&lt;=E440+30,0))*($G$381:$G$498&gt;0)*($L$381:$L$498&lt;&gt;L440),0),0)),"")),"")</f>
        <v/>
      </c>
      <c r="R440" s="35"/>
      <c r="S440" s="34" t="str">
        <f>IF(R440&lt;&gt;"",R440,Q440)</f>
        <v/>
      </c>
      <c r="T440" s="73">
        <f>IF(OR(N440="",O440=0),0,N440*O440)</f>
        <v>0</v>
      </c>
      <c r="U440" s="73">
        <f>IF(COUNTIF($S$18:$S$498,L440)=0,"",SUMIF($S$18:$S$498,L440,$T$18:$T$498))</f>
        <v>0</v>
      </c>
      <c r="V440" s="73" t="str">
        <f>IF(H440="","",IFERROR(H440+U440,H440))</f>
        <v/>
      </c>
      <c r="W440" s="73" t="str">
        <f>IF(OR(V440="",C440=""),"",V440/C440)</f>
        <v/>
      </c>
      <c r="X440" s="12" t="str">
        <f>IF(A440="","",IF(AND(U440&lt;&gt;"",U440&lt;&gt;0,M440=0),"Replacement lot receiving wash basis",IF(J440="","",IF(J440&gt;=0,"",IF(O440=0,"No replacement buy found",IF(P440&gt;1,"Manual selection needed","Auto matched"))))))</f>
        <v/>
      </c>
      <c r="Z440" t="str">
        <f>IF(K440="Yes",COUNTIF($K$18:K440,"Yes"),"")</f>
        <v/>
      </c>
    </row>
    <row r="441" spans="1:26" ht="34.15" hidden="1" customHeight="1" x14ac:dyDescent="0.2">
      <c r="A441" s="10"/>
      <c r="B441" s="71"/>
      <c r="C441" s="33"/>
      <c r="D441" s="72"/>
      <c r="E441" s="71"/>
      <c r="F441" s="72"/>
      <c r="G441" s="33"/>
      <c r="H441" s="73" t="str">
        <f>IF(OR(C441="",D441=""),"",C441*D441)</f>
        <v/>
      </c>
      <c r="I441" s="73" t="str">
        <f>IF(OR(E441="",F441="",M441&lt;=0),"",M441*F441)</f>
        <v/>
      </c>
      <c r="J441" s="73" t="str">
        <f>IF(I441="","",I441-(M441*D441))</f>
        <v/>
      </c>
      <c r="K441" s="29" t="str">
        <f>IF(A441="","",IF(T441&gt;0,"Yes","No"))</f>
        <v/>
      </c>
      <c r="L441" s="29" t="str">
        <f>IF(A441="","",A441&amp;"-"&amp;TEXT(B441,"yyyymmdd")&amp;"-R"&amp;ROW())</f>
        <v/>
      </c>
      <c r="M441" s="29" t="str">
        <f>IF(OR(C441="",G441=""),"",C441-G441)</f>
        <v/>
      </c>
      <c r="N441" s="73" t="str">
        <f>IF(OR(M441&lt;=0,J441&gt;=0),"",ABS(J441)/M441)</f>
        <v/>
      </c>
      <c r="O441" s="73" t="str">
        <f>IF(OR(A441="",M441&lt;=0,J441&gt;=0),"",MIN(M441,SUMPRODUCT(($A$18:$A$379=A441)*(IFERROR($B$18:$B$379&gt;=E441-30,0))*(IFERROR($B$18:$B$379&lt;=E441+30,0))*($G$18:$G$379&gt;0)*($L$18:$L$379&lt;&gt;L441)*($G$18:$G$379))+SUMPRODUCT(($A$381:$A$498=A441)*(IFERROR($B$381:$B$498&gt;=E441-30,0))*(IFERROR($B$381:$B$498&lt;=E441+30,0))*($G$381:$G$498&gt;0)*($L$381:$L$498&lt;&gt;L441)*($G$381:$G$498))))</f>
        <v/>
      </c>
      <c r="P441" s="29" t="str">
        <f>IF(OR(A441="",M441&lt;=0,J441&gt;=0),"",SUMPRODUCT(($A$18:$A$379=A441)*(IFERROR($B$18:$B$379&gt;=E441-30,0))*(IFERROR($B$18:$B$379&lt;=E441+30,0))*($G$18:$G$379&gt;0)*($L$18:$L$379&lt;&gt;L441))+SUMPRODUCT(($A$381:$A$498=A441)*(IFERROR($B$381:$B$498&gt;=E441-30,0))*(IFERROR($B$381:$B$498&lt;=E441+30,0))*($G$381:$G$498&gt;0)*($L$381:$L$498&lt;&gt;L441)))</f>
        <v/>
      </c>
      <c r="Q441" s="34" t="str">
        <f>IF(P441=1,IFERROR(INDEX($L$18:$L$379,MATCH(1,INDEX(($A$18:$A$379=A441)*(IFERROR($B$18:$B$379&gt;=E441-30,0))*(IFERROR($B$18:$B$379&lt;=E441+30,0))*($G$18:$G$379&gt;0)*($L$18:$L$379&lt;&gt;L441),0),0)),IFERROR(INDEX($L$381:$L$498,MATCH(1,INDEX(($A$381:$A$498=A441)*(IFERROR($B$381:$B$498&gt;=E441-30,0))*(IFERROR($B$381:$B$498&lt;=E441+30,0))*($G$381:$G$498&gt;0)*($L$381:$L$498&lt;&gt;L441),0),0)),"")),"")</f>
        <v/>
      </c>
      <c r="R441" s="35"/>
      <c r="S441" s="34" t="str">
        <f>IF(R441&lt;&gt;"",R441,Q441)</f>
        <v/>
      </c>
      <c r="T441" s="73">
        <f>IF(OR(N441="",O441=0),0,N441*O441)</f>
        <v>0</v>
      </c>
      <c r="U441" s="73">
        <f>IF(COUNTIF($S$18:$S$498,L441)=0,"",SUMIF($S$18:$S$498,L441,$T$18:$T$498))</f>
        <v>0</v>
      </c>
      <c r="V441" s="73" t="str">
        <f>IF(H441="","",IFERROR(H441+U441,H441))</f>
        <v/>
      </c>
      <c r="W441" s="73" t="str">
        <f>IF(OR(V441="",C441=""),"",V441/C441)</f>
        <v/>
      </c>
      <c r="X441" s="12" t="str">
        <f>IF(A441="","",IF(AND(U441&lt;&gt;"",U441&lt;&gt;0,M441=0),"Replacement lot receiving wash basis",IF(J441="","",IF(J441&gt;=0,"",IF(O441=0,"No replacement buy found",IF(P441&gt;1,"Manual selection needed","Auto matched"))))))</f>
        <v/>
      </c>
      <c r="Z441" t="str">
        <f>IF(K441="Yes",COUNTIF($K$18:K441,"Yes"),"")</f>
        <v/>
      </c>
    </row>
    <row r="442" spans="1:26" ht="34.15" hidden="1" customHeight="1" x14ac:dyDescent="0.2">
      <c r="A442" s="10"/>
      <c r="B442" s="71"/>
      <c r="C442" s="33"/>
      <c r="D442" s="72"/>
      <c r="E442" s="71"/>
      <c r="F442" s="72"/>
      <c r="G442" s="33"/>
      <c r="H442" s="73" t="str">
        <f>IF(OR(C442="",D442=""),"",C442*D442)</f>
        <v/>
      </c>
      <c r="I442" s="73" t="str">
        <f>IF(OR(E442="",F442="",M442&lt;=0),"",M442*F442)</f>
        <v/>
      </c>
      <c r="J442" s="73" t="str">
        <f>IF(I442="","",I442-(M442*D442))</f>
        <v/>
      </c>
      <c r="K442" s="29" t="str">
        <f>IF(A442="","",IF(T442&gt;0,"Yes","No"))</f>
        <v/>
      </c>
      <c r="L442" s="29" t="str">
        <f>IF(A442="","",A442&amp;"-"&amp;TEXT(B442,"yyyymmdd")&amp;"-R"&amp;ROW())</f>
        <v/>
      </c>
      <c r="M442" s="29" t="str">
        <f>IF(OR(C442="",G442=""),"",C442-G442)</f>
        <v/>
      </c>
      <c r="N442" s="73" t="str">
        <f>IF(OR(M442&lt;=0,J442&gt;=0),"",ABS(J442)/M442)</f>
        <v/>
      </c>
      <c r="O442" s="73" t="str">
        <f>IF(OR(A442="",M442&lt;=0,J442&gt;=0),"",MIN(M442,SUMPRODUCT(($A$18:$A$379=A442)*(IFERROR($B$18:$B$379&gt;=E442-30,0))*(IFERROR($B$18:$B$379&lt;=E442+30,0))*($G$18:$G$379&gt;0)*($L$18:$L$379&lt;&gt;L442)*($G$18:$G$379))+SUMPRODUCT(($A$381:$A$498=A442)*(IFERROR($B$381:$B$498&gt;=E442-30,0))*(IFERROR($B$381:$B$498&lt;=E442+30,0))*($G$381:$G$498&gt;0)*($L$381:$L$498&lt;&gt;L442)*($G$381:$G$498))))</f>
        <v/>
      </c>
      <c r="P442" s="29" t="str">
        <f>IF(OR(A442="",M442&lt;=0,J442&gt;=0),"",SUMPRODUCT(($A$18:$A$379=A442)*(IFERROR($B$18:$B$379&gt;=E442-30,0))*(IFERROR($B$18:$B$379&lt;=E442+30,0))*($G$18:$G$379&gt;0)*($L$18:$L$379&lt;&gt;L442))+SUMPRODUCT(($A$381:$A$498=A442)*(IFERROR($B$381:$B$498&gt;=E442-30,0))*(IFERROR($B$381:$B$498&lt;=E442+30,0))*($G$381:$G$498&gt;0)*($L$381:$L$498&lt;&gt;L442)))</f>
        <v/>
      </c>
      <c r="Q442" s="34" t="str">
        <f>IF(P442=1,IFERROR(INDEX($L$18:$L$379,MATCH(1,INDEX(($A$18:$A$379=A442)*(IFERROR($B$18:$B$379&gt;=E442-30,0))*(IFERROR($B$18:$B$379&lt;=E442+30,0))*($G$18:$G$379&gt;0)*($L$18:$L$379&lt;&gt;L442),0),0)),IFERROR(INDEX($L$381:$L$498,MATCH(1,INDEX(($A$381:$A$498=A442)*(IFERROR($B$381:$B$498&gt;=E442-30,0))*(IFERROR($B$381:$B$498&lt;=E442+30,0))*($G$381:$G$498&gt;0)*($L$381:$L$498&lt;&gt;L442),0),0)),"")),"")</f>
        <v/>
      </c>
      <c r="R442" s="35"/>
      <c r="S442" s="34" t="str">
        <f>IF(R442&lt;&gt;"",R442,Q442)</f>
        <v/>
      </c>
      <c r="T442" s="73">
        <f>IF(OR(N442="",O442=0),0,N442*O442)</f>
        <v>0</v>
      </c>
      <c r="U442" s="73">
        <f>IF(COUNTIF($S$18:$S$498,L442)=0,"",SUMIF($S$18:$S$498,L442,$T$18:$T$498))</f>
        <v>0</v>
      </c>
      <c r="V442" s="73" t="str">
        <f>IF(H442="","",IFERROR(H442+U442,H442))</f>
        <v/>
      </c>
      <c r="W442" s="73" t="str">
        <f>IF(OR(V442="",C442=""),"",V442/C442)</f>
        <v/>
      </c>
      <c r="X442" s="12" t="str">
        <f>IF(A442="","",IF(AND(U442&lt;&gt;"",U442&lt;&gt;0,M442=0),"Replacement lot receiving wash basis",IF(J442="","",IF(J442&gt;=0,"",IF(O442=0,"No replacement buy found",IF(P442&gt;1,"Manual selection needed","Auto matched"))))))</f>
        <v/>
      </c>
      <c r="Z442" t="str">
        <f>IF(K442="Yes",COUNTIF($K$18:K442,"Yes"),"")</f>
        <v/>
      </c>
    </row>
    <row r="443" spans="1:26" ht="34.15" hidden="1" customHeight="1" x14ac:dyDescent="0.2">
      <c r="A443" s="10"/>
      <c r="B443" s="71"/>
      <c r="C443" s="33"/>
      <c r="D443" s="72"/>
      <c r="E443" s="71"/>
      <c r="F443" s="72"/>
      <c r="G443" s="33"/>
      <c r="H443" s="73" t="str">
        <f>IF(OR(C443="",D443=""),"",C443*D443)</f>
        <v/>
      </c>
      <c r="I443" s="73" t="str">
        <f>IF(OR(E443="",F443="",M443&lt;=0),"",M443*F443)</f>
        <v/>
      </c>
      <c r="J443" s="73" t="str">
        <f>IF(I443="","",I443-(M443*D443))</f>
        <v/>
      </c>
      <c r="K443" s="29" t="str">
        <f>IF(A443="","",IF(T443&gt;0,"Yes","No"))</f>
        <v/>
      </c>
      <c r="L443" s="29" t="str">
        <f>IF(A443="","",A443&amp;"-"&amp;TEXT(B443,"yyyymmdd")&amp;"-R"&amp;ROW())</f>
        <v/>
      </c>
      <c r="M443" s="29" t="str">
        <f>IF(OR(C443="",G443=""),"",C443-G443)</f>
        <v/>
      </c>
      <c r="N443" s="73" t="str">
        <f>IF(OR(M443&lt;=0,J443&gt;=0),"",ABS(J443)/M443)</f>
        <v/>
      </c>
      <c r="O443" s="73" t="str">
        <f>IF(OR(A443="",M443&lt;=0,J443&gt;=0),"",MIN(M443,SUMPRODUCT(($A$18:$A$379=A443)*(IFERROR($B$18:$B$379&gt;=E443-30,0))*(IFERROR($B$18:$B$379&lt;=E443+30,0))*($G$18:$G$379&gt;0)*($L$18:$L$379&lt;&gt;L443)*($G$18:$G$379))+SUMPRODUCT(($A$381:$A$498=A443)*(IFERROR($B$381:$B$498&gt;=E443-30,0))*(IFERROR($B$381:$B$498&lt;=E443+30,0))*($G$381:$G$498&gt;0)*($L$381:$L$498&lt;&gt;L443)*($G$381:$G$498))))</f>
        <v/>
      </c>
      <c r="P443" s="29" t="str">
        <f>IF(OR(A443="",M443&lt;=0,J443&gt;=0),"",SUMPRODUCT(($A$18:$A$379=A443)*(IFERROR($B$18:$B$379&gt;=E443-30,0))*(IFERROR($B$18:$B$379&lt;=E443+30,0))*($G$18:$G$379&gt;0)*($L$18:$L$379&lt;&gt;L443))+SUMPRODUCT(($A$381:$A$498=A443)*(IFERROR($B$381:$B$498&gt;=E443-30,0))*(IFERROR($B$381:$B$498&lt;=E443+30,0))*($G$381:$G$498&gt;0)*($L$381:$L$498&lt;&gt;L443)))</f>
        <v/>
      </c>
      <c r="Q443" s="34" t="str">
        <f>IF(P443=1,IFERROR(INDEX($L$18:$L$379,MATCH(1,INDEX(($A$18:$A$379=A443)*(IFERROR($B$18:$B$379&gt;=E443-30,0))*(IFERROR($B$18:$B$379&lt;=E443+30,0))*($G$18:$G$379&gt;0)*($L$18:$L$379&lt;&gt;L443),0),0)),IFERROR(INDEX($L$381:$L$498,MATCH(1,INDEX(($A$381:$A$498=A443)*(IFERROR($B$381:$B$498&gt;=E443-30,0))*(IFERROR($B$381:$B$498&lt;=E443+30,0))*($G$381:$G$498&gt;0)*($L$381:$L$498&lt;&gt;L443),0),0)),"")),"")</f>
        <v/>
      </c>
      <c r="R443" s="35"/>
      <c r="S443" s="34" t="str">
        <f>IF(R443&lt;&gt;"",R443,Q443)</f>
        <v/>
      </c>
      <c r="T443" s="73">
        <f>IF(OR(N443="",O443=0),0,N443*O443)</f>
        <v>0</v>
      </c>
      <c r="U443" s="73">
        <f>IF(COUNTIF($S$18:$S$498,L443)=0,"",SUMIF($S$18:$S$498,L443,$T$18:$T$498))</f>
        <v>0</v>
      </c>
      <c r="V443" s="73" t="str">
        <f>IF(H443="","",IFERROR(H443+U443,H443))</f>
        <v/>
      </c>
      <c r="W443" s="73" t="str">
        <f>IF(OR(V443="",C443=""),"",V443/C443)</f>
        <v/>
      </c>
      <c r="X443" s="12" t="str">
        <f>IF(A443="","",IF(AND(U443&lt;&gt;"",U443&lt;&gt;0,M443=0),"Replacement lot receiving wash basis",IF(J443="","",IF(J443&gt;=0,"",IF(O443=0,"No replacement buy found",IF(P443&gt;1,"Manual selection needed","Auto matched"))))))</f>
        <v/>
      </c>
      <c r="Z443" t="str">
        <f>IF(K443="Yes",COUNTIF($K$18:K443,"Yes"),"")</f>
        <v/>
      </c>
    </row>
    <row r="444" spans="1:26" ht="34.15" hidden="1" customHeight="1" x14ac:dyDescent="0.2">
      <c r="A444" s="10"/>
      <c r="B444" s="71"/>
      <c r="C444" s="33"/>
      <c r="D444" s="72"/>
      <c r="E444" s="71"/>
      <c r="F444" s="72"/>
      <c r="G444" s="33"/>
      <c r="H444" s="73" t="str">
        <f>IF(OR(C444="",D444=""),"",C444*D444)</f>
        <v/>
      </c>
      <c r="I444" s="73" t="str">
        <f>IF(OR(E444="",F444="",M444&lt;=0),"",M444*F444)</f>
        <v/>
      </c>
      <c r="J444" s="73" t="str">
        <f>IF(I444="","",I444-(M444*D444))</f>
        <v/>
      </c>
      <c r="K444" s="29" t="str">
        <f>IF(A444="","",IF(T444&gt;0,"Yes","No"))</f>
        <v/>
      </c>
      <c r="L444" s="29" t="str">
        <f>IF(A444="","",A444&amp;"-"&amp;TEXT(B444,"yyyymmdd")&amp;"-R"&amp;ROW())</f>
        <v/>
      </c>
      <c r="M444" s="29" t="str">
        <f>IF(OR(C444="",G444=""),"",C444-G444)</f>
        <v/>
      </c>
      <c r="N444" s="73" t="str">
        <f>IF(OR(M444&lt;=0,J444&gt;=0),"",ABS(J444)/M444)</f>
        <v/>
      </c>
      <c r="O444" s="73" t="str">
        <f>IF(OR(A444="",M444&lt;=0,J444&gt;=0),"",MIN(M444,SUMPRODUCT(($A$18:$A$379=A444)*(IFERROR($B$18:$B$379&gt;=E444-30,0))*(IFERROR($B$18:$B$379&lt;=E444+30,0))*($G$18:$G$379&gt;0)*($L$18:$L$379&lt;&gt;L444)*($G$18:$G$379))+SUMPRODUCT(($A$381:$A$498=A444)*(IFERROR($B$381:$B$498&gt;=E444-30,0))*(IFERROR($B$381:$B$498&lt;=E444+30,0))*($G$381:$G$498&gt;0)*($L$381:$L$498&lt;&gt;L444)*($G$381:$G$498))))</f>
        <v/>
      </c>
      <c r="P444" s="29" t="str">
        <f>IF(OR(A444="",M444&lt;=0,J444&gt;=0),"",SUMPRODUCT(($A$18:$A$379=A444)*(IFERROR($B$18:$B$379&gt;=E444-30,0))*(IFERROR($B$18:$B$379&lt;=E444+30,0))*($G$18:$G$379&gt;0)*($L$18:$L$379&lt;&gt;L444))+SUMPRODUCT(($A$381:$A$498=A444)*(IFERROR($B$381:$B$498&gt;=E444-30,0))*(IFERROR($B$381:$B$498&lt;=E444+30,0))*($G$381:$G$498&gt;0)*($L$381:$L$498&lt;&gt;L444)))</f>
        <v/>
      </c>
      <c r="Q444" s="34" t="str">
        <f>IF(P444=1,IFERROR(INDEX($L$18:$L$379,MATCH(1,INDEX(($A$18:$A$379=A444)*(IFERROR($B$18:$B$379&gt;=E444-30,0))*(IFERROR($B$18:$B$379&lt;=E444+30,0))*($G$18:$G$379&gt;0)*($L$18:$L$379&lt;&gt;L444),0),0)),IFERROR(INDEX($L$381:$L$498,MATCH(1,INDEX(($A$381:$A$498=A444)*(IFERROR($B$381:$B$498&gt;=E444-30,0))*(IFERROR($B$381:$B$498&lt;=E444+30,0))*($G$381:$G$498&gt;0)*($L$381:$L$498&lt;&gt;L444),0),0)),"")),"")</f>
        <v/>
      </c>
      <c r="R444" s="35"/>
      <c r="S444" s="34" t="str">
        <f>IF(R444&lt;&gt;"",R444,Q444)</f>
        <v/>
      </c>
      <c r="T444" s="73">
        <f>IF(OR(N444="",O444=0),0,N444*O444)</f>
        <v>0</v>
      </c>
      <c r="U444" s="73">
        <f>IF(COUNTIF($S$18:$S$498,L444)=0,"",SUMIF($S$18:$S$498,L444,$T$18:$T$498))</f>
        <v>0</v>
      </c>
      <c r="V444" s="73" t="str">
        <f>IF(H444="","",IFERROR(H444+U444,H444))</f>
        <v/>
      </c>
      <c r="W444" s="73" t="str">
        <f>IF(OR(V444="",C444=""),"",V444/C444)</f>
        <v/>
      </c>
      <c r="X444" s="12" t="str">
        <f>IF(A444="","",IF(AND(U444&lt;&gt;"",U444&lt;&gt;0,M444=0),"Replacement lot receiving wash basis",IF(J444="","",IF(J444&gt;=0,"",IF(O444=0,"No replacement buy found",IF(P444&gt;1,"Manual selection needed","Auto matched"))))))</f>
        <v/>
      </c>
      <c r="Z444" t="str">
        <f>IF(K444="Yes",COUNTIF($K$18:K444,"Yes"),"")</f>
        <v/>
      </c>
    </row>
    <row r="445" spans="1:26" ht="34.15" hidden="1" customHeight="1" x14ac:dyDescent="0.2">
      <c r="A445" s="10"/>
      <c r="B445" s="71"/>
      <c r="C445" s="33"/>
      <c r="D445" s="72"/>
      <c r="E445" s="71"/>
      <c r="F445" s="72"/>
      <c r="G445" s="33"/>
      <c r="H445" s="73" t="str">
        <f>IF(OR(C445="",D445=""),"",C445*D445)</f>
        <v/>
      </c>
      <c r="I445" s="73" t="str">
        <f>IF(OR(E445="",F445="",M445&lt;=0),"",M445*F445)</f>
        <v/>
      </c>
      <c r="J445" s="73" t="str">
        <f>IF(I445="","",I445-(M445*D445))</f>
        <v/>
      </c>
      <c r="K445" s="29" t="str">
        <f>IF(A445="","",IF(T445&gt;0,"Yes","No"))</f>
        <v/>
      </c>
      <c r="L445" s="29" t="str">
        <f>IF(A445="","",A445&amp;"-"&amp;TEXT(B445,"yyyymmdd")&amp;"-R"&amp;ROW())</f>
        <v/>
      </c>
      <c r="M445" s="29" t="str">
        <f>IF(OR(C445="",G445=""),"",C445-G445)</f>
        <v/>
      </c>
      <c r="N445" s="73" t="str">
        <f>IF(OR(M445&lt;=0,J445&gt;=0),"",ABS(J445)/M445)</f>
        <v/>
      </c>
      <c r="O445" s="73" t="str">
        <f>IF(OR(A445="",M445&lt;=0,J445&gt;=0),"",MIN(M445,SUMPRODUCT(($A$18:$A$379=A445)*(IFERROR($B$18:$B$379&gt;=E445-30,0))*(IFERROR($B$18:$B$379&lt;=E445+30,0))*($G$18:$G$379&gt;0)*($L$18:$L$379&lt;&gt;L445)*($G$18:$G$379))+SUMPRODUCT(($A$381:$A$498=A445)*(IFERROR($B$381:$B$498&gt;=E445-30,0))*(IFERROR($B$381:$B$498&lt;=E445+30,0))*($G$381:$G$498&gt;0)*($L$381:$L$498&lt;&gt;L445)*($G$381:$G$498))))</f>
        <v/>
      </c>
      <c r="P445" s="29" t="str">
        <f>IF(OR(A445="",M445&lt;=0,J445&gt;=0),"",SUMPRODUCT(($A$18:$A$379=A445)*(IFERROR($B$18:$B$379&gt;=E445-30,0))*(IFERROR($B$18:$B$379&lt;=E445+30,0))*($G$18:$G$379&gt;0)*($L$18:$L$379&lt;&gt;L445))+SUMPRODUCT(($A$381:$A$498=A445)*(IFERROR($B$381:$B$498&gt;=E445-30,0))*(IFERROR($B$381:$B$498&lt;=E445+30,0))*($G$381:$G$498&gt;0)*($L$381:$L$498&lt;&gt;L445)))</f>
        <v/>
      </c>
      <c r="Q445" s="34" t="str">
        <f>IF(P445=1,IFERROR(INDEX($L$18:$L$379,MATCH(1,INDEX(($A$18:$A$379=A445)*(IFERROR($B$18:$B$379&gt;=E445-30,0))*(IFERROR($B$18:$B$379&lt;=E445+30,0))*($G$18:$G$379&gt;0)*($L$18:$L$379&lt;&gt;L445),0),0)),IFERROR(INDEX($L$381:$L$498,MATCH(1,INDEX(($A$381:$A$498=A445)*(IFERROR($B$381:$B$498&gt;=E445-30,0))*(IFERROR($B$381:$B$498&lt;=E445+30,0))*($G$381:$G$498&gt;0)*($L$381:$L$498&lt;&gt;L445),0),0)),"")),"")</f>
        <v/>
      </c>
      <c r="R445" s="35"/>
      <c r="S445" s="34" t="str">
        <f>IF(R445&lt;&gt;"",R445,Q445)</f>
        <v/>
      </c>
      <c r="T445" s="73">
        <f>IF(OR(N445="",O445=0),0,N445*O445)</f>
        <v>0</v>
      </c>
      <c r="U445" s="73">
        <f>IF(COUNTIF($S$18:$S$498,L445)=0,"",SUMIF($S$18:$S$498,L445,$T$18:$T$498))</f>
        <v>0</v>
      </c>
      <c r="V445" s="73" t="str">
        <f>IF(H445="","",IFERROR(H445+U445,H445))</f>
        <v/>
      </c>
      <c r="W445" s="73" t="str">
        <f>IF(OR(V445="",C445=""),"",V445/C445)</f>
        <v/>
      </c>
      <c r="X445" s="12" t="str">
        <f>IF(A445="","",IF(AND(U445&lt;&gt;"",U445&lt;&gt;0,M445=0),"Replacement lot receiving wash basis",IF(J445="","",IF(J445&gt;=0,"",IF(O445=0,"No replacement buy found",IF(P445&gt;1,"Manual selection needed","Auto matched"))))))</f>
        <v/>
      </c>
      <c r="Z445" t="str">
        <f>IF(K445="Yes",COUNTIF($K$18:K445,"Yes"),"")</f>
        <v/>
      </c>
    </row>
    <row r="446" spans="1:26" ht="34.15" hidden="1" customHeight="1" x14ac:dyDescent="0.2">
      <c r="A446" s="10"/>
      <c r="B446" s="71"/>
      <c r="C446" s="33"/>
      <c r="D446" s="72"/>
      <c r="E446" s="71"/>
      <c r="F446" s="72"/>
      <c r="G446" s="33"/>
      <c r="H446" s="73" t="str">
        <f>IF(OR(C446="",D446=""),"",C446*D446)</f>
        <v/>
      </c>
      <c r="I446" s="73" t="str">
        <f>IF(OR(E446="",F446="",M446&lt;=0),"",M446*F446)</f>
        <v/>
      </c>
      <c r="J446" s="73" t="str">
        <f>IF(I446="","",I446-(M446*D446))</f>
        <v/>
      </c>
      <c r="K446" s="29" t="str">
        <f>IF(A446="","",IF(T446&gt;0,"Yes","No"))</f>
        <v/>
      </c>
      <c r="L446" s="29" t="str">
        <f>IF(A446="","",A446&amp;"-"&amp;TEXT(B446,"yyyymmdd")&amp;"-R"&amp;ROW())</f>
        <v/>
      </c>
      <c r="M446" s="29" t="str">
        <f>IF(OR(C446="",G446=""),"",C446-G446)</f>
        <v/>
      </c>
      <c r="N446" s="73" t="str">
        <f>IF(OR(M446&lt;=0,J446&gt;=0),"",ABS(J446)/M446)</f>
        <v/>
      </c>
      <c r="O446" s="73" t="str">
        <f>IF(OR(A446="",M446&lt;=0,J446&gt;=0),"",MIN(M446,SUMPRODUCT(($A$18:$A$379=A446)*(IFERROR($B$18:$B$379&gt;=E446-30,0))*(IFERROR($B$18:$B$379&lt;=E446+30,0))*($G$18:$G$379&gt;0)*($L$18:$L$379&lt;&gt;L446)*($G$18:$G$379))+SUMPRODUCT(($A$381:$A$498=A446)*(IFERROR($B$381:$B$498&gt;=E446-30,0))*(IFERROR($B$381:$B$498&lt;=E446+30,0))*($G$381:$G$498&gt;0)*($L$381:$L$498&lt;&gt;L446)*($G$381:$G$498))))</f>
        <v/>
      </c>
      <c r="P446" s="29" t="str">
        <f>IF(OR(A446="",M446&lt;=0,J446&gt;=0),"",SUMPRODUCT(($A$18:$A$379=A446)*(IFERROR($B$18:$B$379&gt;=E446-30,0))*(IFERROR($B$18:$B$379&lt;=E446+30,0))*($G$18:$G$379&gt;0)*($L$18:$L$379&lt;&gt;L446))+SUMPRODUCT(($A$381:$A$498=A446)*(IFERROR($B$381:$B$498&gt;=E446-30,0))*(IFERROR($B$381:$B$498&lt;=E446+30,0))*($G$381:$G$498&gt;0)*($L$381:$L$498&lt;&gt;L446)))</f>
        <v/>
      </c>
      <c r="Q446" s="34" t="str">
        <f>IF(P446=1,IFERROR(INDEX($L$18:$L$379,MATCH(1,INDEX(($A$18:$A$379=A446)*(IFERROR($B$18:$B$379&gt;=E446-30,0))*(IFERROR($B$18:$B$379&lt;=E446+30,0))*($G$18:$G$379&gt;0)*($L$18:$L$379&lt;&gt;L446),0),0)),IFERROR(INDEX($L$381:$L$498,MATCH(1,INDEX(($A$381:$A$498=A446)*(IFERROR($B$381:$B$498&gt;=E446-30,0))*(IFERROR($B$381:$B$498&lt;=E446+30,0))*($G$381:$G$498&gt;0)*($L$381:$L$498&lt;&gt;L446),0),0)),"")),"")</f>
        <v/>
      </c>
      <c r="R446" s="35"/>
      <c r="S446" s="34" t="str">
        <f>IF(R446&lt;&gt;"",R446,Q446)</f>
        <v/>
      </c>
      <c r="T446" s="73">
        <f>IF(OR(N446="",O446=0),0,N446*O446)</f>
        <v>0</v>
      </c>
      <c r="U446" s="73">
        <f>IF(COUNTIF($S$18:$S$498,L446)=0,"",SUMIF($S$18:$S$498,L446,$T$18:$T$498))</f>
        <v>0</v>
      </c>
      <c r="V446" s="73" t="str">
        <f>IF(H446="","",IFERROR(H446+U446,H446))</f>
        <v/>
      </c>
      <c r="W446" s="73" t="str">
        <f>IF(OR(V446="",C446=""),"",V446/C446)</f>
        <v/>
      </c>
      <c r="X446" s="12" t="str">
        <f>IF(A446="","",IF(AND(U446&lt;&gt;"",U446&lt;&gt;0,M446=0),"Replacement lot receiving wash basis",IF(J446="","",IF(J446&gt;=0,"",IF(O446=0,"No replacement buy found",IF(P446&gt;1,"Manual selection needed","Auto matched"))))))</f>
        <v/>
      </c>
      <c r="Z446" t="str">
        <f>IF(K446="Yes",COUNTIF($K$18:K446,"Yes"),"")</f>
        <v/>
      </c>
    </row>
    <row r="447" spans="1:26" ht="34.15" hidden="1" customHeight="1" x14ac:dyDescent="0.2">
      <c r="A447" s="10"/>
      <c r="B447" s="71"/>
      <c r="C447" s="33"/>
      <c r="D447" s="72"/>
      <c r="E447" s="71"/>
      <c r="F447" s="72"/>
      <c r="G447" s="33"/>
      <c r="H447" s="73" t="str">
        <f>IF(OR(C447="",D447=""),"",C447*D447)</f>
        <v/>
      </c>
      <c r="I447" s="73" t="str">
        <f>IF(OR(E447="",F447="",M447&lt;=0),"",M447*F447)</f>
        <v/>
      </c>
      <c r="J447" s="73" t="str">
        <f>IF(I447="","",I447-(M447*D447))</f>
        <v/>
      </c>
      <c r="K447" s="29" t="str">
        <f>IF(A447="","",IF(T447&gt;0,"Yes","No"))</f>
        <v/>
      </c>
      <c r="L447" s="29" t="str">
        <f>IF(A447="","",A447&amp;"-"&amp;TEXT(B447,"yyyymmdd")&amp;"-R"&amp;ROW())</f>
        <v/>
      </c>
      <c r="M447" s="29" t="str">
        <f>IF(OR(C447="",G447=""),"",C447-G447)</f>
        <v/>
      </c>
      <c r="N447" s="73" t="str">
        <f>IF(OR(M447&lt;=0,J447&gt;=0),"",ABS(J447)/M447)</f>
        <v/>
      </c>
      <c r="O447" s="73" t="str">
        <f>IF(OR(A447="",M447&lt;=0,J447&gt;=0),"",MIN(M447,SUMPRODUCT(($A$18:$A$379=A447)*(IFERROR($B$18:$B$379&gt;=E447-30,0))*(IFERROR($B$18:$B$379&lt;=E447+30,0))*($G$18:$G$379&gt;0)*($L$18:$L$379&lt;&gt;L447)*($G$18:$G$379))+SUMPRODUCT(($A$381:$A$498=A447)*(IFERROR($B$381:$B$498&gt;=E447-30,0))*(IFERROR($B$381:$B$498&lt;=E447+30,0))*($G$381:$G$498&gt;0)*($L$381:$L$498&lt;&gt;L447)*($G$381:$G$498))))</f>
        <v/>
      </c>
      <c r="P447" s="29" t="str">
        <f>IF(OR(A447="",M447&lt;=0,J447&gt;=0),"",SUMPRODUCT(($A$18:$A$379=A447)*(IFERROR($B$18:$B$379&gt;=E447-30,0))*(IFERROR($B$18:$B$379&lt;=E447+30,0))*($G$18:$G$379&gt;0)*($L$18:$L$379&lt;&gt;L447))+SUMPRODUCT(($A$381:$A$498=A447)*(IFERROR($B$381:$B$498&gt;=E447-30,0))*(IFERROR($B$381:$B$498&lt;=E447+30,0))*($G$381:$G$498&gt;0)*($L$381:$L$498&lt;&gt;L447)))</f>
        <v/>
      </c>
      <c r="Q447" s="34" t="str">
        <f>IF(P447=1,IFERROR(INDEX($L$18:$L$379,MATCH(1,INDEX(($A$18:$A$379=A447)*(IFERROR($B$18:$B$379&gt;=E447-30,0))*(IFERROR($B$18:$B$379&lt;=E447+30,0))*($G$18:$G$379&gt;0)*($L$18:$L$379&lt;&gt;L447),0),0)),IFERROR(INDEX($L$381:$L$498,MATCH(1,INDEX(($A$381:$A$498=A447)*(IFERROR($B$381:$B$498&gt;=E447-30,0))*(IFERROR($B$381:$B$498&lt;=E447+30,0))*($G$381:$G$498&gt;0)*($L$381:$L$498&lt;&gt;L447),0),0)),"")),"")</f>
        <v/>
      </c>
      <c r="R447" s="35"/>
      <c r="S447" s="34" t="str">
        <f>IF(R447&lt;&gt;"",R447,Q447)</f>
        <v/>
      </c>
      <c r="T447" s="73">
        <f>IF(OR(N447="",O447=0),0,N447*O447)</f>
        <v>0</v>
      </c>
      <c r="U447" s="73">
        <f>IF(COUNTIF($S$18:$S$498,L447)=0,"",SUMIF($S$18:$S$498,L447,$T$18:$T$498))</f>
        <v>0</v>
      </c>
      <c r="V447" s="73" t="str">
        <f>IF(H447="","",IFERROR(H447+U447,H447))</f>
        <v/>
      </c>
      <c r="W447" s="73" t="str">
        <f>IF(OR(V447="",C447=""),"",V447/C447)</f>
        <v/>
      </c>
      <c r="X447" s="12" t="str">
        <f>IF(A447="","",IF(AND(U447&lt;&gt;"",U447&lt;&gt;0,M447=0),"Replacement lot receiving wash basis",IF(J447="","",IF(J447&gt;=0,"",IF(O447=0,"No replacement buy found",IF(P447&gt;1,"Manual selection needed","Auto matched"))))))</f>
        <v/>
      </c>
      <c r="Z447" t="str">
        <f>IF(K447="Yes",COUNTIF($K$18:K447,"Yes"),"")</f>
        <v/>
      </c>
    </row>
    <row r="448" spans="1:26" ht="34.15" hidden="1" customHeight="1" x14ac:dyDescent="0.2">
      <c r="A448" s="10"/>
      <c r="B448" s="71"/>
      <c r="C448" s="33"/>
      <c r="D448" s="72"/>
      <c r="E448" s="71"/>
      <c r="F448" s="72"/>
      <c r="G448" s="33"/>
      <c r="H448" s="73" t="str">
        <f>IF(OR(C448="",D448=""),"",C448*D448)</f>
        <v/>
      </c>
      <c r="I448" s="73" t="str">
        <f>IF(OR(E448="",F448="",M448&lt;=0),"",M448*F448)</f>
        <v/>
      </c>
      <c r="J448" s="73" t="str">
        <f>IF(I448="","",I448-(M448*D448))</f>
        <v/>
      </c>
      <c r="K448" s="29" t="str">
        <f>IF(A448="","",IF(T448&gt;0,"Yes","No"))</f>
        <v/>
      </c>
      <c r="L448" s="29" t="str">
        <f>IF(A448="","",A448&amp;"-"&amp;TEXT(B448,"yyyymmdd")&amp;"-R"&amp;ROW())</f>
        <v/>
      </c>
      <c r="M448" s="29" t="str">
        <f>IF(OR(C448="",G448=""),"",C448-G448)</f>
        <v/>
      </c>
      <c r="N448" s="73" t="str">
        <f>IF(OR(M448&lt;=0,J448&gt;=0),"",ABS(J448)/M448)</f>
        <v/>
      </c>
      <c r="O448" s="73" t="str">
        <f>IF(OR(A448="",M448&lt;=0,J448&gt;=0),"",MIN(M448,SUMPRODUCT(($A$18:$A$379=A448)*(IFERROR($B$18:$B$379&gt;=E448-30,0))*(IFERROR($B$18:$B$379&lt;=E448+30,0))*($G$18:$G$379&gt;0)*($L$18:$L$379&lt;&gt;L448)*($G$18:$G$379))+SUMPRODUCT(($A$381:$A$498=A448)*(IFERROR($B$381:$B$498&gt;=E448-30,0))*(IFERROR($B$381:$B$498&lt;=E448+30,0))*($G$381:$G$498&gt;0)*($L$381:$L$498&lt;&gt;L448)*($G$381:$G$498))))</f>
        <v/>
      </c>
      <c r="P448" s="29" t="str">
        <f>IF(OR(A448="",M448&lt;=0,J448&gt;=0),"",SUMPRODUCT(($A$18:$A$379=A448)*(IFERROR($B$18:$B$379&gt;=E448-30,0))*(IFERROR($B$18:$B$379&lt;=E448+30,0))*($G$18:$G$379&gt;0)*($L$18:$L$379&lt;&gt;L448))+SUMPRODUCT(($A$381:$A$498=A448)*(IFERROR($B$381:$B$498&gt;=E448-30,0))*(IFERROR($B$381:$B$498&lt;=E448+30,0))*($G$381:$G$498&gt;0)*($L$381:$L$498&lt;&gt;L448)))</f>
        <v/>
      </c>
      <c r="Q448" s="34" t="str">
        <f>IF(P448=1,IFERROR(INDEX($L$18:$L$379,MATCH(1,INDEX(($A$18:$A$379=A448)*(IFERROR($B$18:$B$379&gt;=E448-30,0))*(IFERROR($B$18:$B$379&lt;=E448+30,0))*($G$18:$G$379&gt;0)*($L$18:$L$379&lt;&gt;L448),0),0)),IFERROR(INDEX($L$381:$L$498,MATCH(1,INDEX(($A$381:$A$498=A448)*(IFERROR($B$381:$B$498&gt;=E448-30,0))*(IFERROR($B$381:$B$498&lt;=E448+30,0))*($G$381:$G$498&gt;0)*($L$381:$L$498&lt;&gt;L448),0),0)),"")),"")</f>
        <v/>
      </c>
      <c r="R448" s="35"/>
      <c r="S448" s="34" t="str">
        <f>IF(R448&lt;&gt;"",R448,Q448)</f>
        <v/>
      </c>
      <c r="T448" s="73">
        <f>IF(OR(N448="",O448=0),0,N448*O448)</f>
        <v>0</v>
      </c>
      <c r="U448" s="73">
        <f>IF(COUNTIF($S$18:$S$498,L448)=0,"",SUMIF($S$18:$S$498,L448,$T$18:$T$498))</f>
        <v>0</v>
      </c>
      <c r="V448" s="73" t="str">
        <f>IF(H448="","",IFERROR(H448+U448,H448))</f>
        <v/>
      </c>
      <c r="W448" s="73" t="str">
        <f>IF(OR(V448="",C448=""),"",V448/C448)</f>
        <v/>
      </c>
      <c r="X448" s="12" t="str">
        <f>IF(A448="","",IF(AND(U448&lt;&gt;"",U448&lt;&gt;0,M448=0),"Replacement lot receiving wash basis",IF(J448="","",IF(J448&gt;=0,"",IF(O448=0,"No replacement buy found",IF(P448&gt;1,"Manual selection needed","Auto matched"))))))</f>
        <v/>
      </c>
      <c r="Z448" t="str">
        <f>IF(K448="Yes",COUNTIF($K$18:K448,"Yes"),"")</f>
        <v/>
      </c>
    </row>
    <row r="449" spans="1:26" ht="34.15" hidden="1" customHeight="1" x14ac:dyDescent="0.2">
      <c r="A449" s="10"/>
      <c r="B449" s="71"/>
      <c r="C449" s="33"/>
      <c r="D449" s="72"/>
      <c r="E449" s="71"/>
      <c r="F449" s="72"/>
      <c r="G449" s="33"/>
      <c r="H449" s="73" t="str">
        <f>IF(OR(C449="",D449=""),"",C449*D449)</f>
        <v/>
      </c>
      <c r="I449" s="73" t="str">
        <f>IF(OR(E449="",F449="",M449&lt;=0),"",M449*F449)</f>
        <v/>
      </c>
      <c r="J449" s="73" t="str">
        <f>IF(I449="","",I449-(M449*D449))</f>
        <v/>
      </c>
      <c r="K449" s="29" t="str">
        <f>IF(A449="","",IF(T449&gt;0,"Yes","No"))</f>
        <v/>
      </c>
      <c r="L449" s="29" t="str">
        <f>IF(A449="","",A449&amp;"-"&amp;TEXT(B449,"yyyymmdd")&amp;"-R"&amp;ROW())</f>
        <v/>
      </c>
      <c r="M449" s="29" t="str">
        <f>IF(OR(C449="",G449=""),"",C449-G449)</f>
        <v/>
      </c>
      <c r="N449" s="73" t="str">
        <f>IF(OR(M449&lt;=0,J449&gt;=0),"",ABS(J449)/M449)</f>
        <v/>
      </c>
      <c r="O449" s="73" t="str">
        <f>IF(OR(A449="",M449&lt;=0,J449&gt;=0),"",MIN(M449,SUMPRODUCT(($A$18:$A$379=A449)*(IFERROR($B$18:$B$379&gt;=E449-30,0))*(IFERROR($B$18:$B$379&lt;=E449+30,0))*($G$18:$G$379&gt;0)*($L$18:$L$379&lt;&gt;L449)*($G$18:$G$379))+SUMPRODUCT(($A$381:$A$498=A449)*(IFERROR($B$381:$B$498&gt;=E449-30,0))*(IFERROR($B$381:$B$498&lt;=E449+30,0))*($G$381:$G$498&gt;0)*($L$381:$L$498&lt;&gt;L449)*($G$381:$G$498))))</f>
        <v/>
      </c>
      <c r="P449" s="29" t="str">
        <f>IF(OR(A449="",M449&lt;=0,J449&gt;=0),"",SUMPRODUCT(($A$18:$A$379=A449)*(IFERROR($B$18:$B$379&gt;=E449-30,0))*(IFERROR($B$18:$B$379&lt;=E449+30,0))*($G$18:$G$379&gt;0)*($L$18:$L$379&lt;&gt;L449))+SUMPRODUCT(($A$381:$A$498=A449)*(IFERROR($B$381:$B$498&gt;=E449-30,0))*(IFERROR($B$381:$B$498&lt;=E449+30,0))*($G$381:$G$498&gt;0)*($L$381:$L$498&lt;&gt;L449)))</f>
        <v/>
      </c>
      <c r="Q449" s="34" t="str">
        <f>IF(P449=1,IFERROR(INDEX($L$18:$L$379,MATCH(1,INDEX(($A$18:$A$379=A449)*(IFERROR($B$18:$B$379&gt;=E449-30,0))*(IFERROR($B$18:$B$379&lt;=E449+30,0))*($G$18:$G$379&gt;0)*($L$18:$L$379&lt;&gt;L449),0),0)),IFERROR(INDEX($L$381:$L$498,MATCH(1,INDEX(($A$381:$A$498=A449)*(IFERROR($B$381:$B$498&gt;=E449-30,0))*(IFERROR($B$381:$B$498&lt;=E449+30,0))*($G$381:$G$498&gt;0)*($L$381:$L$498&lt;&gt;L449),0),0)),"")),"")</f>
        <v/>
      </c>
      <c r="R449" s="35"/>
      <c r="S449" s="34" t="str">
        <f>IF(R449&lt;&gt;"",R449,Q449)</f>
        <v/>
      </c>
      <c r="T449" s="73">
        <f>IF(OR(N449="",O449=0),0,N449*O449)</f>
        <v>0</v>
      </c>
      <c r="U449" s="73">
        <f>IF(COUNTIF($S$18:$S$498,L449)=0,"",SUMIF($S$18:$S$498,L449,$T$18:$T$498))</f>
        <v>0</v>
      </c>
      <c r="V449" s="73" t="str">
        <f>IF(H449="","",IFERROR(H449+U449,H449))</f>
        <v/>
      </c>
      <c r="W449" s="73" t="str">
        <f>IF(OR(V449="",C449=""),"",V449/C449)</f>
        <v/>
      </c>
      <c r="X449" s="12" t="str">
        <f>IF(A449="","",IF(AND(U449&lt;&gt;"",U449&lt;&gt;0,M449=0),"Replacement lot receiving wash basis",IF(J449="","",IF(J449&gt;=0,"",IF(O449=0,"No replacement buy found",IF(P449&gt;1,"Manual selection needed","Auto matched"))))))</f>
        <v/>
      </c>
      <c r="Z449" t="str">
        <f>IF(K449="Yes",COUNTIF($K$18:K449,"Yes"),"")</f>
        <v/>
      </c>
    </row>
    <row r="450" spans="1:26" ht="34.15" hidden="1" customHeight="1" x14ac:dyDescent="0.2">
      <c r="A450" s="10"/>
      <c r="B450" s="71"/>
      <c r="C450" s="33"/>
      <c r="D450" s="72"/>
      <c r="E450" s="71"/>
      <c r="F450" s="72"/>
      <c r="G450" s="33"/>
      <c r="H450" s="73" t="str">
        <f>IF(OR(C450="",D450=""),"",C450*D450)</f>
        <v/>
      </c>
      <c r="I450" s="73" t="str">
        <f>IF(OR(E450="",F450="",M450&lt;=0),"",M450*F450)</f>
        <v/>
      </c>
      <c r="J450" s="73" t="str">
        <f>IF(I450="","",I450-(M450*D450))</f>
        <v/>
      </c>
      <c r="K450" s="29" t="str">
        <f>IF(A450="","",IF(T450&gt;0,"Yes","No"))</f>
        <v/>
      </c>
      <c r="L450" s="29" t="str">
        <f>IF(A450="","",A450&amp;"-"&amp;TEXT(B450,"yyyymmdd")&amp;"-R"&amp;ROW())</f>
        <v/>
      </c>
      <c r="M450" s="29" t="str">
        <f>IF(OR(C450="",G450=""),"",C450-G450)</f>
        <v/>
      </c>
      <c r="N450" s="73" t="str">
        <f>IF(OR(M450&lt;=0,J450&gt;=0),"",ABS(J450)/M450)</f>
        <v/>
      </c>
      <c r="O450" s="73" t="str">
        <f>IF(OR(A450="",M450&lt;=0,J450&gt;=0),"",MIN(M450,SUMPRODUCT(($A$18:$A$379=A450)*(IFERROR($B$18:$B$379&gt;=E450-30,0))*(IFERROR($B$18:$B$379&lt;=E450+30,0))*($G$18:$G$379&gt;0)*($L$18:$L$379&lt;&gt;L450)*($G$18:$G$379))+SUMPRODUCT(($A$381:$A$498=A450)*(IFERROR($B$381:$B$498&gt;=E450-30,0))*(IFERROR($B$381:$B$498&lt;=E450+30,0))*($G$381:$G$498&gt;0)*($L$381:$L$498&lt;&gt;L450)*($G$381:$G$498))))</f>
        <v/>
      </c>
      <c r="P450" s="29" t="str">
        <f>IF(OR(A450="",M450&lt;=0,J450&gt;=0),"",SUMPRODUCT(($A$18:$A$379=A450)*(IFERROR($B$18:$B$379&gt;=E450-30,0))*(IFERROR($B$18:$B$379&lt;=E450+30,0))*($G$18:$G$379&gt;0)*($L$18:$L$379&lt;&gt;L450))+SUMPRODUCT(($A$381:$A$498=A450)*(IFERROR($B$381:$B$498&gt;=E450-30,0))*(IFERROR($B$381:$B$498&lt;=E450+30,0))*($G$381:$G$498&gt;0)*($L$381:$L$498&lt;&gt;L450)))</f>
        <v/>
      </c>
      <c r="Q450" s="34" t="str">
        <f>IF(P450=1,IFERROR(INDEX($L$18:$L$379,MATCH(1,INDEX(($A$18:$A$379=A450)*(IFERROR($B$18:$B$379&gt;=E450-30,0))*(IFERROR($B$18:$B$379&lt;=E450+30,0))*($G$18:$G$379&gt;0)*($L$18:$L$379&lt;&gt;L450),0),0)),IFERROR(INDEX($L$381:$L$498,MATCH(1,INDEX(($A$381:$A$498=A450)*(IFERROR($B$381:$B$498&gt;=E450-30,0))*(IFERROR($B$381:$B$498&lt;=E450+30,0))*($G$381:$G$498&gt;0)*($L$381:$L$498&lt;&gt;L450),0),0)),"")),"")</f>
        <v/>
      </c>
      <c r="R450" s="35"/>
      <c r="S450" s="34" t="str">
        <f>IF(R450&lt;&gt;"",R450,Q450)</f>
        <v/>
      </c>
      <c r="T450" s="73">
        <f>IF(OR(N450="",O450=0),0,N450*O450)</f>
        <v>0</v>
      </c>
      <c r="U450" s="73">
        <f>IF(COUNTIF($S$18:$S$498,L450)=0,"",SUMIF($S$18:$S$498,L450,$T$18:$T$498))</f>
        <v>0</v>
      </c>
      <c r="V450" s="73" t="str">
        <f>IF(H450="","",IFERROR(H450+U450,H450))</f>
        <v/>
      </c>
      <c r="W450" s="73" t="str">
        <f>IF(OR(V450="",C450=""),"",V450/C450)</f>
        <v/>
      </c>
      <c r="X450" s="12" t="str">
        <f>IF(A450="","",IF(AND(U450&lt;&gt;"",U450&lt;&gt;0,M450=0),"Replacement lot receiving wash basis",IF(J450="","",IF(J450&gt;=0,"",IF(O450=0,"No replacement buy found",IF(P450&gt;1,"Manual selection needed","Auto matched"))))))</f>
        <v/>
      </c>
      <c r="Z450" t="str">
        <f>IF(K450="Yes",COUNTIF($K$18:K450,"Yes"),"")</f>
        <v/>
      </c>
    </row>
    <row r="451" spans="1:26" ht="34.15" hidden="1" customHeight="1" x14ac:dyDescent="0.2">
      <c r="A451" s="10"/>
      <c r="B451" s="71"/>
      <c r="C451" s="33"/>
      <c r="D451" s="72"/>
      <c r="E451" s="71"/>
      <c r="F451" s="72"/>
      <c r="G451" s="33"/>
      <c r="H451" s="73" t="str">
        <f>IF(OR(C451="",D451=""),"",C451*D451)</f>
        <v/>
      </c>
      <c r="I451" s="73" t="str">
        <f>IF(OR(E451="",F451="",M451&lt;=0),"",M451*F451)</f>
        <v/>
      </c>
      <c r="J451" s="73" t="str">
        <f>IF(I451="","",I451-(M451*D451))</f>
        <v/>
      </c>
      <c r="K451" s="29" t="str">
        <f>IF(A451="","",IF(T451&gt;0,"Yes","No"))</f>
        <v/>
      </c>
      <c r="L451" s="29" t="str">
        <f>IF(A451="","",A451&amp;"-"&amp;TEXT(B451,"yyyymmdd")&amp;"-R"&amp;ROW())</f>
        <v/>
      </c>
      <c r="M451" s="29" t="str">
        <f>IF(OR(C451="",G451=""),"",C451-G451)</f>
        <v/>
      </c>
      <c r="N451" s="73" t="str">
        <f>IF(OR(M451&lt;=0,J451&gt;=0),"",ABS(J451)/M451)</f>
        <v/>
      </c>
      <c r="O451" s="73" t="str">
        <f>IF(OR(A451="",M451&lt;=0,J451&gt;=0),"",MIN(M451,SUMPRODUCT(($A$18:$A$379=A451)*(IFERROR($B$18:$B$379&gt;=E451-30,0))*(IFERROR($B$18:$B$379&lt;=E451+30,0))*($G$18:$G$379&gt;0)*($L$18:$L$379&lt;&gt;L451)*($G$18:$G$379))+SUMPRODUCT(($A$381:$A$498=A451)*(IFERROR($B$381:$B$498&gt;=E451-30,0))*(IFERROR($B$381:$B$498&lt;=E451+30,0))*($G$381:$G$498&gt;0)*($L$381:$L$498&lt;&gt;L451)*($G$381:$G$498))))</f>
        <v/>
      </c>
      <c r="P451" s="29" t="str">
        <f>IF(OR(A451="",M451&lt;=0,J451&gt;=0),"",SUMPRODUCT(($A$18:$A$379=A451)*(IFERROR($B$18:$B$379&gt;=E451-30,0))*(IFERROR($B$18:$B$379&lt;=E451+30,0))*($G$18:$G$379&gt;0)*($L$18:$L$379&lt;&gt;L451))+SUMPRODUCT(($A$381:$A$498=A451)*(IFERROR($B$381:$B$498&gt;=E451-30,0))*(IFERROR($B$381:$B$498&lt;=E451+30,0))*($G$381:$G$498&gt;0)*($L$381:$L$498&lt;&gt;L451)))</f>
        <v/>
      </c>
      <c r="Q451" s="34" t="str">
        <f>IF(P451=1,IFERROR(INDEX($L$18:$L$379,MATCH(1,INDEX(($A$18:$A$379=A451)*(IFERROR($B$18:$B$379&gt;=E451-30,0))*(IFERROR($B$18:$B$379&lt;=E451+30,0))*($G$18:$G$379&gt;0)*($L$18:$L$379&lt;&gt;L451),0),0)),IFERROR(INDEX($L$381:$L$498,MATCH(1,INDEX(($A$381:$A$498=A451)*(IFERROR($B$381:$B$498&gt;=E451-30,0))*(IFERROR($B$381:$B$498&lt;=E451+30,0))*($G$381:$G$498&gt;0)*($L$381:$L$498&lt;&gt;L451),0),0)),"")),"")</f>
        <v/>
      </c>
      <c r="R451" s="35"/>
      <c r="S451" s="34" t="str">
        <f>IF(R451&lt;&gt;"",R451,Q451)</f>
        <v/>
      </c>
      <c r="T451" s="73">
        <f>IF(OR(N451="",O451=0),0,N451*O451)</f>
        <v>0</v>
      </c>
      <c r="U451" s="73">
        <f>IF(COUNTIF($S$18:$S$498,L451)=0,"",SUMIF($S$18:$S$498,L451,$T$18:$T$498))</f>
        <v>0</v>
      </c>
      <c r="V451" s="73" t="str">
        <f>IF(H451="","",IFERROR(H451+U451,H451))</f>
        <v/>
      </c>
      <c r="W451" s="73" t="str">
        <f>IF(OR(V451="",C451=""),"",V451/C451)</f>
        <v/>
      </c>
      <c r="X451" s="12" t="str">
        <f>IF(A451="","",IF(AND(U451&lt;&gt;"",U451&lt;&gt;0,M451=0),"Replacement lot receiving wash basis",IF(J451="","",IF(J451&gt;=0,"",IF(O451=0,"No replacement buy found",IF(P451&gt;1,"Manual selection needed","Auto matched"))))))</f>
        <v/>
      </c>
      <c r="Z451" t="str">
        <f>IF(K451="Yes",COUNTIF($K$18:K451,"Yes"),"")</f>
        <v/>
      </c>
    </row>
    <row r="452" spans="1:26" ht="34.15" hidden="1" customHeight="1" x14ac:dyDescent="0.2">
      <c r="A452" s="10"/>
      <c r="B452" s="71"/>
      <c r="C452" s="33"/>
      <c r="D452" s="72"/>
      <c r="E452" s="71"/>
      <c r="F452" s="72"/>
      <c r="G452" s="33"/>
      <c r="H452" s="73" t="str">
        <f>IF(OR(C452="",D452=""),"",C452*D452)</f>
        <v/>
      </c>
      <c r="I452" s="73" t="str">
        <f>IF(OR(E452="",F452="",M452&lt;=0),"",M452*F452)</f>
        <v/>
      </c>
      <c r="J452" s="73" t="str">
        <f>IF(I452="","",I452-(M452*D452))</f>
        <v/>
      </c>
      <c r="K452" s="29" t="str">
        <f>IF(A452="","",IF(T452&gt;0,"Yes","No"))</f>
        <v/>
      </c>
      <c r="L452" s="29" t="str">
        <f>IF(A452="","",A452&amp;"-"&amp;TEXT(B452,"yyyymmdd")&amp;"-R"&amp;ROW())</f>
        <v/>
      </c>
      <c r="M452" s="29" t="str">
        <f>IF(OR(C452="",G452=""),"",C452-G452)</f>
        <v/>
      </c>
      <c r="N452" s="73" t="str">
        <f>IF(OR(M452&lt;=0,J452&gt;=0),"",ABS(J452)/M452)</f>
        <v/>
      </c>
      <c r="O452" s="73" t="str">
        <f>IF(OR(A452="",M452&lt;=0,J452&gt;=0),"",MIN(M452,SUMPRODUCT(($A$18:$A$379=A452)*(IFERROR($B$18:$B$379&gt;=E452-30,0))*(IFERROR($B$18:$B$379&lt;=E452+30,0))*($G$18:$G$379&gt;0)*($L$18:$L$379&lt;&gt;L452)*($G$18:$G$379))+SUMPRODUCT(($A$381:$A$498=A452)*(IFERROR($B$381:$B$498&gt;=E452-30,0))*(IFERROR($B$381:$B$498&lt;=E452+30,0))*($G$381:$G$498&gt;0)*($L$381:$L$498&lt;&gt;L452)*($G$381:$G$498))))</f>
        <v/>
      </c>
      <c r="P452" s="29" t="str">
        <f>IF(OR(A452="",M452&lt;=0,J452&gt;=0),"",SUMPRODUCT(($A$18:$A$379=A452)*(IFERROR($B$18:$B$379&gt;=E452-30,0))*(IFERROR($B$18:$B$379&lt;=E452+30,0))*($G$18:$G$379&gt;0)*($L$18:$L$379&lt;&gt;L452))+SUMPRODUCT(($A$381:$A$498=A452)*(IFERROR($B$381:$B$498&gt;=E452-30,0))*(IFERROR($B$381:$B$498&lt;=E452+30,0))*($G$381:$G$498&gt;0)*($L$381:$L$498&lt;&gt;L452)))</f>
        <v/>
      </c>
      <c r="Q452" s="34" t="str">
        <f>IF(P452=1,IFERROR(INDEX($L$18:$L$379,MATCH(1,INDEX(($A$18:$A$379=A452)*(IFERROR($B$18:$B$379&gt;=E452-30,0))*(IFERROR($B$18:$B$379&lt;=E452+30,0))*($G$18:$G$379&gt;0)*($L$18:$L$379&lt;&gt;L452),0),0)),IFERROR(INDEX($L$381:$L$498,MATCH(1,INDEX(($A$381:$A$498=A452)*(IFERROR($B$381:$B$498&gt;=E452-30,0))*(IFERROR($B$381:$B$498&lt;=E452+30,0))*($G$381:$G$498&gt;0)*($L$381:$L$498&lt;&gt;L452),0),0)),"")),"")</f>
        <v/>
      </c>
      <c r="R452" s="35"/>
      <c r="S452" s="34" t="str">
        <f>IF(R452&lt;&gt;"",R452,Q452)</f>
        <v/>
      </c>
      <c r="T452" s="73">
        <f>IF(OR(N452="",O452=0),0,N452*O452)</f>
        <v>0</v>
      </c>
      <c r="U452" s="73">
        <f>IF(COUNTIF($S$18:$S$498,L452)=0,"",SUMIF($S$18:$S$498,L452,$T$18:$T$498))</f>
        <v>0</v>
      </c>
      <c r="V452" s="73" t="str">
        <f>IF(H452="","",IFERROR(H452+U452,H452))</f>
        <v/>
      </c>
      <c r="W452" s="73" t="str">
        <f>IF(OR(V452="",C452=""),"",V452/C452)</f>
        <v/>
      </c>
      <c r="X452" s="12" t="str">
        <f>IF(A452="","",IF(AND(U452&lt;&gt;"",U452&lt;&gt;0,M452=0),"Replacement lot receiving wash basis",IF(J452="","",IF(J452&gt;=0,"",IF(O452=0,"No replacement buy found",IF(P452&gt;1,"Manual selection needed","Auto matched"))))))</f>
        <v/>
      </c>
      <c r="Z452" t="str">
        <f>IF(K452="Yes",COUNTIF($K$18:K452,"Yes"),"")</f>
        <v/>
      </c>
    </row>
    <row r="453" spans="1:26" ht="34.15" hidden="1" customHeight="1" x14ac:dyDescent="0.2">
      <c r="A453" s="10"/>
      <c r="B453" s="71"/>
      <c r="C453" s="33"/>
      <c r="D453" s="72"/>
      <c r="E453" s="71"/>
      <c r="F453" s="72"/>
      <c r="G453" s="33"/>
      <c r="H453" s="73" t="str">
        <f>IF(OR(C453="",D453=""),"",C453*D453)</f>
        <v/>
      </c>
      <c r="I453" s="73" t="str">
        <f>IF(OR(E453="",F453="",M453&lt;=0),"",M453*F453)</f>
        <v/>
      </c>
      <c r="J453" s="73" t="str">
        <f>IF(I453="","",I453-(M453*D453))</f>
        <v/>
      </c>
      <c r="K453" s="29" t="str">
        <f>IF(A453="","",IF(T453&gt;0,"Yes","No"))</f>
        <v/>
      </c>
      <c r="L453" s="29" t="str">
        <f>IF(A453="","",A453&amp;"-"&amp;TEXT(B453,"yyyymmdd")&amp;"-R"&amp;ROW())</f>
        <v/>
      </c>
      <c r="M453" s="29" t="str">
        <f>IF(OR(C453="",G453=""),"",C453-G453)</f>
        <v/>
      </c>
      <c r="N453" s="73" t="str">
        <f>IF(OR(M453&lt;=0,J453&gt;=0),"",ABS(J453)/M453)</f>
        <v/>
      </c>
      <c r="O453" s="73" t="str">
        <f>IF(OR(A453="",M453&lt;=0,J453&gt;=0),"",MIN(M453,SUMPRODUCT(($A$18:$A$379=A453)*(IFERROR($B$18:$B$379&gt;=E453-30,0))*(IFERROR($B$18:$B$379&lt;=E453+30,0))*($G$18:$G$379&gt;0)*($L$18:$L$379&lt;&gt;L453)*($G$18:$G$379))+SUMPRODUCT(($A$381:$A$498=A453)*(IFERROR($B$381:$B$498&gt;=E453-30,0))*(IFERROR($B$381:$B$498&lt;=E453+30,0))*($G$381:$G$498&gt;0)*($L$381:$L$498&lt;&gt;L453)*($G$381:$G$498))))</f>
        <v/>
      </c>
      <c r="P453" s="29" t="str">
        <f>IF(OR(A453="",M453&lt;=0,J453&gt;=0),"",SUMPRODUCT(($A$18:$A$379=A453)*(IFERROR($B$18:$B$379&gt;=E453-30,0))*(IFERROR($B$18:$B$379&lt;=E453+30,0))*($G$18:$G$379&gt;0)*($L$18:$L$379&lt;&gt;L453))+SUMPRODUCT(($A$381:$A$498=A453)*(IFERROR($B$381:$B$498&gt;=E453-30,0))*(IFERROR($B$381:$B$498&lt;=E453+30,0))*($G$381:$G$498&gt;0)*($L$381:$L$498&lt;&gt;L453)))</f>
        <v/>
      </c>
      <c r="Q453" s="34" t="str">
        <f>IF(P453=1,IFERROR(INDEX($L$18:$L$379,MATCH(1,INDEX(($A$18:$A$379=A453)*(IFERROR($B$18:$B$379&gt;=E453-30,0))*(IFERROR($B$18:$B$379&lt;=E453+30,0))*($G$18:$G$379&gt;0)*($L$18:$L$379&lt;&gt;L453),0),0)),IFERROR(INDEX($L$381:$L$498,MATCH(1,INDEX(($A$381:$A$498=A453)*(IFERROR($B$381:$B$498&gt;=E453-30,0))*(IFERROR($B$381:$B$498&lt;=E453+30,0))*($G$381:$G$498&gt;0)*($L$381:$L$498&lt;&gt;L453),0),0)),"")),"")</f>
        <v/>
      </c>
      <c r="R453" s="35"/>
      <c r="S453" s="34" t="str">
        <f>IF(R453&lt;&gt;"",R453,Q453)</f>
        <v/>
      </c>
      <c r="T453" s="73">
        <f>IF(OR(N453="",O453=0),0,N453*O453)</f>
        <v>0</v>
      </c>
      <c r="U453" s="73">
        <f>IF(COUNTIF($S$18:$S$498,L453)=0,"",SUMIF($S$18:$S$498,L453,$T$18:$T$498))</f>
        <v>0</v>
      </c>
      <c r="V453" s="73" t="str">
        <f>IF(H453="","",IFERROR(H453+U453,H453))</f>
        <v/>
      </c>
      <c r="W453" s="73" t="str">
        <f>IF(OR(V453="",C453=""),"",V453/C453)</f>
        <v/>
      </c>
      <c r="X453" s="12" t="str">
        <f>IF(A453="","",IF(AND(U453&lt;&gt;"",U453&lt;&gt;0,M453=0),"Replacement lot receiving wash basis",IF(J453="","",IF(J453&gt;=0,"",IF(O453=0,"No replacement buy found",IF(P453&gt;1,"Manual selection needed","Auto matched"))))))</f>
        <v/>
      </c>
      <c r="Z453" t="str">
        <f>IF(K453="Yes",COUNTIF($K$18:K453,"Yes"),"")</f>
        <v/>
      </c>
    </row>
    <row r="454" spans="1:26" ht="34.15" hidden="1" customHeight="1" x14ac:dyDescent="0.2">
      <c r="A454" s="10"/>
      <c r="B454" s="71"/>
      <c r="C454" s="33"/>
      <c r="D454" s="72"/>
      <c r="E454" s="71"/>
      <c r="F454" s="72"/>
      <c r="G454" s="33"/>
      <c r="H454" s="73" t="str">
        <f>IF(OR(C454="",D454=""),"",C454*D454)</f>
        <v/>
      </c>
      <c r="I454" s="73" t="str">
        <f>IF(OR(E454="",F454="",M454&lt;=0),"",M454*F454)</f>
        <v/>
      </c>
      <c r="J454" s="73" t="str">
        <f>IF(I454="","",I454-(M454*D454))</f>
        <v/>
      </c>
      <c r="K454" s="29" t="str">
        <f>IF(A454="","",IF(T454&gt;0,"Yes","No"))</f>
        <v/>
      </c>
      <c r="L454" s="29" t="str">
        <f>IF(A454="","",A454&amp;"-"&amp;TEXT(B454,"yyyymmdd")&amp;"-R"&amp;ROW())</f>
        <v/>
      </c>
      <c r="M454" s="29" t="str">
        <f>IF(OR(C454="",G454=""),"",C454-G454)</f>
        <v/>
      </c>
      <c r="N454" s="73" t="str">
        <f>IF(OR(M454&lt;=0,J454&gt;=0),"",ABS(J454)/M454)</f>
        <v/>
      </c>
      <c r="O454" s="73" t="str">
        <f>IF(OR(A454="",M454&lt;=0,J454&gt;=0),"",MIN(M454,SUMPRODUCT(($A$18:$A$379=A454)*(IFERROR($B$18:$B$379&gt;=E454-30,0))*(IFERROR($B$18:$B$379&lt;=E454+30,0))*($G$18:$G$379&gt;0)*($L$18:$L$379&lt;&gt;L454)*($G$18:$G$379))+SUMPRODUCT(($A$381:$A$498=A454)*(IFERROR($B$381:$B$498&gt;=E454-30,0))*(IFERROR($B$381:$B$498&lt;=E454+30,0))*($G$381:$G$498&gt;0)*($L$381:$L$498&lt;&gt;L454)*($G$381:$G$498))))</f>
        <v/>
      </c>
      <c r="P454" s="29" t="str">
        <f>IF(OR(A454="",M454&lt;=0,J454&gt;=0),"",SUMPRODUCT(($A$18:$A$379=A454)*(IFERROR($B$18:$B$379&gt;=E454-30,0))*(IFERROR($B$18:$B$379&lt;=E454+30,0))*($G$18:$G$379&gt;0)*($L$18:$L$379&lt;&gt;L454))+SUMPRODUCT(($A$381:$A$498=A454)*(IFERROR($B$381:$B$498&gt;=E454-30,0))*(IFERROR($B$381:$B$498&lt;=E454+30,0))*($G$381:$G$498&gt;0)*($L$381:$L$498&lt;&gt;L454)))</f>
        <v/>
      </c>
      <c r="Q454" s="34" t="str">
        <f>IF(P454=1,IFERROR(INDEX($L$18:$L$379,MATCH(1,INDEX(($A$18:$A$379=A454)*(IFERROR($B$18:$B$379&gt;=E454-30,0))*(IFERROR($B$18:$B$379&lt;=E454+30,0))*($G$18:$G$379&gt;0)*($L$18:$L$379&lt;&gt;L454),0),0)),IFERROR(INDEX($L$381:$L$498,MATCH(1,INDEX(($A$381:$A$498=A454)*(IFERROR($B$381:$B$498&gt;=E454-30,0))*(IFERROR($B$381:$B$498&lt;=E454+30,0))*($G$381:$G$498&gt;0)*($L$381:$L$498&lt;&gt;L454),0),0)),"")),"")</f>
        <v/>
      </c>
      <c r="R454" s="35"/>
      <c r="S454" s="34" t="str">
        <f>IF(R454&lt;&gt;"",R454,Q454)</f>
        <v/>
      </c>
      <c r="T454" s="73">
        <f>IF(OR(N454="",O454=0),0,N454*O454)</f>
        <v>0</v>
      </c>
      <c r="U454" s="73">
        <f>IF(COUNTIF($S$18:$S$498,L454)=0,"",SUMIF($S$18:$S$498,L454,$T$18:$T$498))</f>
        <v>0</v>
      </c>
      <c r="V454" s="73" t="str">
        <f>IF(H454="","",IFERROR(H454+U454,H454))</f>
        <v/>
      </c>
      <c r="W454" s="73" t="str">
        <f>IF(OR(V454="",C454=""),"",V454/C454)</f>
        <v/>
      </c>
      <c r="X454" s="12" t="str">
        <f>IF(A454="","",IF(AND(U454&lt;&gt;"",U454&lt;&gt;0,M454=0),"Replacement lot receiving wash basis",IF(J454="","",IF(J454&gt;=0,"",IF(O454=0,"No replacement buy found",IF(P454&gt;1,"Manual selection needed","Auto matched"))))))</f>
        <v/>
      </c>
      <c r="Z454" t="str">
        <f>IF(K454="Yes",COUNTIF($K$18:K454,"Yes"),"")</f>
        <v/>
      </c>
    </row>
    <row r="455" spans="1:26" ht="34.15" hidden="1" customHeight="1" x14ac:dyDescent="0.2">
      <c r="A455" s="10"/>
      <c r="B455" s="71"/>
      <c r="C455" s="33"/>
      <c r="D455" s="72"/>
      <c r="E455" s="71"/>
      <c r="F455" s="72"/>
      <c r="G455" s="33"/>
      <c r="H455" s="73" t="str">
        <f>IF(OR(C455="",D455=""),"",C455*D455)</f>
        <v/>
      </c>
      <c r="I455" s="73" t="str">
        <f>IF(OR(E455="",F455="",M455&lt;=0),"",M455*F455)</f>
        <v/>
      </c>
      <c r="J455" s="73" t="str">
        <f>IF(I455="","",I455-(M455*D455))</f>
        <v/>
      </c>
      <c r="K455" s="29" t="str">
        <f>IF(A455="","",IF(T455&gt;0,"Yes","No"))</f>
        <v/>
      </c>
      <c r="L455" s="29" t="str">
        <f>IF(A455="","",A455&amp;"-"&amp;TEXT(B455,"yyyymmdd")&amp;"-R"&amp;ROW())</f>
        <v/>
      </c>
      <c r="M455" s="29" t="str">
        <f>IF(OR(C455="",G455=""),"",C455-G455)</f>
        <v/>
      </c>
      <c r="N455" s="73" t="str">
        <f>IF(OR(M455&lt;=0,J455&gt;=0),"",ABS(J455)/M455)</f>
        <v/>
      </c>
      <c r="O455" s="73" t="str">
        <f>IF(OR(A455="",M455&lt;=0,J455&gt;=0),"",MIN(M455,SUMPRODUCT(($A$18:$A$379=A455)*(IFERROR($B$18:$B$379&gt;=E455-30,0))*(IFERROR($B$18:$B$379&lt;=E455+30,0))*($G$18:$G$379&gt;0)*($L$18:$L$379&lt;&gt;L455)*($G$18:$G$379))+SUMPRODUCT(($A$381:$A$498=A455)*(IFERROR($B$381:$B$498&gt;=E455-30,0))*(IFERROR($B$381:$B$498&lt;=E455+30,0))*($G$381:$G$498&gt;0)*($L$381:$L$498&lt;&gt;L455)*($G$381:$G$498))))</f>
        <v/>
      </c>
      <c r="P455" s="29" t="str">
        <f>IF(OR(A455="",M455&lt;=0,J455&gt;=0),"",SUMPRODUCT(($A$18:$A$379=A455)*(IFERROR($B$18:$B$379&gt;=E455-30,0))*(IFERROR($B$18:$B$379&lt;=E455+30,0))*($G$18:$G$379&gt;0)*($L$18:$L$379&lt;&gt;L455))+SUMPRODUCT(($A$381:$A$498=A455)*(IFERROR($B$381:$B$498&gt;=E455-30,0))*(IFERROR($B$381:$B$498&lt;=E455+30,0))*($G$381:$G$498&gt;0)*($L$381:$L$498&lt;&gt;L455)))</f>
        <v/>
      </c>
      <c r="Q455" s="34" t="str">
        <f>IF(P455=1,IFERROR(INDEX($L$18:$L$379,MATCH(1,INDEX(($A$18:$A$379=A455)*(IFERROR($B$18:$B$379&gt;=E455-30,0))*(IFERROR($B$18:$B$379&lt;=E455+30,0))*($G$18:$G$379&gt;0)*($L$18:$L$379&lt;&gt;L455),0),0)),IFERROR(INDEX($L$381:$L$498,MATCH(1,INDEX(($A$381:$A$498=A455)*(IFERROR($B$381:$B$498&gt;=E455-30,0))*(IFERROR($B$381:$B$498&lt;=E455+30,0))*($G$381:$G$498&gt;0)*($L$381:$L$498&lt;&gt;L455),0),0)),"")),"")</f>
        <v/>
      </c>
      <c r="R455" s="35"/>
      <c r="S455" s="34" t="str">
        <f>IF(R455&lt;&gt;"",R455,Q455)</f>
        <v/>
      </c>
      <c r="T455" s="73">
        <f>IF(OR(N455="",O455=0),0,N455*O455)</f>
        <v>0</v>
      </c>
      <c r="U455" s="73">
        <f>IF(COUNTIF($S$18:$S$498,L455)=0,"",SUMIF($S$18:$S$498,L455,$T$18:$T$498))</f>
        <v>0</v>
      </c>
      <c r="V455" s="73" t="str">
        <f>IF(H455="","",IFERROR(H455+U455,H455))</f>
        <v/>
      </c>
      <c r="W455" s="73" t="str">
        <f>IF(OR(V455="",C455=""),"",V455/C455)</f>
        <v/>
      </c>
      <c r="X455" s="12" t="str">
        <f>IF(A455="","",IF(AND(U455&lt;&gt;"",U455&lt;&gt;0,M455=0),"Replacement lot receiving wash basis",IF(J455="","",IF(J455&gt;=0,"",IF(O455=0,"No replacement buy found",IF(P455&gt;1,"Manual selection needed","Auto matched"))))))</f>
        <v/>
      </c>
      <c r="Z455" t="str">
        <f>IF(K455="Yes",COUNTIF($K$18:K455,"Yes"),"")</f>
        <v/>
      </c>
    </row>
    <row r="456" spans="1:26" ht="34.15" hidden="1" customHeight="1" x14ac:dyDescent="0.2">
      <c r="A456" s="10"/>
      <c r="B456" s="71"/>
      <c r="C456" s="33"/>
      <c r="D456" s="72"/>
      <c r="E456" s="71"/>
      <c r="F456" s="72"/>
      <c r="G456" s="33"/>
      <c r="H456" s="73" t="str">
        <f>IF(OR(C456="",D456=""),"",C456*D456)</f>
        <v/>
      </c>
      <c r="I456" s="73" t="str">
        <f>IF(OR(E456="",F456="",M456&lt;=0),"",M456*F456)</f>
        <v/>
      </c>
      <c r="J456" s="73" t="str">
        <f>IF(I456="","",I456-(M456*D456))</f>
        <v/>
      </c>
      <c r="K456" s="29" t="str">
        <f>IF(A456="","",IF(T456&gt;0,"Yes","No"))</f>
        <v/>
      </c>
      <c r="L456" s="29" t="str">
        <f>IF(A456="","",A456&amp;"-"&amp;TEXT(B456,"yyyymmdd")&amp;"-R"&amp;ROW())</f>
        <v/>
      </c>
      <c r="M456" s="29" t="str">
        <f>IF(OR(C456="",G456=""),"",C456-G456)</f>
        <v/>
      </c>
      <c r="N456" s="73" t="str">
        <f>IF(OR(M456&lt;=0,J456&gt;=0),"",ABS(J456)/M456)</f>
        <v/>
      </c>
      <c r="O456" s="73" t="str">
        <f>IF(OR(A456="",M456&lt;=0,J456&gt;=0),"",MIN(M456,SUMPRODUCT(($A$18:$A$379=A456)*(IFERROR($B$18:$B$379&gt;=E456-30,0))*(IFERROR($B$18:$B$379&lt;=E456+30,0))*($G$18:$G$379&gt;0)*($L$18:$L$379&lt;&gt;L456)*($G$18:$G$379))+SUMPRODUCT(($A$381:$A$498=A456)*(IFERROR($B$381:$B$498&gt;=E456-30,0))*(IFERROR($B$381:$B$498&lt;=E456+30,0))*($G$381:$G$498&gt;0)*($L$381:$L$498&lt;&gt;L456)*($G$381:$G$498))))</f>
        <v/>
      </c>
      <c r="P456" s="29" t="str">
        <f>IF(OR(A456="",M456&lt;=0,J456&gt;=0),"",SUMPRODUCT(($A$18:$A$379=A456)*(IFERROR($B$18:$B$379&gt;=E456-30,0))*(IFERROR($B$18:$B$379&lt;=E456+30,0))*($G$18:$G$379&gt;0)*($L$18:$L$379&lt;&gt;L456))+SUMPRODUCT(($A$381:$A$498=A456)*(IFERROR($B$381:$B$498&gt;=E456-30,0))*(IFERROR($B$381:$B$498&lt;=E456+30,0))*($G$381:$G$498&gt;0)*($L$381:$L$498&lt;&gt;L456)))</f>
        <v/>
      </c>
      <c r="Q456" s="34" t="str">
        <f>IF(P456=1,IFERROR(INDEX($L$18:$L$379,MATCH(1,INDEX(($A$18:$A$379=A456)*(IFERROR($B$18:$B$379&gt;=E456-30,0))*(IFERROR($B$18:$B$379&lt;=E456+30,0))*($G$18:$G$379&gt;0)*($L$18:$L$379&lt;&gt;L456),0),0)),IFERROR(INDEX($L$381:$L$498,MATCH(1,INDEX(($A$381:$A$498=A456)*(IFERROR($B$381:$B$498&gt;=E456-30,0))*(IFERROR($B$381:$B$498&lt;=E456+30,0))*($G$381:$G$498&gt;0)*($L$381:$L$498&lt;&gt;L456),0),0)),"")),"")</f>
        <v/>
      </c>
      <c r="R456" s="35"/>
      <c r="S456" s="34" t="str">
        <f>IF(R456&lt;&gt;"",R456,Q456)</f>
        <v/>
      </c>
      <c r="T456" s="73">
        <f>IF(OR(N456="",O456=0),0,N456*O456)</f>
        <v>0</v>
      </c>
      <c r="U456" s="73">
        <f>IF(COUNTIF($S$18:$S$498,L456)=0,"",SUMIF($S$18:$S$498,L456,$T$18:$T$498))</f>
        <v>0</v>
      </c>
      <c r="V456" s="73" t="str">
        <f>IF(H456="","",IFERROR(H456+U456,H456))</f>
        <v/>
      </c>
      <c r="W456" s="73" t="str">
        <f>IF(OR(V456="",C456=""),"",V456/C456)</f>
        <v/>
      </c>
      <c r="X456" s="12" t="str">
        <f>IF(A456="","",IF(AND(U456&lt;&gt;"",U456&lt;&gt;0,M456=0),"Replacement lot receiving wash basis",IF(J456="","",IF(J456&gt;=0,"",IF(O456=0,"No replacement buy found",IF(P456&gt;1,"Manual selection needed","Auto matched"))))))</f>
        <v/>
      </c>
      <c r="Z456" t="str">
        <f>IF(K456="Yes",COUNTIF($K$18:K456,"Yes"),"")</f>
        <v/>
      </c>
    </row>
    <row r="457" spans="1:26" ht="34.15" hidden="1" customHeight="1" x14ac:dyDescent="0.2">
      <c r="A457" s="10"/>
      <c r="B457" s="71"/>
      <c r="C457" s="33"/>
      <c r="D457" s="72"/>
      <c r="E457" s="71"/>
      <c r="F457" s="72"/>
      <c r="G457" s="33"/>
      <c r="H457" s="73" t="str">
        <f>IF(OR(C457="",D457=""),"",C457*D457)</f>
        <v/>
      </c>
      <c r="I457" s="73" t="str">
        <f>IF(OR(E457="",F457="",M457&lt;=0),"",M457*F457)</f>
        <v/>
      </c>
      <c r="J457" s="73" t="str">
        <f>IF(I457="","",I457-(M457*D457))</f>
        <v/>
      </c>
      <c r="K457" s="29" t="str">
        <f>IF(A457="","",IF(T457&gt;0,"Yes","No"))</f>
        <v/>
      </c>
      <c r="L457" s="29" t="str">
        <f>IF(A457="","",A457&amp;"-"&amp;TEXT(B457,"yyyymmdd")&amp;"-R"&amp;ROW())</f>
        <v/>
      </c>
      <c r="M457" s="29" t="str">
        <f>IF(OR(C457="",G457=""),"",C457-G457)</f>
        <v/>
      </c>
      <c r="N457" s="73" t="str">
        <f>IF(OR(M457&lt;=0,J457&gt;=0),"",ABS(J457)/M457)</f>
        <v/>
      </c>
      <c r="O457" s="73" t="str">
        <f>IF(OR(A457="",M457&lt;=0,J457&gt;=0),"",MIN(M457,SUMPRODUCT(($A$18:$A$379=A457)*(IFERROR($B$18:$B$379&gt;=E457-30,0))*(IFERROR($B$18:$B$379&lt;=E457+30,0))*($G$18:$G$379&gt;0)*($L$18:$L$379&lt;&gt;L457)*($G$18:$G$379))+SUMPRODUCT(($A$381:$A$498=A457)*(IFERROR($B$381:$B$498&gt;=E457-30,0))*(IFERROR($B$381:$B$498&lt;=E457+30,0))*($G$381:$G$498&gt;0)*($L$381:$L$498&lt;&gt;L457)*($G$381:$G$498))))</f>
        <v/>
      </c>
      <c r="P457" s="29" t="str">
        <f>IF(OR(A457="",M457&lt;=0,J457&gt;=0),"",SUMPRODUCT(($A$18:$A$379=A457)*(IFERROR($B$18:$B$379&gt;=E457-30,0))*(IFERROR($B$18:$B$379&lt;=E457+30,0))*($G$18:$G$379&gt;0)*($L$18:$L$379&lt;&gt;L457))+SUMPRODUCT(($A$381:$A$498=A457)*(IFERROR($B$381:$B$498&gt;=E457-30,0))*(IFERROR($B$381:$B$498&lt;=E457+30,0))*($G$381:$G$498&gt;0)*($L$381:$L$498&lt;&gt;L457)))</f>
        <v/>
      </c>
      <c r="Q457" s="34" t="str">
        <f>IF(P457=1,IFERROR(INDEX($L$18:$L$379,MATCH(1,INDEX(($A$18:$A$379=A457)*(IFERROR($B$18:$B$379&gt;=E457-30,0))*(IFERROR($B$18:$B$379&lt;=E457+30,0))*($G$18:$G$379&gt;0)*($L$18:$L$379&lt;&gt;L457),0),0)),IFERROR(INDEX($L$381:$L$498,MATCH(1,INDEX(($A$381:$A$498=A457)*(IFERROR($B$381:$B$498&gt;=E457-30,0))*(IFERROR($B$381:$B$498&lt;=E457+30,0))*($G$381:$G$498&gt;0)*($L$381:$L$498&lt;&gt;L457),0),0)),"")),"")</f>
        <v/>
      </c>
      <c r="R457" s="35"/>
      <c r="S457" s="34" t="str">
        <f>IF(R457&lt;&gt;"",R457,Q457)</f>
        <v/>
      </c>
      <c r="T457" s="73">
        <f>IF(OR(N457="",O457=0),0,N457*O457)</f>
        <v>0</v>
      </c>
      <c r="U457" s="73">
        <f>IF(COUNTIF($S$18:$S$498,L457)=0,"",SUMIF($S$18:$S$498,L457,$T$18:$T$498))</f>
        <v>0</v>
      </c>
      <c r="V457" s="73" t="str">
        <f>IF(H457="","",IFERROR(H457+U457,H457))</f>
        <v/>
      </c>
      <c r="W457" s="73" t="str">
        <f>IF(OR(V457="",C457=""),"",V457/C457)</f>
        <v/>
      </c>
      <c r="X457" s="12" t="str">
        <f>IF(A457="","",IF(AND(U457&lt;&gt;"",U457&lt;&gt;0,M457=0),"Replacement lot receiving wash basis",IF(J457="","",IF(J457&gt;=0,"",IF(O457=0,"No replacement buy found",IF(P457&gt;1,"Manual selection needed","Auto matched"))))))</f>
        <v/>
      </c>
      <c r="Z457" t="str">
        <f>IF(K457="Yes",COUNTIF($K$18:K457,"Yes"),"")</f>
        <v/>
      </c>
    </row>
    <row r="458" spans="1:26" ht="34.15" hidden="1" customHeight="1" x14ac:dyDescent="0.2">
      <c r="A458" s="10"/>
      <c r="B458" s="71"/>
      <c r="C458" s="33"/>
      <c r="D458" s="72"/>
      <c r="E458" s="71"/>
      <c r="F458" s="72"/>
      <c r="G458" s="33"/>
      <c r="H458" s="73" t="str">
        <f>IF(OR(C458="",D458=""),"",C458*D458)</f>
        <v/>
      </c>
      <c r="I458" s="73" t="str">
        <f>IF(OR(E458="",F458="",M458&lt;=0),"",M458*F458)</f>
        <v/>
      </c>
      <c r="J458" s="73" t="str">
        <f>IF(I458="","",I458-(M458*D458))</f>
        <v/>
      </c>
      <c r="K458" s="29" t="str">
        <f>IF(A458="","",IF(T458&gt;0,"Yes","No"))</f>
        <v/>
      </c>
      <c r="L458" s="29" t="str">
        <f>IF(A458="","",A458&amp;"-"&amp;TEXT(B458,"yyyymmdd")&amp;"-R"&amp;ROW())</f>
        <v/>
      </c>
      <c r="M458" s="29" t="str">
        <f>IF(OR(C458="",G458=""),"",C458-G458)</f>
        <v/>
      </c>
      <c r="N458" s="73" t="str">
        <f>IF(OR(M458&lt;=0,J458&gt;=0),"",ABS(J458)/M458)</f>
        <v/>
      </c>
      <c r="O458" s="73" t="str">
        <f>IF(OR(A458="",M458&lt;=0,J458&gt;=0),"",MIN(M458,SUMPRODUCT(($A$18:$A$379=A458)*(IFERROR($B$18:$B$379&gt;=E458-30,0))*(IFERROR($B$18:$B$379&lt;=E458+30,0))*($G$18:$G$379&gt;0)*($L$18:$L$379&lt;&gt;L458)*($G$18:$G$379))+SUMPRODUCT(($A$381:$A$498=A458)*(IFERROR($B$381:$B$498&gt;=E458-30,0))*(IFERROR($B$381:$B$498&lt;=E458+30,0))*($G$381:$G$498&gt;0)*($L$381:$L$498&lt;&gt;L458)*($G$381:$G$498))))</f>
        <v/>
      </c>
      <c r="P458" s="29" t="str">
        <f>IF(OR(A458="",M458&lt;=0,J458&gt;=0),"",SUMPRODUCT(($A$18:$A$379=A458)*(IFERROR($B$18:$B$379&gt;=E458-30,0))*(IFERROR($B$18:$B$379&lt;=E458+30,0))*($G$18:$G$379&gt;0)*($L$18:$L$379&lt;&gt;L458))+SUMPRODUCT(($A$381:$A$498=A458)*(IFERROR($B$381:$B$498&gt;=E458-30,0))*(IFERROR($B$381:$B$498&lt;=E458+30,0))*($G$381:$G$498&gt;0)*($L$381:$L$498&lt;&gt;L458)))</f>
        <v/>
      </c>
      <c r="Q458" s="34" t="str">
        <f>IF(P458=1,IFERROR(INDEX($L$18:$L$379,MATCH(1,INDEX(($A$18:$A$379=A458)*(IFERROR($B$18:$B$379&gt;=E458-30,0))*(IFERROR($B$18:$B$379&lt;=E458+30,0))*($G$18:$G$379&gt;0)*($L$18:$L$379&lt;&gt;L458),0),0)),IFERROR(INDEX($L$381:$L$498,MATCH(1,INDEX(($A$381:$A$498=A458)*(IFERROR($B$381:$B$498&gt;=E458-30,0))*(IFERROR($B$381:$B$498&lt;=E458+30,0))*($G$381:$G$498&gt;0)*($L$381:$L$498&lt;&gt;L458),0),0)),"")),"")</f>
        <v/>
      </c>
      <c r="R458" s="35"/>
      <c r="S458" s="34" t="str">
        <f>IF(R458&lt;&gt;"",R458,Q458)</f>
        <v/>
      </c>
      <c r="T458" s="73">
        <f>IF(OR(N458="",O458=0),0,N458*O458)</f>
        <v>0</v>
      </c>
      <c r="U458" s="73">
        <f>IF(COUNTIF($S$18:$S$498,L458)=0,"",SUMIF($S$18:$S$498,L458,$T$18:$T$498))</f>
        <v>0</v>
      </c>
      <c r="V458" s="73" t="str">
        <f>IF(H458="","",IFERROR(H458+U458,H458))</f>
        <v/>
      </c>
      <c r="W458" s="73" t="str">
        <f>IF(OR(V458="",C458=""),"",V458/C458)</f>
        <v/>
      </c>
      <c r="X458" s="12" t="str">
        <f>IF(A458="","",IF(AND(U458&lt;&gt;"",U458&lt;&gt;0,M458=0),"Replacement lot receiving wash basis",IF(J458="","",IF(J458&gt;=0,"",IF(O458=0,"No replacement buy found",IF(P458&gt;1,"Manual selection needed","Auto matched"))))))</f>
        <v/>
      </c>
      <c r="Z458" t="str">
        <f>IF(K458="Yes",COUNTIF($K$18:K458,"Yes"),"")</f>
        <v/>
      </c>
    </row>
    <row r="459" spans="1:26" ht="34.15" hidden="1" customHeight="1" x14ac:dyDescent="0.2">
      <c r="A459" s="10"/>
      <c r="B459" s="71"/>
      <c r="C459" s="33"/>
      <c r="D459" s="72"/>
      <c r="E459" s="71"/>
      <c r="F459" s="72"/>
      <c r="G459" s="33"/>
      <c r="H459" s="73" t="str">
        <f>IF(OR(C459="",D459=""),"",C459*D459)</f>
        <v/>
      </c>
      <c r="I459" s="73" t="str">
        <f>IF(OR(E459="",F459="",M459&lt;=0),"",M459*F459)</f>
        <v/>
      </c>
      <c r="J459" s="73" t="str">
        <f>IF(I459="","",I459-(M459*D459))</f>
        <v/>
      </c>
      <c r="K459" s="29" t="str">
        <f>IF(A459="","",IF(T459&gt;0,"Yes","No"))</f>
        <v/>
      </c>
      <c r="L459" s="29" t="str">
        <f>IF(A459="","",A459&amp;"-"&amp;TEXT(B459,"yyyymmdd")&amp;"-R"&amp;ROW())</f>
        <v/>
      </c>
      <c r="M459" s="29" t="str">
        <f>IF(OR(C459="",G459=""),"",C459-G459)</f>
        <v/>
      </c>
      <c r="N459" s="73" t="str">
        <f>IF(OR(M459&lt;=0,J459&gt;=0),"",ABS(J459)/M459)</f>
        <v/>
      </c>
      <c r="O459" s="73" t="str">
        <f>IF(OR(A459="",M459&lt;=0,J459&gt;=0),"",MIN(M459,SUMPRODUCT(($A$18:$A$379=A459)*(IFERROR($B$18:$B$379&gt;=E459-30,0))*(IFERROR($B$18:$B$379&lt;=E459+30,0))*($G$18:$G$379&gt;0)*($L$18:$L$379&lt;&gt;L459)*($G$18:$G$379))+SUMPRODUCT(($A$381:$A$498=A459)*(IFERROR($B$381:$B$498&gt;=E459-30,0))*(IFERROR($B$381:$B$498&lt;=E459+30,0))*($G$381:$G$498&gt;0)*($L$381:$L$498&lt;&gt;L459)*($G$381:$G$498))))</f>
        <v/>
      </c>
      <c r="P459" s="29" t="str">
        <f>IF(OR(A459="",M459&lt;=0,J459&gt;=0),"",SUMPRODUCT(($A$18:$A$379=A459)*(IFERROR($B$18:$B$379&gt;=E459-30,0))*(IFERROR($B$18:$B$379&lt;=E459+30,0))*($G$18:$G$379&gt;0)*($L$18:$L$379&lt;&gt;L459))+SUMPRODUCT(($A$381:$A$498=A459)*(IFERROR($B$381:$B$498&gt;=E459-30,0))*(IFERROR($B$381:$B$498&lt;=E459+30,0))*($G$381:$G$498&gt;0)*($L$381:$L$498&lt;&gt;L459)))</f>
        <v/>
      </c>
      <c r="Q459" s="34" t="str">
        <f>IF(P459=1,IFERROR(INDEX($L$18:$L$379,MATCH(1,INDEX(($A$18:$A$379=A459)*(IFERROR($B$18:$B$379&gt;=E459-30,0))*(IFERROR($B$18:$B$379&lt;=E459+30,0))*($G$18:$G$379&gt;0)*($L$18:$L$379&lt;&gt;L459),0),0)),IFERROR(INDEX($L$381:$L$498,MATCH(1,INDEX(($A$381:$A$498=A459)*(IFERROR($B$381:$B$498&gt;=E459-30,0))*(IFERROR($B$381:$B$498&lt;=E459+30,0))*($G$381:$G$498&gt;0)*($L$381:$L$498&lt;&gt;L459),0),0)),"")),"")</f>
        <v/>
      </c>
      <c r="R459" s="35"/>
      <c r="S459" s="34" t="str">
        <f>IF(R459&lt;&gt;"",R459,Q459)</f>
        <v/>
      </c>
      <c r="T459" s="73">
        <f>IF(OR(N459="",O459=0),0,N459*O459)</f>
        <v>0</v>
      </c>
      <c r="U459" s="73">
        <f>IF(COUNTIF($S$18:$S$498,L459)=0,"",SUMIF($S$18:$S$498,L459,$T$18:$T$498))</f>
        <v>0</v>
      </c>
      <c r="V459" s="73" t="str">
        <f>IF(H459="","",IFERROR(H459+U459,H459))</f>
        <v/>
      </c>
      <c r="W459" s="73" t="str">
        <f>IF(OR(V459="",C459=""),"",V459/C459)</f>
        <v/>
      </c>
      <c r="X459" s="12" t="str">
        <f>IF(A459="","",IF(AND(U459&lt;&gt;"",U459&lt;&gt;0,M459=0),"Replacement lot receiving wash basis",IF(J459="","",IF(J459&gt;=0,"",IF(O459=0,"No replacement buy found",IF(P459&gt;1,"Manual selection needed","Auto matched"))))))</f>
        <v/>
      </c>
      <c r="Z459" t="str">
        <f>IF(K459="Yes",COUNTIF($K$18:K459,"Yes"),"")</f>
        <v/>
      </c>
    </row>
    <row r="460" spans="1:26" ht="34.15" hidden="1" customHeight="1" x14ac:dyDescent="0.2">
      <c r="A460" s="10"/>
      <c r="B460" s="71"/>
      <c r="C460" s="33"/>
      <c r="D460" s="72"/>
      <c r="E460" s="71"/>
      <c r="F460" s="72"/>
      <c r="G460" s="33"/>
      <c r="H460" s="73" t="str">
        <f>IF(OR(C460="",D460=""),"",C460*D460)</f>
        <v/>
      </c>
      <c r="I460" s="73" t="str">
        <f>IF(OR(E460="",F460="",M460&lt;=0),"",M460*F460)</f>
        <v/>
      </c>
      <c r="J460" s="73" t="str">
        <f>IF(I460="","",I460-(M460*D460))</f>
        <v/>
      </c>
      <c r="K460" s="29" t="str">
        <f>IF(A460="","",IF(T460&gt;0,"Yes","No"))</f>
        <v/>
      </c>
      <c r="L460" s="29" t="str">
        <f>IF(A460="","",A460&amp;"-"&amp;TEXT(B460,"yyyymmdd")&amp;"-R"&amp;ROW())</f>
        <v/>
      </c>
      <c r="M460" s="29" t="str">
        <f>IF(OR(C460="",G460=""),"",C460-G460)</f>
        <v/>
      </c>
      <c r="N460" s="73" t="str">
        <f>IF(OR(M460&lt;=0,J460&gt;=0),"",ABS(J460)/M460)</f>
        <v/>
      </c>
      <c r="O460" s="73" t="str">
        <f>IF(OR(A460="",M460&lt;=0,J460&gt;=0),"",MIN(M460,SUMPRODUCT(($A$18:$A$379=A460)*(IFERROR($B$18:$B$379&gt;=E460-30,0))*(IFERROR($B$18:$B$379&lt;=E460+30,0))*($G$18:$G$379&gt;0)*($L$18:$L$379&lt;&gt;L460)*($G$18:$G$379))+SUMPRODUCT(($A$381:$A$498=A460)*(IFERROR($B$381:$B$498&gt;=E460-30,0))*(IFERROR($B$381:$B$498&lt;=E460+30,0))*($G$381:$G$498&gt;0)*($L$381:$L$498&lt;&gt;L460)*($G$381:$G$498))))</f>
        <v/>
      </c>
      <c r="P460" s="29" t="str">
        <f>IF(OR(A460="",M460&lt;=0,J460&gt;=0),"",SUMPRODUCT(($A$18:$A$379=A460)*(IFERROR($B$18:$B$379&gt;=E460-30,0))*(IFERROR($B$18:$B$379&lt;=E460+30,0))*($G$18:$G$379&gt;0)*($L$18:$L$379&lt;&gt;L460))+SUMPRODUCT(($A$381:$A$498=A460)*(IFERROR($B$381:$B$498&gt;=E460-30,0))*(IFERROR($B$381:$B$498&lt;=E460+30,0))*($G$381:$G$498&gt;0)*($L$381:$L$498&lt;&gt;L460)))</f>
        <v/>
      </c>
      <c r="Q460" s="34" t="str">
        <f>IF(P460=1,IFERROR(INDEX($L$18:$L$379,MATCH(1,INDEX(($A$18:$A$379=A460)*(IFERROR($B$18:$B$379&gt;=E460-30,0))*(IFERROR($B$18:$B$379&lt;=E460+30,0))*($G$18:$G$379&gt;0)*($L$18:$L$379&lt;&gt;L460),0),0)),IFERROR(INDEX($L$381:$L$498,MATCH(1,INDEX(($A$381:$A$498=A460)*(IFERROR($B$381:$B$498&gt;=E460-30,0))*(IFERROR($B$381:$B$498&lt;=E460+30,0))*($G$381:$G$498&gt;0)*($L$381:$L$498&lt;&gt;L460),0),0)),"")),"")</f>
        <v/>
      </c>
      <c r="R460" s="35"/>
      <c r="S460" s="34" t="str">
        <f>IF(R460&lt;&gt;"",R460,Q460)</f>
        <v/>
      </c>
      <c r="T460" s="73">
        <f>IF(OR(N460="",O460=0),0,N460*O460)</f>
        <v>0</v>
      </c>
      <c r="U460" s="73">
        <f>IF(COUNTIF($S$18:$S$498,L460)=0,"",SUMIF($S$18:$S$498,L460,$T$18:$T$498))</f>
        <v>0</v>
      </c>
      <c r="V460" s="73" t="str">
        <f>IF(H460="","",IFERROR(H460+U460,H460))</f>
        <v/>
      </c>
      <c r="W460" s="73" t="str">
        <f>IF(OR(V460="",C460=""),"",V460/C460)</f>
        <v/>
      </c>
      <c r="X460" s="12" t="str">
        <f>IF(A460="","",IF(AND(U460&lt;&gt;"",U460&lt;&gt;0,M460=0),"Replacement lot receiving wash basis",IF(J460="","",IF(J460&gt;=0,"",IF(O460=0,"No replacement buy found",IF(P460&gt;1,"Manual selection needed","Auto matched"))))))</f>
        <v/>
      </c>
      <c r="Z460" t="str">
        <f>IF(K460="Yes",COUNTIF($K$18:K460,"Yes"),"")</f>
        <v/>
      </c>
    </row>
    <row r="461" spans="1:26" ht="34.15" hidden="1" customHeight="1" x14ac:dyDescent="0.2">
      <c r="A461" s="10"/>
      <c r="B461" s="71"/>
      <c r="C461" s="33"/>
      <c r="D461" s="72"/>
      <c r="E461" s="71"/>
      <c r="F461" s="72"/>
      <c r="G461" s="33"/>
      <c r="H461" s="73" t="str">
        <f>IF(OR(C461="",D461=""),"",C461*D461)</f>
        <v/>
      </c>
      <c r="I461" s="73" t="str">
        <f>IF(OR(E461="",F461="",M461&lt;=0),"",M461*F461)</f>
        <v/>
      </c>
      <c r="J461" s="73" t="str">
        <f>IF(I461="","",I461-(M461*D461))</f>
        <v/>
      </c>
      <c r="K461" s="29" t="str">
        <f>IF(A461="","",IF(T461&gt;0,"Yes","No"))</f>
        <v/>
      </c>
      <c r="L461" s="29" t="str">
        <f>IF(A461="","",A461&amp;"-"&amp;TEXT(B461,"yyyymmdd")&amp;"-R"&amp;ROW())</f>
        <v/>
      </c>
      <c r="M461" s="29" t="str">
        <f>IF(OR(C461="",G461=""),"",C461-G461)</f>
        <v/>
      </c>
      <c r="N461" s="73" t="str">
        <f>IF(OR(M461&lt;=0,J461&gt;=0),"",ABS(J461)/M461)</f>
        <v/>
      </c>
      <c r="O461" s="73" t="str">
        <f>IF(OR(A461="",M461&lt;=0,J461&gt;=0),"",MIN(M461,SUMPRODUCT(($A$18:$A$379=A461)*(IFERROR($B$18:$B$379&gt;=E461-30,0))*(IFERROR($B$18:$B$379&lt;=E461+30,0))*($G$18:$G$379&gt;0)*($L$18:$L$379&lt;&gt;L461)*($G$18:$G$379))+SUMPRODUCT(($A$381:$A$498=A461)*(IFERROR($B$381:$B$498&gt;=E461-30,0))*(IFERROR($B$381:$B$498&lt;=E461+30,0))*($G$381:$G$498&gt;0)*($L$381:$L$498&lt;&gt;L461)*($G$381:$G$498))))</f>
        <v/>
      </c>
      <c r="P461" s="29" t="str">
        <f>IF(OR(A461="",M461&lt;=0,J461&gt;=0),"",SUMPRODUCT(($A$18:$A$379=A461)*(IFERROR($B$18:$B$379&gt;=E461-30,0))*(IFERROR($B$18:$B$379&lt;=E461+30,0))*($G$18:$G$379&gt;0)*($L$18:$L$379&lt;&gt;L461))+SUMPRODUCT(($A$381:$A$498=A461)*(IFERROR($B$381:$B$498&gt;=E461-30,0))*(IFERROR($B$381:$B$498&lt;=E461+30,0))*($G$381:$G$498&gt;0)*($L$381:$L$498&lt;&gt;L461)))</f>
        <v/>
      </c>
      <c r="Q461" s="34" t="str">
        <f>IF(P461=1,IFERROR(INDEX($L$18:$L$379,MATCH(1,INDEX(($A$18:$A$379=A461)*(IFERROR($B$18:$B$379&gt;=E461-30,0))*(IFERROR($B$18:$B$379&lt;=E461+30,0))*($G$18:$G$379&gt;0)*($L$18:$L$379&lt;&gt;L461),0),0)),IFERROR(INDEX($L$381:$L$498,MATCH(1,INDEX(($A$381:$A$498=A461)*(IFERROR($B$381:$B$498&gt;=E461-30,0))*(IFERROR($B$381:$B$498&lt;=E461+30,0))*($G$381:$G$498&gt;0)*($L$381:$L$498&lt;&gt;L461),0),0)),"")),"")</f>
        <v/>
      </c>
      <c r="R461" s="35"/>
      <c r="S461" s="34" t="str">
        <f>IF(R461&lt;&gt;"",R461,Q461)</f>
        <v/>
      </c>
      <c r="T461" s="73">
        <f>IF(OR(N461="",O461=0),0,N461*O461)</f>
        <v>0</v>
      </c>
      <c r="U461" s="73">
        <f>IF(COUNTIF($S$18:$S$498,L461)=0,"",SUMIF($S$18:$S$498,L461,$T$18:$T$498))</f>
        <v>0</v>
      </c>
      <c r="V461" s="73" t="str">
        <f>IF(H461="","",IFERROR(H461+U461,H461))</f>
        <v/>
      </c>
      <c r="W461" s="73" t="str">
        <f>IF(OR(V461="",C461=""),"",V461/C461)</f>
        <v/>
      </c>
      <c r="X461" s="12" t="str">
        <f>IF(A461="","",IF(AND(U461&lt;&gt;"",U461&lt;&gt;0,M461=0),"Replacement lot receiving wash basis",IF(J461="","",IF(J461&gt;=0,"",IF(O461=0,"No replacement buy found",IF(P461&gt;1,"Manual selection needed","Auto matched"))))))</f>
        <v/>
      </c>
      <c r="Z461" t="str">
        <f>IF(K461="Yes",COUNTIF($K$18:K461,"Yes"),"")</f>
        <v/>
      </c>
    </row>
    <row r="462" spans="1:26" ht="34.15" hidden="1" customHeight="1" x14ac:dyDescent="0.2">
      <c r="A462" s="10"/>
      <c r="B462" s="71"/>
      <c r="C462" s="33"/>
      <c r="D462" s="72"/>
      <c r="E462" s="71"/>
      <c r="F462" s="72"/>
      <c r="G462" s="33"/>
      <c r="H462" s="73" t="str">
        <f>IF(OR(C462="",D462=""),"",C462*D462)</f>
        <v/>
      </c>
      <c r="I462" s="73" t="str">
        <f>IF(OR(E462="",F462="",M462&lt;=0),"",M462*F462)</f>
        <v/>
      </c>
      <c r="J462" s="73" t="str">
        <f>IF(I462="","",I462-(M462*D462))</f>
        <v/>
      </c>
      <c r="K462" s="29" t="str">
        <f>IF(A462="","",IF(T462&gt;0,"Yes","No"))</f>
        <v/>
      </c>
      <c r="L462" s="29" t="str">
        <f>IF(A462="","",A462&amp;"-"&amp;TEXT(B462,"yyyymmdd")&amp;"-R"&amp;ROW())</f>
        <v/>
      </c>
      <c r="M462" s="29" t="str">
        <f>IF(OR(C462="",G462=""),"",C462-G462)</f>
        <v/>
      </c>
      <c r="N462" s="73" t="str">
        <f>IF(OR(M462&lt;=0,J462&gt;=0),"",ABS(J462)/M462)</f>
        <v/>
      </c>
      <c r="O462" s="73" t="str">
        <f>IF(OR(A462="",M462&lt;=0,J462&gt;=0),"",MIN(M462,SUMPRODUCT(($A$18:$A$379=A462)*(IFERROR($B$18:$B$379&gt;=E462-30,0))*(IFERROR($B$18:$B$379&lt;=E462+30,0))*($G$18:$G$379&gt;0)*($L$18:$L$379&lt;&gt;L462)*($G$18:$G$379))+SUMPRODUCT(($A$381:$A$498=A462)*(IFERROR($B$381:$B$498&gt;=E462-30,0))*(IFERROR($B$381:$B$498&lt;=E462+30,0))*($G$381:$G$498&gt;0)*($L$381:$L$498&lt;&gt;L462)*($G$381:$G$498))))</f>
        <v/>
      </c>
      <c r="P462" s="29" t="str">
        <f>IF(OR(A462="",M462&lt;=0,J462&gt;=0),"",SUMPRODUCT(($A$18:$A$379=A462)*(IFERROR($B$18:$B$379&gt;=E462-30,0))*(IFERROR($B$18:$B$379&lt;=E462+30,0))*($G$18:$G$379&gt;0)*($L$18:$L$379&lt;&gt;L462))+SUMPRODUCT(($A$381:$A$498=A462)*(IFERROR($B$381:$B$498&gt;=E462-30,0))*(IFERROR($B$381:$B$498&lt;=E462+30,0))*($G$381:$G$498&gt;0)*($L$381:$L$498&lt;&gt;L462)))</f>
        <v/>
      </c>
      <c r="Q462" s="34" t="str">
        <f>IF(P462=1,IFERROR(INDEX($L$18:$L$379,MATCH(1,INDEX(($A$18:$A$379=A462)*(IFERROR($B$18:$B$379&gt;=E462-30,0))*(IFERROR($B$18:$B$379&lt;=E462+30,0))*($G$18:$G$379&gt;0)*($L$18:$L$379&lt;&gt;L462),0),0)),IFERROR(INDEX($L$381:$L$498,MATCH(1,INDEX(($A$381:$A$498=A462)*(IFERROR($B$381:$B$498&gt;=E462-30,0))*(IFERROR($B$381:$B$498&lt;=E462+30,0))*($G$381:$G$498&gt;0)*($L$381:$L$498&lt;&gt;L462),0),0)),"")),"")</f>
        <v/>
      </c>
      <c r="R462" s="35"/>
      <c r="S462" s="34" t="str">
        <f>IF(R462&lt;&gt;"",R462,Q462)</f>
        <v/>
      </c>
      <c r="T462" s="73">
        <f>IF(OR(N462="",O462=0),0,N462*O462)</f>
        <v>0</v>
      </c>
      <c r="U462" s="73">
        <f>IF(COUNTIF($S$18:$S$498,L462)=0,"",SUMIF($S$18:$S$498,L462,$T$18:$T$498))</f>
        <v>0</v>
      </c>
      <c r="V462" s="73" t="str">
        <f>IF(H462="","",IFERROR(H462+U462,H462))</f>
        <v/>
      </c>
      <c r="W462" s="73" t="str">
        <f>IF(OR(V462="",C462=""),"",V462/C462)</f>
        <v/>
      </c>
      <c r="X462" s="12" t="str">
        <f>IF(A462="","",IF(AND(U462&lt;&gt;"",U462&lt;&gt;0,M462=0),"Replacement lot receiving wash basis",IF(J462="","",IF(J462&gt;=0,"",IF(O462=0,"No replacement buy found",IF(P462&gt;1,"Manual selection needed","Auto matched"))))))</f>
        <v/>
      </c>
      <c r="Z462" t="str">
        <f>IF(K462="Yes",COUNTIF($K$18:K462,"Yes"),"")</f>
        <v/>
      </c>
    </row>
    <row r="463" spans="1:26" ht="34.15" hidden="1" customHeight="1" x14ac:dyDescent="0.2">
      <c r="A463" s="10"/>
      <c r="B463" s="71"/>
      <c r="C463" s="33"/>
      <c r="D463" s="72"/>
      <c r="E463" s="71"/>
      <c r="F463" s="72"/>
      <c r="G463" s="33"/>
      <c r="H463" s="73" t="str">
        <f>IF(OR(C463="",D463=""),"",C463*D463)</f>
        <v/>
      </c>
      <c r="I463" s="73" t="str">
        <f>IF(OR(E463="",F463="",M463&lt;=0),"",M463*F463)</f>
        <v/>
      </c>
      <c r="J463" s="73" t="str">
        <f>IF(I463="","",I463-(M463*D463))</f>
        <v/>
      </c>
      <c r="K463" s="29" t="str">
        <f>IF(A463="","",IF(T463&gt;0,"Yes","No"))</f>
        <v/>
      </c>
      <c r="L463" s="29" t="str">
        <f>IF(A463="","",A463&amp;"-"&amp;TEXT(B463,"yyyymmdd")&amp;"-R"&amp;ROW())</f>
        <v/>
      </c>
      <c r="M463" s="29" t="str">
        <f>IF(OR(C463="",G463=""),"",C463-G463)</f>
        <v/>
      </c>
      <c r="N463" s="73" t="str">
        <f>IF(OR(M463&lt;=0,J463&gt;=0),"",ABS(J463)/M463)</f>
        <v/>
      </c>
      <c r="O463" s="73" t="str">
        <f>IF(OR(A463="",M463&lt;=0,J463&gt;=0),"",MIN(M463,SUMPRODUCT(($A$18:$A$379=A463)*(IFERROR($B$18:$B$379&gt;=E463-30,0))*(IFERROR($B$18:$B$379&lt;=E463+30,0))*($G$18:$G$379&gt;0)*($L$18:$L$379&lt;&gt;L463)*($G$18:$G$379))+SUMPRODUCT(($A$381:$A$498=A463)*(IFERROR($B$381:$B$498&gt;=E463-30,0))*(IFERROR($B$381:$B$498&lt;=E463+30,0))*($G$381:$G$498&gt;0)*($L$381:$L$498&lt;&gt;L463)*($G$381:$G$498))))</f>
        <v/>
      </c>
      <c r="P463" s="29" t="str">
        <f>IF(OR(A463="",M463&lt;=0,J463&gt;=0),"",SUMPRODUCT(($A$18:$A$379=A463)*(IFERROR($B$18:$B$379&gt;=E463-30,0))*(IFERROR($B$18:$B$379&lt;=E463+30,0))*($G$18:$G$379&gt;0)*($L$18:$L$379&lt;&gt;L463))+SUMPRODUCT(($A$381:$A$498=A463)*(IFERROR($B$381:$B$498&gt;=E463-30,0))*(IFERROR($B$381:$B$498&lt;=E463+30,0))*($G$381:$G$498&gt;0)*($L$381:$L$498&lt;&gt;L463)))</f>
        <v/>
      </c>
      <c r="Q463" s="34" t="str">
        <f>IF(P463=1,IFERROR(INDEX($L$18:$L$379,MATCH(1,INDEX(($A$18:$A$379=A463)*(IFERROR($B$18:$B$379&gt;=E463-30,0))*(IFERROR($B$18:$B$379&lt;=E463+30,0))*($G$18:$G$379&gt;0)*($L$18:$L$379&lt;&gt;L463),0),0)),IFERROR(INDEX($L$381:$L$498,MATCH(1,INDEX(($A$381:$A$498=A463)*(IFERROR($B$381:$B$498&gt;=E463-30,0))*(IFERROR($B$381:$B$498&lt;=E463+30,0))*($G$381:$G$498&gt;0)*($L$381:$L$498&lt;&gt;L463),0),0)),"")),"")</f>
        <v/>
      </c>
      <c r="R463" s="35"/>
      <c r="S463" s="34" t="str">
        <f>IF(R463&lt;&gt;"",R463,Q463)</f>
        <v/>
      </c>
      <c r="T463" s="73">
        <f>IF(OR(N463="",O463=0),0,N463*O463)</f>
        <v>0</v>
      </c>
      <c r="U463" s="73">
        <f>IF(COUNTIF($S$18:$S$498,L463)=0,"",SUMIF($S$18:$S$498,L463,$T$18:$T$498))</f>
        <v>0</v>
      </c>
      <c r="V463" s="73" t="str">
        <f>IF(H463="","",IFERROR(H463+U463,H463))</f>
        <v/>
      </c>
      <c r="W463" s="73" t="str">
        <f>IF(OR(V463="",C463=""),"",V463/C463)</f>
        <v/>
      </c>
      <c r="X463" s="12" t="str">
        <f>IF(A463="","",IF(AND(U463&lt;&gt;"",U463&lt;&gt;0,M463=0),"Replacement lot receiving wash basis",IF(J463="","",IF(J463&gt;=0,"",IF(O463=0,"No replacement buy found",IF(P463&gt;1,"Manual selection needed","Auto matched"))))))</f>
        <v/>
      </c>
      <c r="Z463" t="str">
        <f>IF(K463="Yes",COUNTIF($K$18:K463,"Yes"),"")</f>
        <v/>
      </c>
    </row>
    <row r="464" spans="1:26" ht="34.15" hidden="1" customHeight="1" x14ac:dyDescent="0.2">
      <c r="A464" s="10"/>
      <c r="B464" s="71"/>
      <c r="C464" s="33"/>
      <c r="D464" s="72"/>
      <c r="E464" s="71"/>
      <c r="F464" s="72"/>
      <c r="G464" s="33"/>
      <c r="H464" s="73" t="str">
        <f>IF(OR(C464="",D464=""),"",C464*D464)</f>
        <v/>
      </c>
      <c r="I464" s="73" t="str">
        <f>IF(OR(E464="",F464="",M464&lt;=0),"",M464*F464)</f>
        <v/>
      </c>
      <c r="J464" s="73" t="str">
        <f>IF(I464="","",I464-(M464*D464))</f>
        <v/>
      </c>
      <c r="K464" s="29" t="str">
        <f>IF(A464="","",IF(T464&gt;0,"Yes","No"))</f>
        <v/>
      </c>
      <c r="L464" s="29" t="str">
        <f>IF(A464="","",A464&amp;"-"&amp;TEXT(B464,"yyyymmdd")&amp;"-R"&amp;ROW())</f>
        <v/>
      </c>
      <c r="M464" s="29" t="str">
        <f>IF(OR(C464="",G464=""),"",C464-G464)</f>
        <v/>
      </c>
      <c r="N464" s="73" t="str">
        <f>IF(OR(M464&lt;=0,J464&gt;=0),"",ABS(J464)/M464)</f>
        <v/>
      </c>
      <c r="O464" s="73" t="str">
        <f>IF(OR(A464="",M464&lt;=0,J464&gt;=0),"",MIN(M464,SUMPRODUCT(($A$18:$A$379=A464)*(IFERROR($B$18:$B$379&gt;=E464-30,0))*(IFERROR($B$18:$B$379&lt;=E464+30,0))*($G$18:$G$379&gt;0)*($L$18:$L$379&lt;&gt;L464)*($G$18:$G$379))+SUMPRODUCT(($A$381:$A$498=A464)*(IFERROR($B$381:$B$498&gt;=E464-30,0))*(IFERROR($B$381:$B$498&lt;=E464+30,0))*($G$381:$G$498&gt;0)*($L$381:$L$498&lt;&gt;L464)*($G$381:$G$498))))</f>
        <v/>
      </c>
      <c r="P464" s="29" t="str">
        <f>IF(OR(A464="",M464&lt;=0,J464&gt;=0),"",SUMPRODUCT(($A$18:$A$379=A464)*(IFERROR($B$18:$B$379&gt;=E464-30,0))*(IFERROR($B$18:$B$379&lt;=E464+30,0))*($G$18:$G$379&gt;0)*($L$18:$L$379&lt;&gt;L464))+SUMPRODUCT(($A$381:$A$498=A464)*(IFERROR($B$381:$B$498&gt;=E464-30,0))*(IFERROR($B$381:$B$498&lt;=E464+30,0))*($G$381:$G$498&gt;0)*($L$381:$L$498&lt;&gt;L464)))</f>
        <v/>
      </c>
      <c r="Q464" s="34" t="str">
        <f>IF(P464=1,IFERROR(INDEX($L$18:$L$379,MATCH(1,INDEX(($A$18:$A$379=A464)*(IFERROR($B$18:$B$379&gt;=E464-30,0))*(IFERROR($B$18:$B$379&lt;=E464+30,0))*($G$18:$G$379&gt;0)*($L$18:$L$379&lt;&gt;L464),0),0)),IFERROR(INDEX($L$381:$L$498,MATCH(1,INDEX(($A$381:$A$498=A464)*(IFERROR($B$381:$B$498&gt;=E464-30,0))*(IFERROR($B$381:$B$498&lt;=E464+30,0))*($G$381:$G$498&gt;0)*($L$381:$L$498&lt;&gt;L464),0),0)),"")),"")</f>
        <v/>
      </c>
      <c r="R464" s="35"/>
      <c r="S464" s="34" t="str">
        <f>IF(R464&lt;&gt;"",R464,Q464)</f>
        <v/>
      </c>
      <c r="T464" s="73">
        <f>IF(OR(N464="",O464=0),0,N464*O464)</f>
        <v>0</v>
      </c>
      <c r="U464" s="73">
        <f>IF(COUNTIF($S$18:$S$498,L464)=0,"",SUMIF($S$18:$S$498,L464,$T$18:$T$498))</f>
        <v>0</v>
      </c>
      <c r="V464" s="73" t="str">
        <f>IF(H464="","",IFERROR(H464+U464,H464))</f>
        <v/>
      </c>
      <c r="W464" s="73" t="str">
        <f>IF(OR(V464="",C464=""),"",V464/C464)</f>
        <v/>
      </c>
      <c r="X464" s="12" t="str">
        <f>IF(A464="","",IF(AND(U464&lt;&gt;"",U464&lt;&gt;0,M464=0),"Replacement lot receiving wash basis",IF(J464="","",IF(J464&gt;=0,"",IF(O464=0,"No replacement buy found",IF(P464&gt;1,"Manual selection needed","Auto matched"))))))</f>
        <v/>
      </c>
      <c r="Z464" t="str">
        <f>IF(K464="Yes",COUNTIF($K$18:K464,"Yes"),"")</f>
        <v/>
      </c>
    </row>
    <row r="465" spans="1:26" ht="34.15" hidden="1" customHeight="1" x14ac:dyDescent="0.2">
      <c r="A465" s="10"/>
      <c r="B465" s="71"/>
      <c r="C465" s="33"/>
      <c r="D465" s="72"/>
      <c r="E465" s="71"/>
      <c r="F465" s="72"/>
      <c r="G465" s="33"/>
      <c r="H465" s="73" t="str">
        <f>IF(OR(C465="",D465=""),"",C465*D465)</f>
        <v/>
      </c>
      <c r="I465" s="73" t="str">
        <f>IF(OR(E465="",F465="",M465&lt;=0),"",M465*F465)</f>
        <v/>
      </c>
      <c r="J465" s="73" t="str">
        <f>IF(I465="","",I465-(M465*D465))</f>
        <v/>
      </c>
      <c r="K465" s="29" t="str">
        <f>IF(A465="","",IF(T465&gt;0,"Yes","No"))</f>
        <v/>
      </c>
      <c r="L465" s="29" t="str">
        <f>IF(A465="","",A465&amp;"-"&amp;TEXT(B465,"yyyymmdd")&amp;"-R"&amp;ROW())</f>
        <v/>
      </c>
      <c r="M465" s="29" t="str">
        <f>IF(OR(C465="",G465=""),"",C465-G465)</f>
        <v/>
      </c>
      <c r="N465" s="73" t="str">
        <f>IF(OR(M465&lt;=0,J465&gt;=0),"",ABS(J465)/M465)</f>
        <v/>
      </c>
      <c r="O465" s="73" t="str">
        <f>IF(OR(A465="",M465&lt;=0,J465&gt;=0),"",MIN(M465,SUMPRODUCT(($A$18:$A$379=A465)*(IFERROR($B$18:$B$379&gt;=E465-30,0))*(IFERROR($B$18:$B$379&lt;=E465+30,0))*($G$18:$G$379&gt;0)*($L$18:$L$379&lt;&gt;L465)*($G$18:$G$379))+SUMPRODUCT(($A$381:$A$498=A465)*(IFERROR($B$381:$B$498&gt;=E465-30,0))*(IFERROR($B$381:$B$498&lt;=E465+30,0))*($G$381:$G$498&gt;0)*($L$381:$L$498&lt;&gt;L465)*($G$381:$G$498))))</f>
        <v/>
      </c>
      <c r="P465" s="29" t="str">
        <f>IF(OR(A465="",M465&lt;=0,J465&gt;=0),"",SUMPRODUCT(($A$18:$A$379=A465)*(IFERROR($B$18:$B$379&gt;=E465-30,0))*(IFERROR($B$18:$B$379&lt;=E465+30,0))*($G$18:$G$379&gt;0)*($L$18:$L$379&lt;&gt;L465))+SUMPRODUCT(($A$381:$A$498=A465)*(IFERROR($B$381:$B$498&gt;=E465-30,0))*(IFERROR($B$381:$B$498&lt;=E465+30,0))*($G$381:$G$498&gt;0)*($L$381:$L$498&lt;&gt;L465)))</f>
        <v/>
      </c>
      <c r="Q465" s="34" t="str">
        <f>IF(P465=1,IFERROR(INDEX($L$18:$L$379,MATCH(1,INDEX(($A$18:$A$379=A465)*(IFERROR($B$18:$B$379&gt;=E465-30,0))*(IFERROR($B$18:$B$379&lt;=E465+30,0))*($G$18:$G$379&gt;0)*($L$18:$L$379&lt;&gt;L465),0),0)),IFERROR(INDEX($L$381:$L$498,MATCH(1,INDEX(($A$381:$A$498=A465)*(IFERROR($B$381:$B$498&gt;=E465-30,0))*(IFERROR($B$381:$B$498&lt;=E465+30,0))*($G$381:$G$498&gt;0)*($L$381:$L$498&lt;&gt;L465),0),0)),"")),"")</f>
        <v/>
      </c>
      <c r="R465" s="35"/>
      <c r="S465" s="34" t="str">
        <f>IF(R465&lt;&gt;"",R465,Q465)</f>
        <v/>
      </c>
      <c r="T465" s="73">
        <f>IF(OR(N465="",O465=0),0,N465*O465)</f>
        <v>0</v>
      </c>
      <c r="U465" s="73">
        <f>IF(COUNTIF($S$18:$S$498,L465)=0,"",SUMIF($S$18:$S$498,L465,$T$18:$T$498))</f>
        <v>0</v>
      </c>
      <c r="V465" s="73" t="str">
        <f>IF(H465="","",IFERROR(H465+U465,H465))</f>
        <v/>
      </c>
      <c r="W465" s="73" t="str">
        <f>IF(OR(V465="",C465=""),"",V465/C465)</f>
        <v/>
      </c>
      <c r="X465" s="12" t="str">
        <f>IF(A465="","",IF(AND(U465&lt;&gt;"",U465&lt;&gt;0,M465=0),"Replacement lot receiving wash basis",IF(J465="","",IF(J465&gt;=0,"",IF(O465=0,"No replacement buy found",IF(P465&gt;1,"Manual selection needed","Auto matched"))))))</f>
        <v/>
      </c>
      <c r="Z465" t="str">
        <f>IF(K465="Yes",COUNTIF($K$18:K465,"Yes"),"")</f>
        <v/>
      </c>
    </row>
    <row r="466" spans="1:26" ht="34.15" hidden="1" customHeight="1" x14ac:dyDescent="0.2">
      <c r="A466" s="10"/>
      <c r="B466" s="71"/>
      <c r="C466" s="33"/>
      <c r="D466" s="72"/>
      <c r="E466" s="71"/>
      <c r="F466" s="72"/>
      <c r="G466" s="33"/>
      <c r="H466" s="73" t="str">
        <f>IF(OR(C466="",D466=""),"",C466*D466)</f>
        <v/>
      </c>
      <c r="I466" s="73" t="str">
        <f>IF(OR(E466="",F466="",M466&lt;=0),"",M466*F466)</f>
        <v/>
      </c>
      <c r="J466" s="73" t="str">
        <f>IF(I466="","",I466-(M466*D466))</f>
        <v/>
      </c>
      <c r="K466" s="29" t="str">
        <f>IF(A466="","",IF(T466&gt;0,"Yes","No"))</f>
        <v/>
      </c>
      <c r="L466" s="29" t="str">
        <f>IF(A466="","",A466&amp;"-"&amp;TEXT(B466,"yyyymmdd")&amp;"-R"&amp;ROW())</f>
        <v/>
      </c>
      <c r="M466" s="29" t="str">
        <f>IF(OR(C466="",G466=""),"",C466-G466)</f>
        <v/>
      </c>
      <c r="N466" s="73" t="str">
        <f>IF(OR(M466&lt;=0,J466&gt;=0),"",ABS(J466)/M466)</f>
        <v/>
      </c>
      <c r="O466" s="73" t="str">
        <f>IF(OR(A466="",M466&lt;=0,J466&gt;=0),"",MIN(M466,SUMPRODUCT(($A$18:$A$379=A466)*(IFERROR($B$18:$B$379&gt;=E466-30,0))*(IFERROR($B$18:$B$379&lt;=E466+30,0))*($G$18:$G$379&gt;0)*($L$18:$L$379&lt;&gt;L466)*($G$18:$G$379))+SUMPRODUCT(($A$381:$A$498=A466)*(IFERROR($B$381:$B$498&gt;=E466-30,0))*(IFERROR($B$381:$B$498&lt;=E466+30,0))*($G$381:$G$498&gt;0)*($L$381:$L$498&lt;&gt;L466)*($G$381:$G$498))))</f>
        <v/>
      </c>
      <c r="P466" s="29" t="str">
        <f>IF(OR(A466="",M466&lt;=0,J466&gt;=0),"",SUMPRODUCT(($A$18:$A$379=A466)*(IFERROR($B$18:$B$379&gt;=E466-30,0))*(IFERROR($B$18:$B$379&lt;=E466+30,0))*($G$18:$G$379&gt;0)*($L$18:$L$379&lt;&gt;L466))+SUMPRODUCT(($A$381:$A$498=A466)*(IFERROR($B$381:$B$498&gt;=E466-30,0))*(IFERROR($B$381:$B$498&lt;=E466+30,0))*($G$381:$G$498&gt;0)*($L$381:$L$498&lt;&gt;L466)))</f>
        <v/>
      </c>
      <c r="Q466" s="34" t="str">
        <f>IF(P466=1,IFERROR(INDEX($L$18:$L$379,MATCH(1,INDEX(($A$18:$A$379=A466)*(IFERROR($B$18:$B$379&gt;=E466-30,0))*(IFERROR($B$18:$B$379&lt;=E466+30,0))*($G$18:$G$379&gt;0)*($L$18:$L$379&lt;&gt;L466),0),0)),IFERROR(INDEX($L$381:$L$498,MATCH(1,INDEX(($A$381:$A$498=A466)*(IFERROR($B$381:$B$498&gt;=E466-30,0))*(IFERROR($B$381:$B$498&lt;=E466+30,0))*($G$381:$G$498&gt;0)*($L$381:$L$498&lt;&gt;L466),0),0)),"")),"")</f>
        <v/>
      </c>
      <c r="R466" s="35"/>
      <c r="S466" s="34" t="str">
        <f>IF(R466&lt;&gt;"",R466,Q466)</f>
        <v/>
      </c>
      <c r="T466" s="73">
        <f>IF(OR(N466="",O466=0),0,N466*O466)</f>
        <v>0</v>
      </c>
      <c r="U466" s="73">
        <f>IF(COUNTIF($S$18:$S$498,L466)=0,"",SUMIF($S$18:$S$498,L466,$T$18:$T$498))</f>
        <v>0</v>
      </c>
      <c r="V466" s="73" t="str">
        <f>IF(H466="","",IFERROR(H466+U466,H466))</f>
        <v/>
      </c>
      <c r="W466" s="73" t="str">
        <f>IF(OR(V466="",C466=""),"",V466/C466)</f>
        <v/>
      </c>
      <c r="X466" s="12" t="str">
        <f>IF(A466="","",IF(AND(U466&lt;&gt;"",U466&lt;&gt;0,M466=0),"Replacement lot receiving wash basis",IF(J466="","",IF(J466&gt;=0,"",IF(O466=0,"No replacement buy found",IF(P466&gt;1,"Manual selection needed","Auto matched"))))))</f>
        <v/>
      </c>
      <c r="Z466" t="str">
        <f>IF(K466="Yes",COUNTIF($K$18:K466,"Yes"),"")</f>
        <v/>
      </c>
    </row>
    <row r="467" spans="1:26" ht="34.15" hidden="1" customHeight="1" x14ac:dyDescent="0.2">
      <c r="A467" s="10"/>
      <c r="B467" s="71"/>
      <c r="C467" s="33"/>
      <c r="D467" s="72"/>
      <c r="E467" s="71"/>
      <c r="F467" s="72"/>
      <c r="G467" s="33"/>
      <c r="H467" s="73" t="str">
        <f>IF(OR(C467="",D467=""),"",C467*D467)</f>
        <v/>
      </c>
      <c r="I467" s="73" t="str">
        <f>IF(OR(E467="",F467="",M467&lt;=0),"",M467*F467)</f>
        <v/>
      </c>
      <c r="J467" s="73" t="str">
        <f>IF(I467="","",I467-(M467*D467))</f>
        <v/>
      </c>
      <c r="K467" s="29" t="str">
        <f>IF(A467="","",IF(T467&gt;0,"Yes","No"))</f>
        <v/>
      </c>
      <c r="L467" s="29" t="str">
        <f>IF(A467="","",A467&amp;"-"&amp;TEXT(B467,"yyyymmdd")&amp;"-R"&amp;ROW())</f>
        <v/>
      </c>
      <c r="M467" s="29" t="str">
        <f>IF(OR(C467="",G467=""),"",C467-G467)</f>
        <v/>
      </c>
      <c r="N467" s="73" t="str">
        <f>IF(OR(M467&lt;=0,J467&gt;=0),"",ABS(J467)/M467)</f>
        <v/>
      </c>
      <c r="O467" s="73" t="str">
        <f>IF(OR(A467="",M467&lt;=0,J467&gt;=0),"",MIN(M467,SUMPRODUCT(($A$18:$A$379=A467)*(IFERROR($B$18:$B$379&gt;=E467-30,0))*(IFERROR($B$18:$B$379&lt;=E467+30,0))*($G$18:$G$379&gt;0)*($L$18:$L$379&lt;&gt;L467)*($G$18:$G$379))+SUMPRODUCT(($A$381:$A$498=A467)*(IFERROR($B$381:$B$498&gt;=E467-30,0))*(IFERROR($B$381:$B$498&lt;=E467+30,0))*($G$381:$G$498&gt;0)*($L$381:$L$498&lt;&gt;L467)*($G$381:$G$498))))</f>
        <v/>
      </c>
      <c r="P467" s="29" t="str">
        <f>IF(OR(A467="",M467&lt;=0,J467&gt;=0),"",SUMPRODUCT(($A$18:$A$379=A467)*(IFERROR($B$18:$B$379&gt;=E467-30,0))*(IFERROR($B$18:$B$379&lt;=E467+30,0))*($G$18:$G$379&gt;0)*($L$18:$L$379&lt;&gt;L467))+SUMPRODUCT(($A$381:$A$498=A467)*(IFERROR($B$381:$B$498&gt;=E467-30,0))*(IFERROR($B$381:$B$498&lt;=E467+30,0))*($G$381:$G$498&gt;0)*($L$381:$L$498&lt;&gt;L467)))</f>
        <v/>
      </c>
      <c r="Q467" s="34" t="str">
        <f>IF(P467=1,IFERROR(INDEX($L$18:$L$379,MATCH(1,INDEX(($A$18:$A$379=A467)*(IFERROR($B$18:$B$379&gt;=E467-30,0))*(IFERROR($B$18:$B$379&lt;=E467+30,0))*($G$18:$G$379&gt;0)*($L$18:$L$379&lt;&gt;L467),0),0)),IFERROR(INDEX($L$381:$L$498,MATCH(1,INDEX(($A$381:$A$498=A467)*(IFERROR($B$381:$B$498&gt;=E467-30,0))*(IFERROR($B$381:$B$498&lt;=E467+30,0))*($G$381:$G$498&gt;0)*($L$381:$L$498&lt;&gt;L467),0),0)),"")),"")</f>
        <v/>
      </c>
      <c r="R467" s="35"/>
      <c r="S467" s="34" t="str">
        <f>IF(R467&lt;&gt;"",R467,Q467)</f>
        <v/>
      </c>
      <c r="T467" s="73">
        <f>IF(OR(N467="",O467=0),0,N467*O467)</f>
        <v>0</v>
      </c>
      <c r="U467" s="73">
        <f>IF(COUNTIF($S$18:$S$498,L467)=0,"",SUMIF($S$18:$S$498,L467,$T$18:$T$498))</f>
        <v>0</v>
      </c>
      <c r="V467" s="73" t="str">
        <f>IF(H467="","",IFERROR(H467+U467,H467))</f>
        <v/>
      </c>
      <c r="W467" s="73" t="str">
        <f>IF(OR(V467="",C467=""),"",V467/C467)</f>
        <v/>
      </c>
      <c r="X467" s="12" t="str">
        <f>IF(A467="","",IF(AND(U467&lt;&gt;"",U467&lt;&gt;0,M467=0),"Replacement lot receiving wash basis",IF(J467="","",IF(J467&gt;=0,"",IF(O467=0,"No replacement buy found",IF(P467&gt;1,"Manual selection needed","Auto matched"))))))</f>
        <v/>
      </c>
      <c r="Z467" t="str">
        <f>IF(K467="Yes",COUNTIF($K$18:K467,"Yes"),"")</f>
        <v/>
      </c>
    </row>
    <row r="468" spans="1:26" ht="34.15" hidden="1" customHeight="1" x14ac:dyDescent="0.2">
      <c r="A468" s="10"/>
      <c r="B468" s="71"/>
      <c r="C468" s="33"/>
      <c r="D468" s="72"/>
      <c r="E468" s="71"/>
      <c r="F468" s="72"/>
      <c r="G468" s="33"/>
      <c r="H468" s="73" t="str">
        <f>IF(OR(C468="",D468=""),"",C468*D468)</f>
        <v/>
      </c>
      <c r="I468" s="73" t="str">
        <f>IF(OR(E468="",F468="",M468&lt;=0),"",M468*F468)</f>
        <v/>
      </c>
      <c r="J468" s="73" t="str">
        <f>IF(I468="","",I468-(M468*D468))</f>
        <v/>
      </c>
      <c r="K468" s="29" t="str">
        <f>IF(A468="","",IF(T468&gt;0,"Yes","No"))</f>
        <v/>
      </c>
      <c r="L468" s="29" t="str">
        <f>IF(A468="","",A468&amp;"-"&amp;TEXT(B468,"yyyymmdd")&amp;"-R"&amp;ROW())</f>
        <v/>
      </c>
      <c r="M468" s="29" t="str">
        <f>IF(OR(C468="",G468=""),"",C468-G468)</f>
        <v/>
      </c>
      <c r="N468" s="73" t="str">
        <f>IF(OR(M468&lt;=0,J468&gt;=0),"",ABS(J468)/M468)</f>
        <v/>
      </c>
      <c r="O468" s="73" t="str">
        <f>IF(OR(A468="",M468&lt;=0,J468&gt;=0),"",MIN(M468,SUMPRODUCT(($A$18:$A$379=A468)*(IFERROR($B$18:$B$379&gt;=E468-30,0))*(IFERROR($B$18:$B$379&lt;=E468+30,0))*($G$18:$G$379&gt;0)*($L$18:$L$379&lt;&gt;L468)*($G$18:$G$379))+SUMPRODUCT(($A$381:$A$498=A468)*(IFERROR($B$381:$B$498&gt;=E468-30,0))*(IFERROR($B$381:$B$498&lt;=E468+30,0))*($G$381:$G$498&gt;0)*($L$381:$L$498&lt;&gt;L468)*($G$381:$G$498))))</f>
        <v/>
      </c>
      <c r="P468" s="29" t="str">
        <f>IF(OR(A468="",M468&lt;=0,J468&gt;=0),"",SUMPRODUCT(($A$18:$A$379=A468)*(IFERROR($B$18:$B$379&gt;=E468-30,0))*(IFERROR($B$18:$B$379&lt;=E468+30,0))*($G$18:$G$379&gt;0)*($L$18:$L$379&lt;&gt;L468))+SUMPRODUCT(($A$381:$A$498=A468)*(IFERROR($B$381:$B$498&gt;=E468-30,0))*(IFERROR($B$381:$B$498&lt;=E468+30,0))*($G$381:$G$498&gt;0)*($L$381:$L$498&lt;&gt;L468)))</f>
        <v/>
      </c>
      <c r="Q468" s="34" t="str">
        <f>IF(P468=1,IFERROR(INDEX($L$18:$L$379,MATCH(1,INDEX(($A$18:$A$379=A468)*(IFERROR($B$18:$B$379&gt;=E468-30,0))*(IFERROR($B$18:$B$379&lt;=E468+30,0))*($G$18:$G$379&gt;0)*($L$18:$L$379&lt;&gt;L468),0),0)),IFERROR(INDEX($L$381:$L$498,MATCH(1,INDEX(($A$381:$A$498=A468)*(IFERROR($B$381:$B$498&gt;=E468-30,0))*(IFERROR($B$381:$B$498&lt;=E468+30,0))*($G$381:$G$498&gt;0)*($L$381:$L$498&lt;&gt;L468),0),0)),"")),"")</f>
        <v/>
      </c>
      <c r="R468" s="35"/>
      <c r="S468" s="34" t="str">
        <f>IF(R468&lt;&gt;"",R468,Q468)</f>
        <v/>
      </c>
      <c r="T468" s="73">
        <f>IF(OR(N468="",O468=0),0,N468*O468)</f>
        <v>0</v>
      </c>
      <c r="U468" s="73">
        <f>IF(COUNTIF($S$18:$S$498,L468)=0,"",SUMIF($S$18:$S$498,L468,$T$18:$T$498))</f>
        <v>0</v>
      </c>
      <c r="V468" s="73" t="str">
        <f>IF(H468="","",IFERROR(H468+U468,H468))</f>
        <v/>
      </c>
      <c r="W468" s="73" t="str">
        <f>IF(OR(V468="",C468=""),"",V468/C468)</f>
        <v/>
      </c>
      <c r="X468" s="12" t="str">
        <f>IF(A468="","",IF(AND(U468&lt;&gt;"",U468&lt;&gt;0,M468=0),"Replacement lot receiving wash basis",IF(J468="","",IF(J468&gt;=0,"",IF(O468=0,"No replacement buy found",IF(P468&gt;1,"Manual selection needed","Auto matched"))))))</f>
        <v/>
      </c>
      <c r="Z468" t="str">
        <f>IF(K468="Yes",COUNTIF($K$18:K468,"Yes"),"")</f>
        <v/>
      </c>
    </row>
    <row r="469" spans="1:26" ht="34.15" hidden="1" customHeight="1" x14ac:dyDescent="0.2">
      <c r="A469" s="10"/>
      <c r="B469" s="71"/>
      <c r="C469" s="33"/>
      <c r="D469" s="72"/>
      <c r="E469" s="71"/>
      <c r="F469" s="72"/>
      <c r="G469" s="33"/>
      <c r="H469" s="73" t="str">
        <f>IF(OR(C469="",D469=""),"",C469*D469)</f>
        <v/>
      </c>
      <c r="I469" s="73" t="str">
        <f>IF(OR(E469="",F469="",M469&lt;=0),"",M469*F469)</f>
        <v/>
      </c>
      <c r="J469" s="73" t="str">
        <f>IF(I469="","",I469-(M469*D469))</f>
        <v/>
      </c>
      <c r="K469" s="29" t="str">
        <f>IF(A469="","",IF(T469&gt;0,"Yes","No"))</f>
        <v/>
      </c>
      <c r="L469" s="29" t="str">
        <f>IF(A469="","",A469&amp;"-"&amp;TEXT(B469,"yyyymmdd")&amp;"-R"&amp;ROW())</f>
        <v/>
      </c>
      <c r="M469" s="29" t="str">
        <f>IF(OR(C469="",G469=""),"",C469-G469)</f>
        <v/>
      </c>
      <c r="N469" s="73" t="str">
        <f>IF(OR(M469&lt;=0,J469&gt;=0),"",ABS(J469)/M469)</f>
        <v/>
      </c>
      <c r="O469" s="73" t="str">
        <f>IF(OR(A469="",M469&lt;=0,J469&gt;=0),"",MIN(M469,SUMPRODUCT(($A$18:$A$379=A469)*(IFERROR($B$18:$B$379&gt;=E469-30,0))*(IFERROR($B$18:$B$379&lt;=E469+30,0))*($G$18:$G$379&gt;0)*($L$18:$L$379&lt;&gt;L469)*($G$18:$G$379))+SUMPRODUCT(($A$381:$A$498=A469)*(IFERROR($B$381:$B$498&gt;=E469-30,0))*(IFERROR($B$381:$B$498&lt;=E469+30,0))*($G$381:$G$498&gt;0)*($L$381:$L$498&lt;&gt;L469)*($G$381:$G$498))))</f>
        <v/>
      </c>
      <c r="P469" s="29" t="str">
        <f>IF(OR(A469="",M469&lt;=0,J469&gt;=0),"",SUMPRODUCT(($A$18:$A$379=A469)*(IFERROR($B$18:$B$379&gt;=E469-30,0))*(IFERROR($B$18:$B$379&lt;=E469+30,0))*($G$18:$G$379&gt;0)*($L$18:$L$379&lt;&gt;L469))+SUMPRODUCT(($A$381:$A$498=A469)*(IFERROR($B$381:$B$498&gt;=E469-30,0))*(IFERROR($B$381:$B$498&lt;=E469+30,0))*($G$381:$G$498&gt;0)*($L$381:$L$498&lt;&gt;L469)))</f>
        <v/>
      </c>
      <c r="Q469" s="34" t="str">
        <f>IF(P469=1,IFERROR(INDEX($L$18:$L$379,MATCH(1,INDEX(($A$18:$A$379=A469)*(IFERROR($B$18:$B$379&gt;=E469-30,0))*(IFERROR($B$18:$B$379&lt;=E469+30,0))*($G$18:$G$379&gt;0)*($L$18:$L$379&lt;&gt;L469),0),0)),IFERROR(INDEX($L$381:$L$498,MATCH(1,INDEX(($A$381:$A$498=A469)*(IFERROR($B$381:$B$498&gt;=E469-30,0))*(IFERROR($B$381:$B$498&lt;=E469+30,0))*($G$381:$G$498&gt;0)*($L$381:$L$498&lt;&gt;L469),0),0)),"")),"")</f>
        <v/>
      </c>
      <c r="R469" s="35"/>
      <c r="S469" s="34" t="str">
        <f>IF(R469&lt;&gt;"",R469,Q469)</f>
        <v/>
      </c>
      <c r="T469" s="73">
        <f>IF(OR(N469="",O469=0),0,N469*O469)</f>
        <v>0</v>
      </c>
      <c r="U469" s="73">
        <f>IF(COUNTIF($S$18:$S$498,L469)=0,"",SUMIF($S$18:$S$498,L469,$T$18:$T$498))</f>
        <v>0</v>
      </c>
      <c r="V469" s="73" t="str">
        <f>IF(H469="","",IFERROR(H469+U469,H469))</f>
        <v/>
      </c>
      <c r="W469" s="73" t="str">
        <f>IF(OR(V469="",C469=""),"",V469/C469)</f>
        <v/>
      </c>
      <c r="X469" s="12" t="str">
        <f>IF(A469="","",IF(AND(U469&lt;&gt;"",U469&lt;&gt;0,M469=0),"Replacement lot receiving wash basis",IF(J469="","",IF(J469&gt;=0,"",IF(O469=0,"No replacement buy found",IF(P469&gt;1,"Manual selection needed","Auto matched"))))))</f>
        <v/>
      </c>
      <c r="Z469" t="str">
        <f>IF(K469="Yes",COUNTIF($K$18:K469,"Yes"),"")</f>
        <v/>
      </c>
    </row>
    <row r="470" spans="1:26" ht="34.15" hidden="1" customHeight="1" x14ac:dyDescent="0.2">
      <c r="A470" s="10"/>
      <c r="B470" s="71"/>
      <c r="C470" s="33"/>
      <c r="D470" s="72"/>
      <c r="E470" s="71"/>
      <c r="F470" s="72"/>
      <c r="G470" s="33"/>
      <c r="H470" s="73" t="str">
        <f>IF(OR(C470="",D470=""),"",C470*D470)</f>
        <v/>
      </c>
      <c r="I470" s="73" t="str">
        <f>IF(OR(E470="",F470="",M470&lt;=0),"",M470*F470)</f>
        <v/>
      </c>
      <c r="J470" s="73" t="str">
        <f>IF(I470="","",I470-(M470*D470))</f>
        <v/>
      </c>
      <c r="K470" s="29" t="str">
        <f>IF(A470="","",IF(T470&gt;0,"Yes","No"))</f>
        <v/>
      </c>
      <c r="L470" s="29" t="str">
        <f>IF(A470="","",A470&amp;"-"&amp;TEXT(B470,"yyyymmdd")&amp;"-R"&amp;ROW())</f>
        <v/>
      </c>
      <c r="M470" s="29" t="str">
        <f>IF(OR(C470="",G470=""),"",C470-G470)</f>
        <v/>
      </c>
      <c r="N470" s="73" t="str">
        <f>IF(OR(M470&lt;=0,J470&gt;=0),"",ABS(J470)/M470)</f>
        <v/>
      </c>
      <c r="O470" s="73" t="str">
        <f>IF(OR(A470="",M470&lt;=0,J470&gt;=0),"",MIN(M470,SUMPRODUCT(($A$18:$A$379=A470)*(IFERROR($B$18:$B$379&gt;=E470-30,0))*(IFERROR($B$18:$B$379&lt;=E470+30,0))*($G$18:$G$379&gt;0)*($L$18:$L$379&lt;&gt;L470)*($G$18:$G$379))+SUMPRODUCT(($A$381:$A$498=A470)*(IFERROR($B$381:$B$498&gt;=E470-30,0))*(IFERROR($B$381:$B$498&lt;=E470+30,0))*($G$381:$G$498&gt;0)*($L$381:$L$498&lt;&gt;L470)*($G$381:$G$498))))</f>
        <v/>
      </c>
      <c r="P470" s="29" t="str">
        <f>IF(OR(A470="",M470&lt;=0,J470&gt;=0),"",SUMPRODUCT(($A$18:$A$379=A470)*(IFERROR($B$18:$B$379&gt;=E470-30,0))*(IFERROR($B$18:$B$379&lt;=E470+30,0))*($G$18:$G$379&gt;0)*($L$18:$L$379&lt;&gt;L470))+SUMPRODUCT(($A$381:$A$498=A470)*(IFERROR($B$381:$B$498&gt;=E470-30,0))*(IFERROR($B$381:$B$498&lt;=E470+30,0))*($G$381:$G$498&gt;0)*($L$381:$L$498&lt;&gt;L470)))</f>
        <v/>
      </c>
      <c r="Q470" s="34" t="str">
        <f>IF(P470=1,IFERROR(INDEX($L$18:$L$379,MATCH(1,INDEX(($A$18:$A$379=A470)*(IFERROR($B$18:$B$379&gt;=E470-30,0))*(IFERROR($B$18:$B$379&lt;=E470+30,0))*($G$18:$G$379&gt;0)*($L$18:$L$379&lt;&gt;L470),0),0)),IFERROR(INDEX($L$381:$L$498,MATCH(1,INDEX(($A$381:$A$498=A470)*(IFERROR($B$381:$B$498&gt;=E470-30,0))*(IFERROR($B$381:$B$498&lt;=E470+30,0))*($G$381:$G$498&gt;0)*($L$381:$L$498&lt;&gt;L470),0),0)),"")),"")</f>
        <v/>
      </c>
      <c r="R470" s="35"/>
      <c r="S470" s="34" t="str">
        <f>IF(R470&lt;&gt;"",R470,Q470)</f>
        <v/>
      </c>
      <c r="T470" s="73">
        <f>IF(OR(N470="",O470=0),0,N470*O470)</f>
        <v>0</v>
      </c>
      <c r="U470" s="73">
        <f>IF(COUNTIF($S$18:$S$498,L470)=0,"",SUMIF($S$18:$S$498,L470,$T$18:$T$498))</f>
        <v>0</v>
      </c>
      <c r="V470" s="73" t="str">
        <f>IF(H470="","",IFERROR(H470+U470,H470))</f>
        <v/>
      </c>
      <c r="W470" s="73" t="str">
        <f>IF(OR(V470="",C470=""),"",V470/C470)</f>
        <v/>
      </c>
      <c r="X470" s="12" t="str">
        <f>IF(A470="","",IF(AND(U470&lt;&gt;"",U470&lt;&gt;0,M470=0),"Replacement lot receiving wash basis",IF(J470="","",IF(J470&gt;=0,"",IF(O470=0,"No replacement buy found",IF(P470&gt;1,"Manual selection needed","Auto matched"))))))</f>
        <v/>
      </c>
      <c r="Z470" t="str">
        <f>IF(K470="Yes",COUNTIF($K$18:K470,"Yes"),"")</f>
        <v/>
      </c>
    </row>
    <row r="471" spans="1:26" ht="34.15" hidden="1" customHeight="1" x14ac:dyDescent="0.2">
      <c r="A471" s="10"/>
      <c r="B471" s="71"/>
      <c r="C471" s="33"/>
      <c r="D471" s="72"/>
      <c r="E471" s="71"/>
      <c r="F471" s="72"/>
      <c r="G471" s="33"/>
      <c r="H471" s="73" t="str">
        <f>IF(OR(C471="",D471=""),"",C471*D471)</f>
        <v/>
      </c>
      <c r="I471" s="73" t="str">
        <f>IF(OR(E471="",F471="",M471&lt;=0),"",M471*F471)</f>
        <v/>
      </c>
      <c r="J471" s="73" t="str">
        <f>IF(I471="","",I471-(M471*D471))</f>
        <v/>
      </c>
      <c r="K471" s="29" t="str">
        <f>IF(A471="","",IF(T471&gt;0,"Yes","No"))</f>
        <v/>
      </c>
      <c r="L471" s="29" t="str">
        <f>IF(A471="","",A471&amp;"-"&amp;TEXT(B471,"yyyymmdd")&amp;"-R"&amp;ROW())</f>
        <v/>
      </c>
      <c r="M471" s="29" t="str">
        <f>IF(OR(C471="",G471=""),"",C471-G471)</f>
        <v/>
      </c>
      <c r="N471" s="73" t="str">
        <f>IF(OR(M471&lt;=0,J471&gt;=0),"",ABS(J471)/M471)</f>
        <v/>
      </c>
      <c r="O471" s="73" t="str">
        <f>IF(OR(A471="",M471&lt;=0,J471&gt;=0),"",MIN(M471,SUMPRODUCT(($A$18:$A$379=A471)*(IFERROR($B$18:$B$379&gt;=E471-30,0))*(IFERROR($B$18:$B$379&lt;=E471+30,0))*($G$18:$G$379&gt;0)*($L$18:$L$379&lt;&gt;L471)*($G$18:$G$379))+SUMPRODUCT(($A$381:$A$498=A471)*(IFERROR($B$381:$B$498&gt;=E471-30,0))*(IFERROR($B$381:$B$498&lt;=E471+30,0))*($G$381:$G$498&gt;0)*($L$381:$L$498&lt;&gt;L471)*($G$381:$G$498))))</f>
        <v/>
      </c>
      <c r="P471" s="29" t="str">
        <f>IF(OR(A471="",M471&lt;=0,J471&gt;=0),"",SUMPRODUCT(($A$18:$A$379=A471)*(IFERROR($B$18:$B$379&gt;=E471-30,0))*(IFERROR($B$18:$B$379&lt;=E471+30,0))*($G$18:$G$379&gt;0)*($L$18:$L$379&lt;&gt;L471))+SUMPRODUCT(($A$381:$A$498=A471)*(IFERROR($B$381:$B$498&gt;=E471-30,0))*(IFERROR($B$381:$B$498&lt;=E471+30,0))*($G$381:$G$498&gt;0)*($L$381:$L$498&lt;&gt;L471)))</f>
        <v/>
      </c>
      <c r="Q471" s="34" t="str">
        <f>IF(P471=1,IFERROR(INDEX($L$18:$L$379,MATCH(1,INDEX(($A$18:$A$379=A471)*(IFERROR($B$18:$B$379&gt;=E471-30,0))*(IFERROR($B$18:$B$379&lt;=E471+30,0))*($G$18:$G$379&gt;0)*($L$18:$L$379&lt;&gt;L471),0),0)),IFERROR(INDEX($L$381:$L$498,MATCH(1,INDEX(($A$381:$A$498=A471)*(IFERROR($B$381:$B$498&gt;=E471-30,0))*(IFERROR($B$381:$B$498&lt;=E471+30,0))*($G$381:$G$498&gt;0)*($L$381:$L$498&lt;&gt;L471),0),0)),"")),"")</f>
        <v/>
      </c>
      <c r="R471" s="35"/>
      <c r="S471" s="34" t="str">
        <f>IF(R471&lt;&gt;"",R471,Q471)</f>
        <v/>
      </c>
      <c r="T471" s="73">
        <f>IF(OR(N471="",O471=0),0,N471*O471)</f>
        <v>0</v>
      </c>
      <c r="U471" s="73">
        <f>IF(COUNTIF($S$18:$S$498,L471)=0,"",SUMIF($S$18:$S$498,L471,$T$18:$T$498))</f>
        <v>0</v>
      </c>
      <c r="V471" s="73" t="str">
        <f>IF(H471="","",IFERROR(H471+U471,H471))</f>
        <v/>
      </c>
      <c r="W471" s="73" t="str">
        <f>IF(OR(V471="",C471=""),"",V471/C471)</f>
        <v/>
      </c>
      <c r="X471" s="12" t="str">
        <f>IF(A471="","",IF(AND(U471&lt;&gt;"",U471&lt;&gt;0,M471=0),"Replacement lot receiving wash basis",IF(J471="","",IF(J471&gt;=0,"",IF(O471=0,"No replacement buy found",IF(P471&gt;1,"Manual selection needed","Auto matched"))))))</f>
        <v/>
      </c>
      <c r="Z471" t="str">
        <f>IF(K471="Yes",COUNTIF($K$18:K471,"Yes"),"")</f>
        <v/>
      </c>
    </row>
    <row r="472" spans="1:26" ht="34.15" hidden="1" customHeight="1" x14ac:dyDescent="0.2">
      <c r="A472" s="10"/>
      <c r="B472" s="71"/>
      <c r="C472" s="33"/>
      <c r="D472" s="72"/>
      <c r="E472" s="71"/>
      <c r="F472" s="72"/>
      <c r="G472" s="33"/>
      <c r="H472" s="73" t="str">
        <f>IF(OR(C472="",D472=""),"",C472*D472)</f>
        <v/>
      </c>
      <c r="I472" s="73" t="str">
        <f>IF(OR(E472="",F472="",M472&lt;=0),"",M472*F472)</f>
        <v/>
      </c>
      <c r="J472" s="73" t="str">
        <f>IF(I472="","",I472-(M472*D472))</f>
        <v/>
      </c>
      <c r="K472" s="29" t="str">
        <f>IF(A472="","",IF(T472&gt;0,"Yes","No"))</f>
        <v/>
      </c>
      <c r="L472" s="29" t="str">
        <f>IF(A472="","",A472&amp;"-"&amp;TEXT(B472,"yyyymmdd")&amp;"-R"&amp;ROW())</f>
        <v/>
      </c>
      <c r="M472" s="29" t="str">
        <f>IF(OR(C472="",G472=""),"",C472-G472)</f>
        <v/>
      </c>
      <c r="N472" s="73" t="str">
        <f>IF(OR(M472&lt;=0,J472&gt;=0),"",ABS(J472)/M472)</f>
        <v/>
      </c>
      <c r="O472" s="73" t="str">
        <f>IF(OR(A472="",M472&lt;=0,J472&gt;=0),"",MIN(M472,SUMPRODUCT(($A$18:$A$379=A472)*(IFERROR($B$18:$B$379&gt;=E472-30,0))*(IFERROR($B$18:$B$379&lt;=E472+30,0))*($G$18:$G$379&gt;0)*($L$18:$L$379&lt;&gt;L472)*($G$18:$G$379))+SUMPRODUCT(($A$381:$A$498=A472)*(IFERROR($B$381:$B$498&gt;=E472-30,0))*(IFERROR($B$381:$B$498&lt;=E472+30,0))*($G$381:$G$498&gt;0)*($L$381:$L$498&lt;&gt;L472)*($G$381:$G$498))))</f>
        <v/>
      </c>
      <c r="P472" s="29" t="str">
        <f>IF(OR(A472="",M472&lt;=0,J472&gt;=0),"",SUMPRODUCT(($A$18:$A$379=A472)*(IFERROR($B$18:$B$379&gt;=E472-30,0))*(IFERROR($B$18:$B$379&lt;=E472+30,0))*($G$18:$G$379&gt;0)*($L$18:$L$379&lt;&gt;L472))+SUMPRODUCT(($A$381:$A$498=A472)*(IFERROR($B$381:$B$498&gt;=E472-30,0))*(IFERROR($B$381:$B$498&lt;=E472+30,0))*($G$381:$G$498&gt;0)*($L$381:$L$498&lt;&gt;L472)))</f>
        <v/>
      </c>
      <c r="Q472" s="34" t="str">
        <f>IF(P472=1,IFERROR(INDEX($L$18:$L$379,MATCH(1,INDEX(($A$18:$A$379=A472)*(IFERROR($B$18:$B$379&gt;=E472-30,0))*(IFERROR($B$18:$B$379&lt;=E472+30,0))*($G$18:$G$379&gt;0)*($L$18:$L$379&lt;&gt;L472),0),0)),IFERROR(INDEX($L$381:$L$498,MATCH(1,INDEX(($A$381:$A$498=A472)*(IFERROR($B$381:$B$498&gt;=E472-30,0))*(IFERROR($B$381:$B$498&lt;=E472+30,0))*($G$381:$G$498&gt;0)*($L$381:$L$498&lt;&gt;L472),0),0)),"")),"")</f>
        <v/>
      </c>
      <c r="R472" s="35"/>
      <c r="S472" s="34" t="str">
        <f>IF(R472&lt;&gt;"",R472,Q472)</f>
        <v/>
      </c>
      <c r="T472" s="73">
        <f>IF(OR(N472="",O472=0),0,N472*O472)</f>
        <v>0</v>
      </c>
      <c r="U472" s="73">
        <f>IF(COUNTIF($S$18:$S$498,L472)=0,"",SUMIF($S$18:$S$498,L472,$T$18:$T$498))</f>
        <v>0</v>
      </c>
      <c r="V472" s="73" t="str">
        <f>IF(H472="","",IFERROR(H472+U472,H472))</f>
        <v/>
      </c>
      <c r="W472" s="73" t="str">
        <f>IF(OR(V472="",C472=""),"",V472/C472)</f>
        <v/>
      </c>
      <c r="X472" s="12" t="str">
        <f>IF(A472="","",IF(AND(U472&lt;&gt;"",U472&lt;&gt;0,M472=0),"Replacement lot receiving wash basis",IF(J472="","",IF(J472&gt;=0,"",IF(O472=0,"No replacement buy found",IF(P472&gt;1,"Manual selection needed","Auto matched"))))))</f>
        <v/>
      </c>
      <c r="Z472" t="str">
        <f>IF(K472="Yes",COUNTIF($K$18:K472,"Yes"),"")</f>
        <v/>
      </c>
    </row>
    <row r="473" spans="1:26" ht="34.15" hidden="1" customHeight="1" x14ac:dyDescent="0.2">
      <c r="A473" s="10"/>
      <c r="B473" s="71"/>
      <c r="C473" s="33"/>
      <c r="D473" s="72"/>
      <c r="E473" s="71"/>
      <c r="F473" s="72"/>
      <c r="G473" s="33"/>
      <c r="H473" s="73" t="str">
        <f>IF(OR(C473="",D473=""),"",C473*D473)</f>
        <v/>
      </c>
      <c r="I473" s="73" t="str">
        <f>IF(OR(E473="",F473="",M473&lt;=0),"",M473*F473)</f>
        <v/>
      </c>
      <c r="J473" s="73" t="str">
        <f>IF(I473="","",I473-(M473*D473))</f>
        <v/>
      </c>
      <c r="K473" s="29" t="str">
        <f>IF(A473="","",IF(T473&gt;0,"Yes","No"))</f>
        <v/>
      </c>
      <c r="L473" s="29" t="str">
        <f>IF(A473="","",A473&amp;"-"&amp;TEXT(B473,"yyyymmdd")&amp;"-R"&amp;ROW())</f>
        <v/>
      </c>
      <c r="M473" s="29" t="str">
        <f>IF(OR(C473="",G473=""),"",C473-G473)</f>
        <v/>
      </c>
      <c r="N473" s="73" t="str">
        <f>IF(OR(M473&lt;=0,J473&gt;=0),"",ABS(J473)/M473)</f>
        <v/>
      </c>
      <c r="O473" s="73" t="str">
        <f>IF(OR(A473="",M473&lt;=0,J473&gt;=0),"",MIN(M473,SUMPRODUCT(($A$18:$A$379=A473)*(IFERROR($B$18:$B$379&gt;=E473-30,0))*(IFERROR($B$18:$B$379&lt;=E473+30,0))*($G$18:$G$379&gt;0)*($L$18:$L$379&lt;&gt;L473)*($G$18:$G$379))+SUMPRODUCT(($A$381:$A$498=A473)*(IFERROR($B$381:$B$498&gt;=E473-30,0))*(IFERROR($B$381:$B$498&lt;=E473+30,0))*($G$381:$G$498&gt;0)*($L$381:$L$498&lt;&gt;L473)*($G$381:$G$498))))</f>
        <v/>
      </c>
      <c r="P473" s="29" t="str">
        <f>IF(OR(A473="",M473&lt;=0,J473&gt;=0),"",SUMPRODUCT(($A$18:$A$379=A473)*(IFERROR($B$18:$B$379&gt;=E473-30,0))*(IFERROR($B$18:$B$379&lt;=E473+30,0))*($G$18:$G$379&gt;0)*($L$18:$L$379&lt;&gt;L473))+SUMPRODUCT(($A$381:$A$498=A473)*(IFERROR($B$381:$B$498&gt;=E473-30,0))*(IFERROR($B$381:$B$498&lt;=E473+30,0))*($G$381:$G$498&gt;0)*($L$381:$L$498&lt;&gt;L473)))</f>
        <v/>
      </c>
      <c r="Q473" s="34" t="str">
        <f>IF(P473=1,IFERROR(INDEX($L$18:$L$379,MATCH(1,INDEX(($A$18:$A$379=A473)*(IFERROR($B$18:$B$379&gt;=E473-30,0))*(IFERROR($B$18:$B$379&lt;=E473+30,0))*($G$18:$G$379&gt;0)*($L$18:$L$379&lt;&gt;L473),0),0)),IFERROR(INDEX($L$381:$L$498,MATCH(1,INDEX(($A$381:$A$498=A473)*(IFERROR($B$381:$B$498&gt;=E473-30,0))*(IFERROR($B$381:$B$498&lt;=E473+30,0))*($G$381:$G$498&gt;0)*($L$381:$L$498&lt;&gt;L473),0),0)),"")),"")</f>
        <v/>
      </c>
      <c r="R473" s="35"/>
      <c r="S473" s="34" t="str">
        <f>IF(R473&lt;&gt;"",R473,Q473)</f>
        <v/>
      </c>
      <c r="T473" s="73">
        <f>IF(OR(N473="",O473=0),0,N473*O473)</f>
        <v>0</v>
      </c>
      <c r="U473" s="73">
        <f>IF(COUNTIF($S$18:$S$498,L473)=0,"",SUMIF($S$18:$S$498,L473,$T$18:$T$498))</f>
        <v>0</v>
      </c>
      <c r="V473" s="73" t="str">
        <f>IF(H473="","",IFERROR(H473+U473,H473))</f>
        <v/>
      </c>
      <c r="W473" s="73" t="str">
        <f>IF(OR(V473="",C473=""),"",V473/C473)</f>
        <v/>
      </c>
      <c r="X473" s="12" t="str">
        <f>IF(A473="","",IF(AND(U473&lt;&gt;"",U473&lt;&gt;0,M473=0),"Replacement lot receiving wash basis",IF(J473="","",IF(J473&gt;=0,"",IF(O473=0,"No replacement buy found",IF(P473&gt;1,"Manual selection needed","Auto matched"))))))</f>
        <v/>
      </c>
      <c r="Z473" t="str">
        <f>IF(K473="Yes",COUNTIF($K$18:K473,"Yes"),"")</f>
        <v/>
      </c>
    </row>
    <row r="474" spans="1:26" ht="34.15" hidden="1" customHeight="1" x14ac:dyDescent="0.2">
      <c r="A474" s="10"/>
      <c r="B474" s="71"/>
      <c r="C474" s="33"/>
      <c r="D474" s="72"/>
      <c r="E474" s="71"/>
      <c r="F474" s="72"/>
      <c r="G474" s="33"/>
      <c r="H474" s="73" t="str">
        <f>IF(OR(C474="",D474=""),"",C474*D474)</f>
        <v/>
      </c>
      <c r="I474" s="73" t="str">
        <f>IF(OR(E474="",F474="",M474&lt;=0),"",M474*F474)</f>
        <v/>
      </c>
      <c r="J474" s="73" t="str">
        <f>IF(I474="","",I474-(M474*D474))</f>
        <v/>
      </c>
      <c r="K474" s="29" t="str">
        <f>IF(A474="","",IF(T474&gt;0,"Yes","No"))</f>
        <v/>
      </c>
      <c r="L474" s="29" t="str">
        <f>IF(A474="","",A474&amp;"-"&amp;TEXT(B474,"yyyymmdd")&amp;"-R"&amp;ROW())</f>
        <v/>
      </c>
      <c r="M474" s="29" t="str">
        <f>IF(OR(C474="",G474=""),"",C474-G474)</f>
        <v/>
      </c>
      <c r="N474" s="73" t="str">
        <f>IF(OR(M474&lt;=0,J474&gt;=0),"",ABS(J474)/M474)</f>
        <v/>
      </c>
      <c r="O474" s="73" t="str">
        <f>IF(OR(A474="",M474&lt;=0,J474&gt;=0),"",MIN(M474,SUMPRODUCT(($A$18:$A$379=A474)*(IFERROR($B$18:$B$379&gt;=E474-30,0))*(IFERROR($B$18:$B$379&lt;=E474+30,0))*($G$18:$G$379&gt;0)*($L$18:$L$379&lt;&gt;L474)*($G$18:$G$379))+SUMPRODUCT(($A$381:$A$498=A474)*(IFERROR($B$381:$B$498&gt;=E474-30,0))*(IFERROR($B$381:$B$498&lt;=E474+30,0))*($G$381:$G$498&gt;0)*($L$381:$L$498&lt;&gt;L474)*($G$381:$G$498))))</f>
        <v/>
      </c>
      <c r="P474" s="29" t="str">
        <f>IF(OR(A474="",M474&lt;=0,J474&gt;=0),"",SUMPRODUCT(($A$18:$A$379=A474)*(IFERROR($B$18:$B$379&gt;=E474-30,0))*(IFERROR($B$18:$B$379&lt;=E474+30,0))*($G$18:$G$379&gt;0)*($L$18:$L$379&lt;&gt;L474))+SUMPRODUCT(($A$381:$A$498=A474)*(IFERROR($B$381:$B$498&gt;=E474-30,0))*(IFERROR($B$381:$B$498&lt;=E474+30,0))*($G$381:$G$498&gt;0)*($L$381:$L$498&lt;&gt;L474)))</f>
        <v/>
      </c>
      <c r="Q474" s="34" t="str">
        <f>IF(P474=1,IFERROR(INDEX($L$18:$L$379,MATCH(1,INDEX(($A$18:$A$379=A474)*(IFERROR($B$18:$B$379&gt;=E474-30,0))*(IFERROR($B$18:$B$379&lt;=E474+30,0))*($G$18:$G$379&gt;0)*($L$18:$L$379&lt;&gt;L474),0),0)),IFERROR(INDEX($L$381:$L$498,MATCH(1,INDEX(($A$381:$A$498=A474)*(IFERROR($B$381:$B$498&gt;=E474-30,0))*(IFERROR($B$381:$B$498&lt;=E474+30,0))*($G$381:$G$498&gt;0)*($L$381:$L$498&lt;&gt;L474),0),0)),"")),"")</f>
        <v/>
      </c>
      <c r="R474" s="35"/>
      <c r="S474" s="34" t="str">
        <f>IF(R474&lt;&gt;"",R474,Q474)</f>
        <v/>
      </c>
      <c r="T474" s="73">
        <f>IF(OR(N474="",O474=0),0,N474*O474)</f>
        <v>0</v>
      </c>
      <c r="U474" s="73">
        <f>IF(COUNTIF($S$18:$S$498,L474)=0,"",SUMIF($S$18:$S$498,L474,$T$18:$T$498))</f>
        <v>0</v>
      </c>
      <c r="V474" s="73" t="str">
        <f>IF(H474="","",IFERROR(H474+U474,H474))</f>
        <v/>
      </c>
      <c r="W474" s="73" t="str">
        <f>IF(OR(V474="",C474=""),"",V474/C474)</f>
        <v/>
      </c>
      <c r="X474" s="12" t="str">
        <f>IF(A474="","",IF(AND(U474&lt;&gt;"",U474&lt;&gt;0,M474=0),"Replacement lot receiving wash basis",IF(J474="","",IF(J474&gt;=0,"",IF(O474=0,"No replacement buy found",IF(P474&gt;1,"Manual selection needed","Auto matched"))))))</f>
        <v/>
      </c>
      <c r="Z474" t="str">
        <f>IF(K474="Yes",COUNTIF($K$18:K474,"Yes"),"")</f>
        <v/>
      </c>
    </row>
    <row r="475" spans="1:26" ht="34.15" hidden="1" customHeight="1" x14ac:dyDescent="0.2">
      <c r="A475" s="10"/>
      <c r="B475" s="71"/>
      <c r="C475" s="33"/>
      <c r="D475" s="72"/>
      <c r="E475" s="71"/>
      <c r="F475" s="72"/>
      <c r="G475" s="33"/>
      <c r="H475" s="73" t="str">
        <f>IF(OR(C475="",D475=""),"",C475*D475)</f>
        <v/>
      </c>
      <c r="I475" s="73" t="str">
        <f>IF(OR(E475="",F475="",M475&lt;=0),"",M475*F475)</f>
        <v/>
      </c>
      <c r="J475" s="73" t="str">
        <f>IF(I475="","",I475-(M475*D475))</f>
        <v/>
      </c>
      <c r="K475" s="29" t="str">
        <f>IF(A475="","",IF(T475&gt;0,"Yes","No"))</f>
        <v/>
      </c>
      <c r="L475" s="29" t="str">
        <f>IF(A475="","",A475&amp;"-"&amp;TEXT(B475,"yyyymmdd")&amp;"-R"&amp;ROW())</f>
        <v/>
      </c>
      <c r="M475" s="29" t="str">
        <f>IF(OR(C475="",G475=""),"",C475-G475)</f>
        <v/>
      </c>
      <c r="N475" s="73" t="str">
        <f>IF(OR(M475&lt;=0,J475&gt;=0),"",ABS(J475)/M475)</f>
        <v/>
      </c>
      <c r="O475" s="73" t="str">
        <f>IF(OR(A475="",M475&lt;=0,J475&gt;=0),"",MIN(M475,SUMPRODUCT(($A$18:$A$379=A475)*(IFERROR($B$18:$B$379&gt;=E475-30,0))*(IFERROR($B$18:$B$379&lt;=E475+30,0))*($G$18:$G$379&gt;0)*($L$18:$L$379&lt;&gt;L475)*($G$18:$G$379))+SUMPRODUCT(($A$381:$A$498=A475)*(IFERROR($B$381:$B$498&gt;=E475-30,0))*(IFERROR($B$381:$B$498&lt;=E475+30,0))*($G$381:$G$498&gt;0)*($L$381:$L$498&lt;&gt;L475)*($G$381:$G$498))))</f>
        <v/>
      </c>
      <c r="P475" s="29" t="str">
        <f>IF(OR(A475="",M475&lt;=0,J475&gt;=0),"",SUMPRODUCT(($A$18:$A$379=A475)*(IFERROR($B$18:$B$379&gt;=E475-30,0))*(IFERROR($B$18:$B$379&lt;=E475+30,0))*($G$18:$G$379&gt;0)*($L$18:$L$379&lt;&gt;L475))+SUMPRODUCT(($A$381:$A$498=A475)*(IFERROR($B$381:$B$498&gt;=E475-30,0))*(IFERROR($B$381:$B$498&lt;=E475+30,0))*($G$381:$G$498&gt;0)*($L$381:$L$498&lt;&gt;L475)))</f>
        <v/>
      </c>
      <c r="Q475" s="34" t="str">
        <f>IF(P475=1,IFERROR(INDEX($L$18:$L$379,MATCH(1,INDEX(($A$18:$A$379=A475)*(IFERROR($B$18:$B$379&gt;=E475-30,0))*(IFERROR($B$18:$B$379&lt;=E475+30,0))*($G$18:$G$379&gt;0)*($L$18:$L$379&lt;&gt;L475),0),0)),IFERROR(INDEX($L$381:$L$498,MATCH(1,INDEX(($A$381:$A$498=A475)*(IFERROR($B$381:$B$498&gt;=E475-30,0))*(IFERROR($B$381:$B$498&lt;=E475+30,0))*($G$381:$G$498&gt;0)*($L$381:$L$498&lt;&gt;L475),0),0)),"")),"")</f>
        <v/>
      </c>
      <c r="R475" s="35"/>
      <c r="S475" s="34" t="str">
        <f>IF(R475&lt;&gt;"",R475,Q475)</f>
        <v/>
      </c>
      <c r="T475" s="73">
        <f>IF(OR(N475="",O475=0),0,N475*O475)</f>
        <v>0</v>
      </c>
      <c r="U475" s="73">
        <f>IF(COUNTIF($S$18:$S$498,L475)=0,"",SUMIF($S$18:$S$498,L475,$T$18:$T$498))</f>
        <v>0</v>
      </c>
      <c r="V475" s="73" t="str">
        <f>IF(H475="","",IFERROR(H475+U475,H475))</f>
        <v/>
      </c>
      <c r="W475" s="73" t="str">
        <f>IF(OR(V475="",C475=""),"",V475/C475)</f>
        <v/>
      </c>
      <c r="X475" s="12" t="str">
        <f>IF(A475="","",IF(AND(U475&lt;&gt;"",U475&lt;&gt;0,M475=0),"Replacement lot receiving wash basis",IF(J475="","",IF(J475&gt;=0,"",IF(O475=0,"No replacement buy found",IF(P475&gt;1,"Manual selection needed","Auto matched"))))))</f>
        <v/>
      </c>
      <c r="Z475" t="str">
        <f>IF(K475="Yes",COUNTIF($K$18:K475,"Yes"),"")</f>
        <v/>
      </c>
    </row>
    <row r="476" spans="1:26" ht="34.15" hidden="1" customHeight="1" x14ac:dyDescent="0.2">
      <c r="A476" s="10"/>
      <c r="B476" s="71"/>
      <c r="C476" s="33"/>
      <c r="D476" s="72"/>
      <c r="E476" s="71"/>
      <c r="F476" s="72"/>
      <c r="G476" s="33"/>
      <c r="H476" s="73" t="str">
        <f>IF(OR(C476="",D476=""),"",C476*D476)</f>
        <v/>
      </c>
      <c r="I476" s="73" t="str">
        <f>IF(OR(E476="",F476="",M476&lt;=0),"",M476*F476)</f>
        <v/>
      </c>
      <c r="J476" s="73" t="str">
        <f>IF(I476="","",I476-(M476*D476))</f>
        <v/>
      </c>
      <c r="K476" s="29" t="str">
        <f>IF(A476="","",IF(T476&gt;0,"Yes","No"))</f>
        <v/>
      </c>
      <c r="L476" s="29" t="str">
        <f>IF(A476="","",A476&amp;"-"&amp;TEXT(B476,"yyyymmdd")&amp;"-R"&amp;ROW())</f>
        <v/>
      </c>
      <c r="M476" s="29" t="str">
        <f>IF(OR(C476="",G476=""),"",C476-G476)</f>
        <v/>
      </c>
      <c r="N476" s="73" t="str">
        <f>IF(OR(M476&lt;=0,J476&gt;=0),"",ABS(J476)/M476)</f>
        <v/>
      </c>
      <c r="O476" s="73" t="str">
        <f>IF(OR(A476="",M476&lt;=0,J476&gt;=0),"",MIN(M476,SUMPRODUCT(($A$18:$A$379=A476)*(IFERROR($B$18:$B$379&gt;=E476-30,0))*(IFERROR($B$18:$B$379&lt;=E476+30,0))*($G$18:$G$379&gt;0)*($L$18:$L$379&lt;&gt;L476)*($G$18:$G$379))+SUMPRODUCT(($A$381:$A$498=A476)*(IFERROR($B$381:$B$498&gt;=E476-30,0))*(IFERROR($B$381:$B$498&lt;=E476+30,0))*($G$381:$G$498&gt;0)*($L$381:$L$498&lt;&gt;L476)*($G$381:$G$498))))</f>
        <v/>
      </c>
      <c r="P476" s="29" t="str">
        <f>IF(OR(A476="",M476&lt;=0,J476&gt;=0),"",SUMPRODUCT(($A$18:$A$379=A476)*(IFERROR($B$18:$B$379&gt;=E476-30,0))*(IFERROR($B$18:$B$379&lt;=E476+30,0))*($G$18:$G$379&gt;0)*($L$18:$L$379&lt;&gt;L476))+SUMPRODUCT(($A$381:$A$498=A476)*(IFERROR($B$381:$B$498&gt;=E476-30,0))*(IFERROR($B$381:$B$498&lt;=E476+30,0))*($G$381:$G$498&gt;0)*($L$381:$L$498&lt;&gt;L476)))</f>
        <v/>
      </c>
      <c r="Q476" s="34" t="str">
        <f>IF(P476=1,IFERROR(INDEX($L$18:$L$379,MATCH(1,INDEX(($A$18:$A$379=A476)*(IFERROR($B$18:$B$379&gt;=E476-30,0))*(IFERROR($B$18:$B$379&lt;=E476+30,0))*($G$18:$G$379&gt;0)*($L$18:$L$379&lt;&gt;L476),0),0)),IFERROR(INDEX($L$381:$L$498,MATCH(1,INDEX(($A$381:$A$498=A476)*(IFERROR($B$381:$B$498&gt;=E476-30,0))*(IFERROR($B$381:$B$498&lt;=E476+30,0))*($G$381:$G$498&gt;0)*($L$381:$L$498&lt;&gt;L476),0),0)),"")),"")</f>
        <v/>
      </c>
      <c r="R476" s="35"/>
      <c r="S476" s="34" t="str">
        <f>IF(R476&lt;&gt;"",R476,Q476)</f>
        <v/>
      </c>
      <c r="T476" s="73">
        <f>IF(OR(N476="",O476=0),0,N476*O476)</f>
        <v>0</v>
      </c>
      <c r="U476" s="73">
        <f>IF(COUNTIF($S$18:$S$498,L476)=0,"",SUMIF($S$18:$S$498,L476,$T$18:$T$498))</f>
        <v>0</v>
      </c>
      <c r="V476" s="73" t="str">
        <f>IF(H476="","",IFERROR(H476+U476,H476))</f>
        <v/>
      </c>
      <c r="W476" s="73" t="str">
        <f>IF(OR(V476="",C476=""),"",V476/C476)</f>
        <v/>
      </c>
      <c r="X476" s="12" t="str">
        <f>IF(A476="","",IF(AND(U476&lt;&gt;"",U476&lt;&gt;0,M476=0),"Replacement lot receiving wash basis",IF(J476="","",IF(J476&gt;=0,"",IF(O476=0,"No replacement buy found",IF(P476&gt;1,"Manual selection needed","Auto matched"))))))</f>
        <v/>
      </c>
      <c r="Z476" t="str">
        <f>IF(K476="Yes",COUNTIF($K$18:K476,"Yes"),"")</f>
        <v/>
      </c>
    </row>
    <row r="477" spans="1:26" ht="34.15" hidden="1" customHeight="1" x14ac:dyDescent="0.2">
      <c r="A477" s="10"/>
      <c r="B477" s="71"/>
      <c r="C477" s="33"/>
      <c r="D477" s="72"/>
      <c r="E477" s="71"/>
      <c r="F477" s="72"/>
      <c r="G477" s="33"/>
      <c r="H477" s="73" t="str">
        <f>IF(OR(C477="",D477=""),"",C477*D477)</f>
        <v/>
      </c>
      <c r="I477" s="73" t="str">
        <f>IF(OR(E477="",F477="",M477&lt;=0),"",M477*F477)</f>
        <v/>
      </c>
      <c r="J477" s="73" t="str">
        <f>IF(I477="","",I477-(M477*D477))</f>
        <v/>
      </c>
      <c r="K477" s="29" t="str">
        <f>IF(A477="","",IF(T477&gt;0,"Yes","No"))</f>
        <v/>
      </c>
      <c r="L477" s="29" t="str">
        <f>IF(A477="","",A477&amp;"-"&amp;TEXT(B477,"yyyymmdd")&amp;"-R"&amp;ROW())</f>
        <v/>
      </c>
      <c r="M477" s="29" t="str">
        <f>IF(OR(C477="",G477=""),"",C477-G477)</f>
        <v/>
      </c>
      <c r="N477" s="73" t="str">
        <f>IF(OR(M477&lt;=0,J477&gt;=0),"",ABS(J477)/M477)</f>
        <v/>
      </c>
      <c r="O477" s="73" t="str">
        <f>IF(OR(A477="",M477&lt;=0,J477&gt;=0),"",MIN(M477,SUMPRODUCT(($A$18:$A$379=A477)*(IFERROR($B$18:$B$379&gt;=E477-30,0))*(IFERROR($B$18:$B$379&lt;=E477+30,0))*($G$18:$G$379&gt;0)*($L$18:$L$379&lt;&gt;L477)*($G$18:$G$379))+SUMPRODUCT(($A$381:$A$498=A477)*(IFERROR($B$381:$B$498&gt;=E477-30,0))*(IFERROR($B$381:$B$498&lt;=E477+30,0))*($G$381:$G$498&gt;0)*($L$381:$L$498&lt;&gt;L477)*($G$381:$G$498))))</f>
        <v/>
      </c>
      <c r="P477" s="29" t="str">
        <f>IF(OR(A477="",M477&lt;=0,J477&gt;=0),"",SUMPRODUCT(($A$18:$A$379=A477)*(IFERROR($B$18:$B$379&gt;=E477-30,0))*(IFERROR($B$18:$B$379&lt;=E477+30,0))*($G$18:$G$379&gt;0)*($L$18:$L$379&lt;&gt;L477))+SUMPRODUCT(($A$381:$A$498=A477)*(IFERROR($B$381:$B$498&gt;=E477-30,0))*(IFERROR($B$381:$B$498&lt;=E477+30,0))*($G$381:$G$498&gt;0)*($L$381:$L$498&lt;&gt;L477)))</f>
        <v/>
      </c>
      <c r="Q477" s="34" t="str">
        <f>IF(P477=1,IFERROR(INDEX($L$18:$L$379,MATCH(1,INDEX(($A$18:$A$379=A477)*(IFERROR($B$18:$B$379&gt;=E477-30,0))*(IFERROR($B$18:$B$379&lt;=E477+30,0))*($G$18:$G$379&gt;0)*($L$18:$L$379&lt;&gt;L477),0),0)),IFERROR(INDEX($L$381:$L$498,MATCH(1,INDEX(($A$381:$A$498=A477)*(IFERROR($B$381:$B$498&gt;=E477-30,0))*(IFERROR($B$381:$B$498&lt;=E477+30,0))*($G$381:$G$498&gt;0)*($L$381:$L$498&lt;&gt;L477),0),0)),"")),"")</f>
        <v/>
      </c>
      <c r="R477" s="35"/>
      <c r="S477" s="34" t="str">
        <f>IF(R477&lt;&gt;"",R477,Q477)</f>
        <v/>
      </c>
      <c r="T477" s="73">
        <f>IF(OR(N477="",O477=0),0,N477*O477)</f>
        <v>0</v>
      </c>
      <c r="U477" s="73">
        <f>IF(COUNTIF($S$18:$S$498,L477)=0,"",SUMIF($S$18:$S$498,L477,$T$18:$T$498))</f>
        <v>0</v>
      </c>
      <c r="V477" s="73" t="str">
        <f>IF(H477="","",IFERROR(H477+U477,H477))</f>
        <v/>
      </c>
      <c r="W477" s="73" t="str">
        <f>IF(OR(V477="",C477=""),"",V477/C477)</f>
        <v/>
      </c>
      <c r="X477" s="12" t="str">
        <f>IF(A477="","",IF(AND(U477&lt;&gt;"",U477&lt;&gt;0,M477=0),"Replacement lot receiving wash basis",IF(J477="","",IF(J477&gt;=0,"",IF(O477=0,"No replacement buy found",IF(P477&gt;1,"Manual selection needed","Auto matched"))))))</f>
        <v/>
      </c>
      <c r="Z477" t="str">
        <f>IF(K477="Yes",COUNTIF($K$18:K477,"Yes"),"")</f>
        <v/>
      </c>
    </row>
    <row r="478" spans="1:26" ht="34.15" hidden="1" customHeight="1" x14ac:dyDescent="0.2">
      <c r="A478" s="10"/>
      <c r="B478" s="71"/>
      <c r="C478" s="33"/>
      <c r="D478" s="72"/>
      <c r="E478" s="71"/>
      <c r="F478" s="72"/>
      <c r="G478" s="33"/>
      <c r="H478" s="73" t="str">
        <f>IF(OR(C478="",D478=""),"",C478*D478)</f>
        <v/>
      </c>
      <c r="I478" s="73" t="str">
        <f>IF(OR(E478="",F478="",M478&lt;=0),"",M478*F478)</f>
        <v/>
      </c>
      <c r="J478" s="73" t="str">
        <f>IF(I478="","",I478-(M478*D478))</f>
        <v/>
      </c>
      <c r="K478" s="29" t="str">
        <f>IF(A478="","",IF(T478&gt;0,"Yes","No"))</f>
        <v/>
      </c>
      <c r="L478" s="29" t="str">
        <f>IF(A478="","",A478&amp;"-"&amp;TEXT(B478,"yyyymmdd")&amp;"-R"&amp;ROW())</f>
        <v/>
      </c>
      <c r="M478" s="29" t="str">
        <f>IF(OR(C478="",G478=""),"",C478-G478)</f>
        <v/>
      </c>
      <c r="N478" s="73" t="str">
        <f>IF(OR(M478&lt;=0,J478&gt;=0),"",ABS(J478)/M478)</f>
        <v/>
      </c>
      <c r="O478" s="73" t="str">
        <f>IF(OR(A478="",M478&lt;=0,J478&gt;=0),"",MIN(M478,SUMPRODUCT(($A$18:$A$379=A478)*(IFERROR($B$18:$B$379&gt;=E478-30,0))*(IFERROR($B$18:$B$379&lt;=E478+30,0))*($G$18:$G$379&gt;0)*($L$18:$L$379&lt;&gt;L478)*($G$18:$G$379))+SUMPRODUCT(($A$381:$A$498=A478)*(IFERROR($B$381:$B$498&gt;=E478-30,0))*(IFERROR($B$381:$B$498&lt;=E478+30,0))*($G$381:$G$498&gt;0)*($L$381:$L$498&lt;&gt;L478)*($G$381:$G$498))))</f>
        <v/>
      </c>
      <c r="P478" s="29" t="str">
        <f>IF(OR(A478="",M478&lt;=0,J478&gt;=0),"",SUMPRODUCT(($A$18:$A$379=A478)*(IFERROR($B$18:$B$379&gt;=E478-30,0))*(IFERROR($B$18:$B$379&lt;=E478+30,0))*($G$18:$G$379&gt;0)*($L$18:$L$379&lt;&gt;L478))+SUMPRODUCT(($A$381:$A$498=A478)*(IFERROR($B$381:$B$498&gt;=E478-30,0))*(IFERROR($B$381:$B$498&lt;=E478+30,0))*($G$381:$G$498&gt;0)*($L$381:$L$498&lt;&gt;L478)))</f>
        <v/>
      </c>
      <c r="Q478" s="34" t="str">
        <f>IF(P478=1,IFERROR(INDEX($L$18:$L$379,MATCH(1,INDEX(($A$18:$A$379=A478)*(IFERROR($B$18:$B$379&gt;=E478-30,0))*(IFERROR($B$18:$B$379&lt;=E478+30,0))*($G$18:$G$379&gt;0)*($L$18:$L$379&lt;&gt;L478),0),0)),IFERROR(INDEX($L$381:$L$498,MATCH(1,INDEX(($A$381:$A$498=A478)*(IFERROR($B$381:$B$498&gt;=E478-30,0))*(IFERROR($B$381:$B$498&lt;=E478+30,0))*($G$381:$G$498&gt;0)*($L$381:$L$498&lt;&gt;L478),0),0)),"")),"")</f>
        <v/>
      </c>
      <c r="R478" s="35"/>
      <c r="S478" s="34" t="str">
        <f>IF(R478&lt;&gt;"",R478,Q478)</f>
        <v/>
      </c>
      <c r="T478" s="73">
        <f>IF(OR(N478="",O478=0),0,N478*O478)</f>
        <v>0</v>
      </c>
      <c r="U478" s="73">
        <f>IF(COUNTIF($S$18:$S$498,L478)=0,"",SUMIF($S$18:$S$498,L478,$T$18:$T$498))</f>
        <v>0</v>
      </c>
      <c r="V478" s="73" t="str">
        <f>IF(H478="","",IFERROR(H478+U478,H478))</f>
        <v/>
      </c>
      <c r="W478" s="73" t="str">
        <f>IF(OR(V478="",C478=""),"",V478/C478)</f>
        <v/>
      </c>
      <c r="X478" s="12" t="str">
        <f>IF(A478="","",IF(AND(U478&lt;&gt;"",U478&lt;&gt;0,M478=0),"Replacement lot receiving wash basis",IF(J478="","",IF(J478&gt;=0,"",IF(O478=0,"No replacement buy found",IF(P478&gt;1,"Manual selection needed","Auto matched"))))))</f>
        <v/>
      </c>
      <c r="Z478" t="str">
        <f>IF(K478="Yes",COUNTIF($K$18:K478,"Yes"),"")</f>
        <v/>
      </c>
    </row>
    <row r="479" spans="1:26" ht="34.15" hidden="1" customHeight="1" x14ac:dyDescent="0.2">
      <c r="A479" s="10"/>
      <c r="B479" s="71"/>
      <c r="C479" s="33"/>
      <c r="D479" s="72"/>
      <c r="E479" s="71"/>
      <c r="F479" s="72"/>
      <c r="G479" s="33"/>
      <c r="H479" s="73" t="str">
        <f>IF(OR(C479="",D479=""),"",C479*D479)</f>
        <v/>
      </c>
      <c r="I479" s="73" t="str">
        <f>IF(OR(E479="",F479="",M479&lt;=0),"",M479*F479)</f>
        <v/>
      </c>
      <c r="J479" s="73" t="str">
        <f>IF(I479="","",I479-(M479*D479))</f>
        <v/>
      </c>
      <c r="K479" s="29" t="str">
        <f>IF(A479="","",IF(T479&gt;0,"Yes","No"))</f>
        <v/>
      </c>
      <c r="L479" s="29" t="str">
        <f>IF(A479="","",A479&amp;"-"&amp;TEXT(B479,"yyyymmdd")&amp;"-R"&amp;ROW())</f>
        <v/>
      </c>
      <c r="M479" s="29" t="str">
        <f>IF(OR(C479="",G479=""),"",C479-G479)</f>
        <v/>
      </c>
      <c r="N479" s="73" t="str">
        <f>IF(OR(M479&lt;=0,J479&gt;=0),"",ABS(J479)/M479)</f>
        <v/>
      </c>
      <c r="O479" s="73" t="str">
        <f>IF(OR(A479="",M479&lt;=0,J479&gt;=0),"",MIN(M479,SUMPRODUCT(($A$18:$A$379=A479)*(IFERROR($B$18:$B$379&gt;=E479-30,0))*(IFERROR($B$18:$B$379&lt;=E479+30,0))*($G$18:$G$379&gt;0)*($L$18:$L$379&lt;&gt;L479)*($G$18:$G$379))+SUMPRODUCT(($A$381:$A$498=A479)*(IFERROR($B$381:$B$498&gt;=E479-30,0))*(IFERROR($B$381:$B$498&lt;=E479+30,0))*($G$381:$G$498&gt;0)*($L$381:$L$498&lt;&gt;L479)*($G$381:$G$498))))</f>
        <v/>
      </c>
      <c r="P479" s="29" t="str">
        <f>IF(OR(A479="",M479&lt;=0,J479&gt;=0),"",SUMPRODUCT(($A$18:$A$379=A479)*(IFERROR($B$18:$B$379&gt;=E479-30,0))*(IFERROR($B$18:$B$379&lt;=E479+30,0))*($G$18:$G$379&gt;0)*($L$18:$L$379&lt;&gt;L479))+SUMPRODUCT(($A$381:$A$498=A479)*(IFERROR($B$381:$B$498&gt;=E479-30,0))*(IFERROR($B$381:$B$498&lt;=E479+30,0))*($G$381:$G$498&gt;0)*($L$381:$L$498&lt;&gt;L479)))</f>
        <v/>
      </c>
      <c r="Q479" s="34" t="str">
        <f>IF(P479=1,IFERROR(INDEX($L$18:$L$379,MATCH(1,INDEX(($A$18:$A$379=A479)*(IFERROR($B$18:$B$379&gt;=E479-30,0))*(IFERROR($B$18:$B$379&lt;=E479+30,0))*($G$18:$G$379&gt;0)*($L$18:$L$379&lt;&gt;L479),0),0)),IFERROR(INDEX($L$381:$L$498,MATCH(1,INDEX(($A$381:$A$498=A479)*(IFERROR($B$381:$B$498&gt;=E479-30,0))*(IFERROR($B$381:$B$498&lt;=E479+30,0))*($G$381:$G$498&gt;0)*($L$381:$L$498&lt;&gt;L479),0),0)),"")),"")</f>
        <v/>
      </c>
      <c r="R479" s="35"/>
      <c r="S479" s="34" t="str">
        <f>IF(R479&lt;&gt;"",R479,Q479)</f>
        <v/>
      </c>
      <c r="T479" s="73">
        <f>IF(OR(N479="",O479=0),0,N479*O479)</f>
        <v>0</v>
      </c>
      <c r="U479" s="73">
        <f>IF(COUNTIF($S$18:$S$498,L479)=0,"",SUMIF($S$18:$S$498,L479,$T$18:$T$498))</f>
        <v>0</v>
      </c>
      <c r="V479" s="73" t="str">
        <f>IF(H479="","",IFERROR(H479+U479,H479))</f>
        <v/>
      </c>
      <c r="W479" s="73" t="str">
        <f>IF(OR(V479="",C479=""),"",V479/C479)</f>
        <v/>
      </c>
      <c r="X479" s="12" t="str">
        <f>IF(A479="","",IF(AND(U479&lt;&gt;"",U479&lt;&gt;0,M479=0),"Replacement lot receiving wash basis",IF(J479="","",IF(J479&gt;=0,"",IF(O479=0,"No replacement buy found",IF(P479&gt;1,"Manual selection needed","Auto matched"))))))</f>
        <v/>
      </c>
      <c r="Z479" t="str">
        <f>IF(K479="Yes",COUNTIF($K$18:K479,"Yes"),"")</f>
        <v/>
      </c>
    </row>
    <row r="480" spans="1:26" ht="34.15" hidden="1" customHeight="1" x14ac:dyDescent="0.2">
      <c r="A480" s="10"/>
      <c r="B480" s="71"/>
      <c r="C480" s="33"/>
      <c r="D480" s="72"/>
      <c r="E480" s="71"/>
      <c r="F480" s="72"/>
      <c r="G480" s="33"/>
      <c r="H480" s="73" t="str">
        <f>IF(OR(C480="",D480=""),"",C480*D480)</f>
        <v/>
      </c>
      <c r="I480" s="73" t="str">
        <f>IF(OR(E480="",F480="",M480&lt;=0),"",M480*F480)</f>
        <v/>
      </c>
      <c r="J480" s="73" t="str">
        <f>IF(I480="","",I480-(M480*D480))</f>
        <v/>
      </c>
      <c r="K480" s="29" t="str">
        <f>IF(A480="","",IF(T480&gt;0,"Yes","No"))</f>
        <v/>
      </c>
      <c r="L480" s="29" t="str">
        <f>IF(A480="","",A480&amp;"-"&amp;TEXT(B480,"yyyymmdd")&amp;"-R"&amp;ROW())</f>
        <v/>
      </c>
      <c r="M480" s="29" t="str">
        <f>IF(OR(C480="",G480=""),"",C480-G480)</f>
        <v/>
      </c>
      <c r="N480" s="73" t="str">
        <f>IF(OR(M480&lt;=0,J480&gt;=0),"",ABS(J480)/M480)</f>
        <v/>
      </c>
      <c r="O480" s="73" t="str">
        <f>IF(OR(A480="",M480&lt;=0,J480&gt;=0),"",MIN(M480,SUMPRODUCT(($A$18:$A$379=A480)*(IFERROR($B$18:$B$379&gt;=E480-30,0))*(IFERROR($B$18:$B$379&lt;=E480+30,0))*($G$18:$G$379&gt;0)*($L$18:$L$379&lt;&gt;L480)*($G$18:$G$379))+SUMPRODUCT(($A$381:$A$498=A480)*(IFERROR($B$381:$B$498&gt;=E480-30,0))*(IFERROR($B$381:$B$498&lt;=E480+30,0))*($G$381:$G$498&gt;0)*($L$381:$L$498&lt;&gt;L480)*($G$381:$G$498))))</f>
        <v/>
      </c>
      <c r="P480" s="29" t="str">
        <f>IF(OR(A480="",M480&lt;=0,J480&gt;=0),"",SUMPRODUCT(($A$18:$A$379=A480)*(IFERROR($B$18:$B$379&gt;=E480-30,0))*(IFERROR($B$18:$B$379&lt;=E480+30,0))*($G$18:$G$379&gt;0)*($L$18:$L$379&lt;&gt;L480))+SUMPRODUCT(($A$381:$A$498=A480)*(IFERROR($B$381:$B$498&gt;=E480-30,0))*(IFERROR($B$381:$B$498&lt;=E480+30,0))*($G$381:$G$498&gt;0)*($L$381:$L$498&lt;&gt;L480)))</f>
        <v/>
      </c>
      <c r="Q480" s="34" t="str">
        <f>IF(P480=1,IFERROR(INDEX($L$18:$L$379,MATCH(1,INDEX(($A$18:$A$379=A480)*(IFERROR($B$18:$B$379&gt;=E480-30,0))*(IFERROR($B$18:$B$379&lt;=E480+30,0))*($G$18:$G$379&gt;0)*($L$18:$L$379&lt;&gt;L480),0),0)),IFERROR(INDEX($L$381:$L$498,MATCH(1,INDEX(($A$381:$A$498=A480)*(IFERROR($B$381:$B$498&gt;=E480-30,0))*(IFERROR($B$381:$B$498&lt;=E480+30,0))*($G$381:$G$498&gt;0)*($L$381:$L$498&lt;&gt;L480),0),0)),"")),"")</f>
        <v/>
      </c>
      <c r="R480" s="35"/>
      <c r="S480" s="34" t="str">
        <f>IF(R480&lt;&gt;"",R480,Q480)</f>
        <v/>
      </c>
      <c r="T480" s="73">
        <f>IF(OR(N480="",O480=0),0,N480*O480)</f>
        <v>0</v>
      </c>
      <c r="U480" s="73">
        <f>IF(COUNTIF($S$18:$S$498,L480)=0,"",SUMIF($S$18:$S$498,L480,$T$18:$T$498))</f>
        <v>0</v>
      </c>
      <c r="V480" s="73" t="str">
        <f>IF(H480="","",IFERROR(H480+U480,H480))</f>
        <v/>
      </c>
      <c r="W480" s="73" t="str">
        <f>IF(OR(V480="",C480=""),"",V480/C480)</f>
        <v/>
      </c>
      <c r="X480" s="12" t="str">
        <f>IF(A480="","",IF(AND(U480&lt;&gt;"",U480&lt;&gt;0,M480=0),"Replacement lot receiving wash basis",IF(J480="","",IF(J480&gt;=0,"",IF(O480=0,"No replacement buy found",IF(P480&gt;1,"Manual selection needed","Auto matched"))))))</f>
        <v/>
      </c>
      <c r="Z480" t="str">
        <f>IF(K480="Yes",COUNTIF($K$18:K480,"Yes"),"")</f>
        <v/>
      </c>
    </row>
    <row r="481" spans="1:26" ht="34.15" hidden="1" customHeight="1" x14ac:dyDescent="0.2">
      <c r="A481" s="10"/>
      <c r="B481" s="71"/>
      <c r="C481" s="33"/>
      <c r="D481" s="72"/>
      <c r="E481" s="71"/>
      <c r="F481" s="72"/>
      <c r="G481" s="33"/>
      <c r="H481" s="73" t="str">
        <f>IF(OR(C481="",D481=""),"",C481*D481)</f>
        <v/>
      </c>
      <c r="I481" s="73" t="str">
        <f>IF(OR(E481="",F481="",M481&lt;=0),"",M481*F481)</f>
        <v/>
      </c>
      <c r="J481" s="73" t="str">
        <f>IF(I481="","",I481-(M481*D481))</f>
        <v/>
      </c>
      <c r="K481" s="29" t="str">
        <f>IF(A481="","",IF(T481&gt;0,"Yes","No"))</f>
        <v/>
      </c>
      <c r="L481" s="29" t="str">
        <f>IF(A481="","",A481&amp;"-"&amp;TEXT(B481,"yyyymmdd")&amp;"-R"&amp;ROW())</f>
        <v/>
      </c>
      <c r="M481" s="29" t="str">
        <f>IF(OR(C481="",G481=""),"",C481-G481)</f>
        <v/>
      </c>
      <c r="N481" s="73" t="str">
        <f>IF(OR(M481&lt;=0,J481&gt;=0),"",ABS(J481)/M481)</f>
        <v/>
      </c>
      <c r="O481" s="73" t="str">
        <f>IF(OR(A481="",M481&lt;=0,J481&gt;=0),"",MIN(M481,SUMPRODUCT(($A$18:$A$379=A481)*(IFERROR($B$18:$B$379&gt;=E481-30,0))*(IFERROR($B$18:$B$379&lt;=E481+30,0))*($G$18:$G$379&gt;0)*($L$18:$L$379&lt;&gt;L481)*($G$18:$G$379))+SUMPRODUCT(($A$381:$A$498=A481)*(IFERROR($B$381:$B$498&gt;=E481-30,0))*(IFERROR($B$381:$B$498&lt;=E481+30,0))*($G$381:$G$498&gt;0)*($L$381:$L$498&lt;&gt;L481)*($G$381:$G$498))))</f>
        <v/>
      </c>
      <c r="P481" s="29" t="str">
        <f>IF(OR(A481="",M481&lt;=0,J481&gt;=0),"",SUMPRODUCT(($A$18:$A$379=A481)*(IFERROR($B$18:$B$379&gt;=E481-30,0))*(IFERROR($B$18:$B$379&lt;=E481+30,0))*($G$18:$G$379&gt;0)*($L$18:$L$379&lt;&gt;L481))+SUMPRODUCT(($A$381:$A$498=A481)*(IFERROR($B$381:$B$498&gt;=E481-30,0))*(IFERROR($B$381:$B$498&lt;=E481+30,0))*($G$381:$G$498&gt;0)*($L$381:$L$498&lt;&gt;L481)))</f>
        <v/>
      </c>
      <c r="Q481" s="34" t="str">
        <f>IF(P481=1,IFERROR(INDEX($L$18:$L$379,MATCH(1,INDEX(($A$18:$A$379=A481)*(IFERROR($B$18:$B$379&gt;=E481-30,0))*(IFERROR($B$18:$B$379&lt;=E481+30,0))*($G$18:$G$379&gt;0)*($L$18:$L$379&lt;&gt;L481),0),0)),IFERROR(INDEX($L$381:$L$498,MATCH(1,INDEX(($A$381:$A$498=A481)*(IFERROR($B$381:$B$498&gt;=E481-30,0))*(IFERROR($B$381:$B$498&lt;=E481+30,0))*($G$381:$G$498&gt;0)*($L$381:$L$498&lt;&gt;L481),0),0)),"")),"")</f>
        <v/>
      </c>
      <c r="R481" s="35"/>
      <c r="S481" s="34" t="str">
        <f>IF(R481&lt;&gt;"",R481,Q481)</f>
        <v/>
      </c>
      <c r="T481" s="73">
        <f>IF(OR(N481="",O481=0),0,N481*O481)</f>
        <v>0</v>
      </c>
      <c r="U481" s="73">
        <f>IF(COUNTIF($S$18:$S$498,L481)=0,"",SUMIF($S$18:$S$498,L481,$T$18:$T$498))</f>
        <v>0</v>
      </c>
      <c r="V481" s="73" t="str">
        <f>IF(H481="","",IFERROR(H481+U481,H481))</f>
        <v/>
      </c>
      <c r="W481" s="73" t="str">
        <f>IF(OR(V481="",C481=""),"",V481/C481)</f>
        <v/>
      </c>
      <c r="X481" s="12" t="str">
        <f>IF(A481="","",IF(AND(U481&lt;&gt;"",U481&lt;&gt;0,M481=0),"Replacement lot receiving wash basis",IF(J481="","",IF(J481&gt;=0,"",IF(O481=0,"No replacement buy found",IF(P481&gt;1,"Manual selection needed","Auto matched"))))))</f>
        <v/>
      </c>
      <c r="Z481" t="str">
        <f>IF(K481="Yes",COUNTIF($K$18:K481,"Yes"),"")</f>
        <v/>
      </c>
    </row>
    <row r="482" spans="1:26" ht="34.15" hidden="1" customHeight="1" x14ac:dyDescent="0.2">
      <c r="A482" s="10"/>
      <c r="B482" s="71"/>
      <c r="C482" s="33"/>
      <c r="D482" s="72"/>
      <c r="E482" s="71"/>
      <c r="F482" s="72"/>
      <c r="G482" s="33"/>
      <c r="H482" s="73" t="str">
        <f>IF(OR(C482="",D482=""),"",C482*D482)</f>
        <v/>
      </c>
      <c r="I482" s="73" t="str">
        <f>IF(OR(E482="",F482="",M482&lt;=0),"",M482*F482)</f>
        <v/>
      </c>
      <c r="J482" s="73" t="str">
        <f>IF(I482="","",I482-(M482*D482))</f>
        <v/>
      </c>
      <c r="K482" s="29" t="str">
        <f>IF(A482="","",IF(T482&gt;0,"Yes","No"))</f>
        <v/>
      </c>
      <c r="L482" s="29" t="str">
        <f>IF(A482="","",A482&amp;"-"&amp;TEXT(B482,"yyyymmdd")&amp;"-R"&amp;ROW())</f>
        <v/>
      </c>
      <c r="M482" s="29" t="str">
        <f>IF(OR(C482="",G482=""),"",C482-G482)</f>
        <v/>
      </c>
      <c r="N482" s="73" t="str">
        <f>IF(OR(M482&lt;=0,J482&gt;=0),"",ABS(J482)/M482)</f>
        <v/>
      </c>
      <c r="O482" s="73" t="str">
        <f>IF(OR(A482="",M482&lt;=0,J482&gt;=0),"",MIN(M482,SUMPRODUCT(($A$18:$A$379=A482)*(IFERROR($B$18:$B$379&gt;=E482-30,0))*(IFERROR($B$18:$B$379&lt;=E482+30,0))*($G$18:$G$379&gt;0)*($L$18:$L$379&lt;&gt;L482)*($G$18:$G$379))+SUMPRODUCT(($A$381:$A$498=A482)*(IFERROR($B$381:$B$498&gt;=E482-30,0))*(IFERROR($B$381:$B$498&lt;=E482+30,0))*($G$381:$G$498&gt;0)*($L$381:$L$498&lt;&gt;L482)*($G$381:$G$498))))</f>
        <v/>
      </c>
      <c r="P482" s="29" t="str">
        <f>IF(OR(A482="",M482&lt;=0,J482&gt;=0),"",SUMPRODUCT(($A$18:$A$379=A482)*(IFERROR($B$18:$B$379&gt;=E482-30,0))*(IFERROR($B$18:$B$379&lt;=E482+30,0))*($G$18:$G$379&gt;0)*($L$18:$L$379&lt;&gt;L482))+SUMPRODUCT(($A$381:$A$498=A482)*(IFERROR($B$381:$B$498&gt;=E482-30,0))*(IFERROR($B$381:$B$498&lt;=E482+30,0))*($G$381:$G$498&gt;0)*($L$381:$L$498&lt;&gt;L482)))</f>
        <v/>
      </c>
      <c r="Q482" s="34" t="str">
        <f>IF(P482=1,IFERROR(INDEX($L$18:$L$379,MATCH(1,INDEX(($A$18:$A$379=A482)*(IFERROR($B$18:$B$379&gt;=E482-30,0))*(IFERROR($B$18:$B$379&lt;=E482+30,0))*($G$18:$G$379&gt;0)*($L$18:$L$379&lt;&gt;L482),0),0)),IFERROR(INDEX($L$381:$L$498,MATCH(1,INDEX(($A$381:$A$498=A482)*(IFERROR($B$381:$B$498&gt;=E482-30,0))*(IFERROR($B$381:$B$498&lt;=E482+30,0))*($G$381:$G$498&gt;0)*($L$381:$L$498&lt;&gt;L482),0),0)),"")),"")</f>
        <v/>
      </c>
      <c r="R482" s="35"/>
      <c r="S482" s="34" t="str">
        <f>IF(R482&lt;&gt;"",R482,Q482)</f>
        <v/>
      </c>
      <c r="T482" s="73">
        <f>IF(OR(N482="",O482=0),0,N482*O482)</f>
        <v>0</v>
      </c>
      <c r="U482" s="73">
        <f>IF(COUNTIF($S$18:$S$498,L482)=0,"",SUMIF($S$18:$S$498,L482,$T$18:$T$498))</f>
        <v>0</v>
      </c>
      <c r="V482" s="73" t="str">
        <f>IF(H482="","",IFERROR(H482+U482,H482))</f>
        <v/>
      </c>
      <c r="W482" s="73" t="str">
        <f>IF(OR(V482="",C482=""),"",V482/C482)</f>
        <v/>
      </c>
      <c r="X482" s="12" t="str">
        <f>IF(A482="","",IF(AND(U482&lt;&gt;"",U482&lt;&gt;0,M482=0),"Replacement lot receiving wash basis",IF(J482="","",IF(J482&gt;=0,"",IF(O482=0,"No replacement buy found",IF(P482&gt;1,"Manual selection needed","Auto matched"))))))</f>
        <v/>
      </c>
      <c r="Z482" t="str">
        <f>IF(K482="Yes",COUNTIF($K$18:K482,"Yes"),"")</f>
        <v/>
      </c>
    </row>
    <row r="483" spans="1:26" ht="34.15" hidden="1" customHeight="1" x14ac:dyDescent="0.2">
      <c r="A483" s="10"/>
      <c r="B483" s="71"/>
      <c r="C483" s="33"/>
      <c r="D483" s="72"/>
      <c r="E483" s="71"/>
      <c r="F483" s="72"/>
      <c r="G483" s="33"/>
      <c r="H483" s="73" t="str">
        <f>IF(OR(C483="",D483=""),"",C483*D483)</f>
        <v/>
      </c>
      <c r="I483" s="73" t="str">
        <f>IF(OR(E483="",F483="",M483&lt;=0),"",M483*F483)</f>
        <v/>
      </c>
      <c r="J483" s="73" t="str">
        <f>IF(I483="","",I483-(M483*D483))</f>
        <v/>
      </c>
      <c r="K483" s="29" t="str">
        <f>IF(A483="","",IF(T483&gt;0,"Yes","No"))</f>
        <v/>
      </c>
      <c r="L483" s="29" t="str">
        <f>IF(A483="","",A483&amp;"-"&amp;TEXT(B483,"yyyymmdd")&amp;"-R"&amp;ROW())</f>
        <v/>
      </c>
      <c r="M483" s="29" t="str">
        <f>IF(OR(C483="",G483=""),"",C483-G483)</f>
        <v/>
      </c>
      <c r="N483" s="73" t="str">
        <f>IF(OR(M483&lt;=0,J483&gt;=0),"",ABS(J483)/M483)</f>
        <v/>
      </c>
      <c r="O483" s="73" t="str">
        <f>IF(OR(A483="",M483&lt;=0,J483&gt;=0),"",MIN(M483,SUMPRODUCT(($A$18:$A$379=A483)*(IFERROR($B$18:$B$379&gt;=E483-30,0))*(IFERROR($B$18:$B$379&lt;=E483+30,0))*($G$18:$G$379&gt;0)*($L$18:$L$379&lt;&gt;L483)*($G$18:$G$379))+SUMPRODUCT(($A$381:$A$498=A483)*(IFERROR($B$381:$B$498&gt;=E483-30,0))*(IFERROR($B$381:$B$498&lt;=E483+30,0))*($G$381:$G$498&gt;0)*($L$381:$L$498&lt;&gt;L483)*($G$381:$G$498))))</f>
        <v/>
      </c>
      <c r="P483" s="29" t="str">
        <f>IF(OR(A483="",M483&lt;=0,J483&gt;=0),"",SUMPRODUCT(($A$18:$A$379=A483)*(IFERROR($B$18:$B$379&gt;=E483-30,0))*(IFERROR($B$18:$B$379&lt;=E483+30,0))*($G$18:$G$379&gt;0)*($L$18:$L$379&lt;&gt;L483))+SUMPRODUCT(($A$381:$A$498=A483)*(IFERROR($B$381:$B$498&gt;=E483-30,0))*(IFERROR($B$381:$B$498&lt;=E483+30,0))*($G$381:$G$498&gt;0)*($L$381:$L$498&lt;&gt;L483)))</f>
        <v/>
      </c>
      <c r="Q483" s="34" t="str">
        <f>IF(P483=1,IFERROR(INDEX($L$18:$L$379,MATCH(1,INDEX(($A$18:$A$379=A483)*(IFERROR($B$18:$B$379&gt;=E483-30,0))*(IFERROR($B$18:$B$379&lt;=E483+30,0))*($G$18:$G$379&gt;0)*($L$18:$L$379&lt;&gt;L483),0),0)),IFERROR(INDEX($L$381:$L$498,MATCH(1,INDEX(($A$381:$A$498=A483)*(IFERROR($B$381:$B$498&gt;=E483-30,0))*(IFERROR($B$381:$B$498&lt;=E483+30,0))*($G$381:$G$498&gt;0)*($L$381:$L$498&lt;&gt;L483),0),0)),"")),"")</f>
        <v/>
      </c>
      <c r="R483" s="35"/>
      <c r="S483" s="34" t="str">
        <f>IF(R483&lt;&gt;"",R483,Q483)</f>
        <v/>
      </c>
      <c r="T483" s="73">
        <f>IF(OR(N483="",O483=0),0,N483*O483)</f>
        <v>0</v>
      </c>
      <c r="U483" s="73">
        <f>IF(COUNTIF($S$18:$S$498,L483)=0,"",SUMIF($S$18:$S$498,L483,$T$18:$T$498))</f>
        <v>0</v>
      </c>
      <c r="V483" s="73" t="str">
        <f>IF(H483="","",IFERROR(H483+U483,H483))</f>
        <v/>
      </c>
      <c r="W483" s="73" t="str">
        <f>IF(OR(V483="",C483=""),"",V483/C483)</f>
        <v/>
      </c>
      <c r="X483" s="12" t="str">
        <f>IF(A483="","",IF(AND(U483&lt;&gt;"",U483&lt;&gt;0,M483=0),"Replacement lot receiving wash basis",IF(J483="","",IF(J483&gt;=0,"",IF(O483=0,"No replacement buy found",IF(P483&gt;1,"Manual selection needed","Auto matched"))))))</f>
        <v/>
      </c>
      <c r="Z483" t="str">
        <f>IF(K483="Yes",COUNTIF($K$18:K483,"Yes"),"")</f>
        <v/>
      </c>
    </row>
    <row r="484" spans="1:26" ht="34.15" hidden="1" customHeight="1" x14ac:dyDescent="0.2">
      <c r="A484" s="10"/>
      <c r="B484" s="71"/>
      <c r="C484" s="33"/>
      <c r="D484" s="72"/>
      <c r="E484" s="71"/>
      <c r="F484" s="72"/>
      <c r="G484" s="33"/>
      <c r="H484" s="73" t="str">
        <f>IF(OR(C484="",D484=""),"",C484*D484)</f>
        <v/>
      </c>
      <c r="I484" s="73" t="str">
        <f>IF(OR(E484="",F484="",M484&lt;=0),"",M484*F484)</f>
        <v/>
      </c>
      <c r="J484" s="73" t="str">
        <f>IF(I484="","",I484-(M484*D484))</f>
        <v/>
      </c>
      <c r="K484" s="29" t="str">
        <f>IF(A484="","",IF(T484&gt;0,"Yes","No"))</f>
        <v/>
      </c>
      <c r="L484" s="29" t="str">
        <f>IF(A484="","",A484&amp;"-"&amp;TEXT(B484,"yyyymmdd")&amp;"-R"&amp;ROW())</f>
        <v/>
      </c>
      <c r="M484" s="29" t="str">
        <f>IF(OR(C484="",G484=""),"",C484-G484)</f>
        <v/>
      </c>
      <c r="N484" s="73" t="str">
        <f>IF(OR(M484&lt;=0,J484&gt;=0),"",ABS(J484)/M484)</f>
        <v/>
      </c>
      <c r="O484" s="73" t="str">
        <f>IF(OR(A484="",M484&lt;=0,J484&gt;=0),"",MIN(M484,SUMPRODUCT(($A$18:$A$379=A484)*(IFERROR($B$18:$B$379&gt;=E484-30,0))*(IFERROR($B$18:$B$379&lt;=E484+30,0))*($G$18:$G$379&gt;0)*($L$18:$L$379&lt;&gt;L484)*($G$18:$G$379))+SUMPRODUCT(($A$381:$A$498=A484)*(IFERROR($B$381:$B$498&gt;=E484-30,0))*(IFERROR($B$381:$B$498&lt;=E484+30,0))*($G$381:$G$498&gt;0)*($L$381:$L$498&lt;&gt;L484)*($G$381:$G$498))))</f>
        <v/>
      </c>
      <c r="P484" s="29" t="str">
        <f>IF(OR(A484="",M484&lt;=0,J484&gt;=0),"",SUMPRODUCT(($A$18:$A$379=A484)*(IFERROR($B$18:$B$379&gt;=E484-30,0))*(IFERROR($B$18:$B$379&lt;=E484+30,0))*($G$18:$G$379&gt;0)*($L$18:$L$379&lt;&gt;L484))+SUMPRODUCT(($A$381:$A$498=A484)*(IFERROR($B$381:$B$498&gt;=E484-30,0))*(IFERROR($B$381:$B$498&lt;=E484+30,0))*($G$381:$G$498&gt;0)*($L$381:$L$498&lt;&gt;L484)))</f>
        <v/>
      </c>
      <c r="Q484" s="34" t="str">
        <f>IF(P484=1,IFERROR(INDEX($L$18:$L$379,MATCH(1,INDEX(($A$18:$A$379=A484)*(IFERROR($B$18:$B$379&gt;=E484-30,0))*(IFERROR($B$18:$B$379&lt;=E484+30,0))*($G$18:$G$379&gt;0)*($L$18:$L$379&lt;&gt;L484),0),0)),IFERROR(INDEX($L$381:$L$498,MATCH(1,INDEX(($A$381:$A$498=A484)*(IFERROR($B$381:$B$498&gt;=E484-30,0))*(IFERROR($B$381:$B$498&lt;=E484+30,0))*($G$381:$G$498&gt;0)*($L$381:$L$498&lt;&gt;L484),0),0)),"")),"")</f>
        <v/>
      </c>
      <c r="R484" s="35"/>
      <c r="S484" s="34" t="str">
        <f>IF(R484&lt;&gt;"",R484,Q484)</f>
        <v/>
      </c>
      <c r="T484" s="73">
        <f>IF(OR(N484="",O484=0),0,N484*O484)</f>
        <v>0</v>
      </c>
      <c r="U484" s="73">
        <f>IF(COUNTIF($S$18:$S$498,L484)=0,"",SUMIF($S$18:$S$498,L484,$T$18:$T$498))</f>
        <v>0</v>
      </c>
      <c r="V484" s="73" t="str">
        <f>IF(H484="","",IFERROR(H484+U484,H484))</f>
        <v/>
      </c>
      <c r="W484" s="73" t="str">
        <f>IF(OR(V484="",C484=""),"",V484/C484)</f>
        <v/>
      </c>
      <c r="X484" s="12" t="str">
        <f>IF(A484="","",IF(AND(U484&lt;&gt;"",U484&lt;&gt;0,M484=0),"Replacement lot receiving wash basis",IF(J484="","",IF(J484&gt;=0,"",IF(O484=0,"No replacement buy found",IF(P484&gt;1,"Manual selection needed","Auto matched"))))))</f>
        <v/>
      </c>
      <c r="Z484" t="str">
        <f>IF(K484="Yes",COUNTIF($K$18:K484,"Yes"),"")</f>
        <v/>
      </c>
    </row>
    <row r="485" spans="1:26" ht="34.15" hidden="1" customHeight="1" x14ac:dyDescent="0.2">
      <c r="A485" s="10"/>
      <c r="B485" s="71"/>
      <c r="C485" s="33"/>
      <c r="D485" s="72"/>
      <c r="E485" s="71"/>
      <c r="F485" s="72"/>
      <c r="G485" s="33"/>
      <c r="H485" s="73" t="str">
        <f>IF(OR(C485="",D485=""),"",C485*D485)</f>
        <v/>
      </c>
      <c r="I485" s="73" t="str">
        <f>IF(OR(E485="",F485="",M485&lt;=0),"",M485*F485)</f>
        <v/>
      </c>
      <c r="J485" s="73" t="str">
        <f>IF(I485="","",I485-(M485*D485))</f>
        <v/>
      </c>
      <c r="K485" s="29" t="str">
        <f>IF(A485="","",IF(T485&gt;0,"Yes","No"))</f>
        <v/>
      </c>
      <c r="L485" s="29" t="str">
        <f>IF(A485="","",A485&amp;"-"&amp;TEXT(B485,"yyyymmdd")&amp;"-R"&amp;ROW())</f>
        <v/>
      </c>
      <c r="M485" s="29" t="str">
        <f>IF(OR(C485="",G485=""),"",C485-G485)</f>
        <v/>
      </c>
      <c r="N485" s="73" t="str">
        <f>IF(OR(M485&lt;=0,J485&gt;=0),"",ABS(J485)/M485)</f>
        <v/>
      </c>
      <c r="O485" s="73" t="str">
        <f>IF(OR(A485="",M485&lt;=0,J485&gt;=0),"",MIN(M485,SUMPRODUCT(($A$18:$A$379=A485)*(IFERROR($B$18:$B$379&gt;=E485-30,0))*(IFERROR($B$18:$B$379&lt;=E485+30,0))*($G$18:$G$379&gt;0)*($L$18:$L$379&lt;&gt;L485)*($G$18:$G$379))+SUMPRODUCT(($A$381:$A$498=A485)*(IFERROR($B$381:$B$498&gt;=E485-30,0))*(IFERROR($B$381:$B$498&lt;=E485+30,0))*($G$381:$G$498&gt;0)*($L$381:$L$498&lt;&gt;L485)*($G$381:$G$498))))</f>
        <v/>
      </c>
      <c r="P485" s="29" t="str">
        <f>IF(OR(A485="",M485&lt;=0,J485&gt;=0),"",SUMPRODUCT(($A$18:$A$379=A485)*(IFERROR($B$18:$B$379&gt;=E485-30,0))*(IFERROR($B$18:$B$379&lt;=E485+30,0))*($G$18:$G$379&gt;0)*($L$18:$L$379&lt;&gt;L485))+SUMPRODUCT(($A$381:$A$498=A485)*(IFERROR($B$381:$B$498&gt;=E485-30,0))*(IFERROR($B$381:$B$498&lt;=E485+30,0))*($G$381:$G$498&gt;0)*($L$381:$L$498&lt;&gt;L485)))</f>
        <v/>
      </c>
      <c r="Q485" s="34" t="str">
        <f>IF(P485=1,IFERROR(INDEX($L$18:$L$379,MATCH(1,INDEX(($A$18:$A$379=A485)*(IFERROR($B$18:$B$379&gt;=E485-30,0))*(IFERROR($B$18:$B$379&lt;=E485+30,0))*($G$18:$G$379&gt;0)*($L$18:$L$379&lt;&gt;L485),0),0)),IFERROR(INDEX($L$381:$L$498,MATCH(1,INDEX(($A$381:$A$498=A485)*(IFERROR($B$381:$B$498&gt;=E485-30,0))*(IFERROR($B$381:$B$498&lt;=E485+30,0))*($G$381:$G$498&gt;0)*($L$381:$L$498&lt;&gt;L485),0),0)),"")),"")</f>
        <v/>
      </c>
      <c r="R485" s="35"/>
      <c r="S485" s="34" t="str">
        <f>IF(R485&lt;&gt;"",R485,Q485)</f>
        <v/>
      </c>
      <c r="T485" s="73">
        <f>IF(OR(N485="",O485=0),0,N485*O485)</f>
        <v>0</v>
      </c>
      <c r="U485" s="73">
        <f>IF(COUNTIF($S$18:$S$498,L485)=0,"",SUMIF($S$18:$S$498,L485,$T$18:$T$498))</f>
        <v>0</v>
      </c>
      <c r="V485" s="73" t="str">
        <f>IF(H485="","",IFERROR(H485+U485,H485))</f>
        <v/>
      </c>
      <c r="W485" s="73" t="str">
        <f>IF(OR(V485="",C485=""),"",V485/C485)</f>
        <v/>
      </c>
      <c r="X485" s="12" t="str">
        <f>IF(A485="","",IF(AND(U485&lt;&gt;"",U485&lt;&gt;0,M485=0),"Replacement lot receiving wash basis",IF(J485="","",IF(J485&gt;=0,"",IF(O485=0,"No replacement buy found",IF(P485&gt;1,"Manual selection needed","Auto matched"))))))</f>
        <v/>
      </c>
      <c r="Z485" t="str">
        <f>IF(K485="Yes",COUNTIF($K$18:K485,"Yes"),"")</f>
        <v/>
      </c>
    </row>
    <row r="486" spans="1:26" ht="34.15" hidden="1" customHeight="1" x14ac:dyDescent="0.2">
      <c r="A486" s="10"/>
      <c r="B486" s="71"/>
      <c r="C486" s="33"/>
      <c r="D486" s="72"/>
      <c r="E486" s="71"/>
      <c r="F486" s="72"/>
      <c r="G486" s="33"/>
      <c r="H486" s="73" t="str">
        <f>IF(OR(C486="",D486=""),"",C486*D486)</f>
        <v/>
      </c>
      <c r="I486" s="73" t="str">
        <f>IF(OR(E486="",F486="",M486&lt;=0),"",M486*F486)</f>
        <v/>
      </c>
      <c r="J486" s="73" t="str">
        <f>IF(I486="","",I486-(M486*D486))</f>
        <v/>
      </c>
      <c r="K486" s="29" t="str">
        <f>IF(A486="","",IF(T486&gt;0,"Yes","No"))</f>
        <v/>
      </c>
      <c r="L486" s="29" t="str">
        <f>IF(A486="","",A486&amp;"-"&amp;TEXT(B486,"yyyymmdd")&amp;"-R"&amp;ROW())</f>
        <v/>
      </c>
      <c r="M486" s="29" t="str">
        <f>IF(OR(C486="",G486=""),"",C486-G486)</f>
        <v/>
      </c>
      <c r="N486" s="73" t="str">
        <f>IF(OR(M486&lt;=0,J486&gt;=0),"",ABS(J486)/M486)</f>
        <v/>
      </c>
      <c r="O486" s="73" t="str">
        <f>IF(OR(A486="",M486&lt;=0,J486&gt;=0),"",MIN(M486,SUMPRODUCT(($A$18:$A$379=A486)*(IFERROR($B$18:$B$379&gt;=E486-30,0))*(IFERROR($B$18:$B$379&lt;=E486+30,0))*($G$18:$G$379&gt;0)*($L$18:$L$379&lt;&gt;L486)*($G$18:$G$379))+SUMPRODUCT(($A$381:$A$498=A486)*(IFERROR($B$381:$B$498&gt;=E486-30,0))*(IFERROR($B$381:$B$498&lt;=E486+30,0))*($G$381:$G$498&gt;0)*($L$381:$L$498&lt;&gt;L486)*($G$381:$G$498))))</f>
        <v/>
      </c>
      <c r="P486" s="29" t="str">
        <f>IF(OR(A486="",M486&lt;=0,J486&gt;=0),"",SUMPRODUCT(($A$18:$A$379=A486)*(IFERROR($B$18:$B$379&gt;=E486-30,0))*(IFERROR($B$18:$B$379&lt;=E486+30,0))*($G$18:$G$379&gt;0)*($L$18:$L$379&lt;&gt;L486))+SUMPRODUCT(($A$381:$A$498=A486)*(IFERROR($B$381:$B$498&gt;=E486-30,0))*(IFERROR($B$381:$B$498&lt;=E486+30,0))*($G$381:$G$498&gt;0)*($L$381:$L$498&lt;&gt;L486)))</f>
        <v/>
      </c>
      <c r="Q486" s="34" t="str">
        <f>IF(P486=1,IFERROR(INDEX($L$18:$L$379,MATCH(1,INDEX(($A$18:$A$379=A486)*(IFERROR($B$18:$B$379&gt;=E486-30,0))*(IFERROR($B$18:$B$379&lt;=E486+30,0))*($G$18:$G$379&gt;0)*($L$18:$L$379&lt;&gt;L486),0),0)),IFERROR(INDEX($L$381:$L$498,MATCH(1,INDEX(($A$381:$A$498=A486)*(IFERROR($B$381:$B$498&gt;=E486-30,0))*(IFERROR($B$381:$B$498&lt;=E486+30,0))*($G$381:$G$498&gt;0)*($L$381:$L$498&lt;&gt;L486),0),0)),"")),"")</f>
        <v/>
      </c>
      <c r="R486" s="35"/>
      <c r="S486" s="34" t="str">
        <f>IF(R486&lt;&gt;"",R486,Q486)</f>
        <v/>
      </c>
      <c r="T486" s="73">
        <f>IF(OR(N486="",O486=0),0,N486*O486)</f>
        <v>0</v>
      </c>
      <c r="U486" s="73">
        <f>IF(COUNTIF($S$18:$S$498,L486)=0,"",SUMIF($S$18:$S$498,L486,$T$18:$T$498))</f>
        <v>0</v>
      </c>
      <c r="V486" s="73" t="str">
        <f>IF(H486="","",IFERROR(H486+U486,H486))</f>
        <v/>
      </c>
      <c r="W486" s="73" t="str">
        <f>IF(OR(V486="",C486=""),"",V486/C486)</f>
        <v/>
      </c>
      <c r="X486" s="12" t="str">
        <f>IF(A486="","",IF(AND(U486&lt;&gt;"",U486&lt;&gt;0,M486=0),"Replacement lot receiving wash basis",IF(J486="","",IF(J486&gt;=0,"",IF(O486=0,"No replacement buy found",IF(P486&gt;1,"Manual selection needed","Auto matched"))))))</f>
        <v/>
      </c>
      <c r="Z486" t="str">
        <f>IF(K486="Yes",COUNTIF($K$18:K486,"Yes"),"")</f>
        <v/>
      </c>
    </row>
    <row r="487" spans="1:26" ht="34.15" hidden="1" customHeight="1" x14ac:dyDescent="0.2">
      <c r="A487" s="10"/>
      <c r="B487" s="71"/>
      <c r="C487" s="33"/>
      <c r="D487" s="72"/>
      <c r="E487" s="71"/>
      <c r="F487" s="72"/>
      <c r="G487" s="33"/>
      <c r="H487" s="73" t="str">
        <f>IF(OR(C487="",D487=""),"",C487*D487)</f>
        <v/>
      </c>
      <c r="I487" s="73" t="str">
        <f>IF(OR(E487="",F487="",M487&lt;=0),"",M487*F487)</f>
        <v/>
      </c>
      <c r="J487" s="73" t="str">
        <f>IF(I487="","",I487-(M487*D487))</f>
        <v/>
      </c>
      <c r="K487" s="29" t="str">
        <f>IF(A487="","",IF(T487&gt;0,"Yes","No"))</f>
        <v/>
      </c>
      <c r="L487" s="29" t="str">
        <f>IF(A487="","",A487&amp;"-"&amp;TEXT(B487,"yyyymmdd")&amp;"-R"&amp;ROW())</f>
        <v/>
      </c>
      <c r="M487" s="29" t="str">
        <f>IF(OR(C487="",G487=""),"",C487-G487)</f>
        <v/>
      </c>
      <c r="N487" s="73" t="str">
        <f>IF(OR(M487&lt;=0,J487&gt;=0),"",ABS(J487)/M487)</f>
        <v/>
      </c>
      <c r="O487" s="73" t="str">
        <f>IF(OR(A487="",M487&lt;=0,J487&gt;=0),"",MIN(M487,SUMPRODUCT(($A$18:$A$379=A487)*(IFERROR($B$18:$B$379&gt;=E487-30,0))*(IFERROR($B$18:$B$379&lt;=E487+30,0))*($G$18:$G$379&gt;0)*($L$18:$L$379&lt;&gt;L487)*($G$18:$G$379))+SUMPRODUCT(($A$381:$A$498=A487)*(IFERROR($B$381:$B$498&gt;=E487-30,0))*(IFERROR($B$381:$B$498&lt;=E487+30,0))*($G$381:$G$498&gt;0)*($L$381:$L$498&lt;&gt;L487)*($G$381:$G$498))))</f>
        <v/>
      </c>
      <c r="P487" s="29" t="str">
        <f>IF(OR(A487="",M487&lt;=0,J487&gt;=0),"",SUMPRODUCT(($A$18:$A$379=A487)*(IFERROR($B$18:$B$379&gt;=E487-30,0))*(IFERROR($B$18:$B$379&lt;=E487+30,0))*($G$18:$G$379&gt;0)*($L$18:$L$379&lt;&gt;L487))+SUMPRODUCT(($A$381:$A$498=A487)*(IFERROR($B$381:$B$498&gt;=E487-30,0))*(IFERROR($B$381:$B$498&lt;=E487+30,0))*($G$381:$G$498&gt;0)*($L$381:$L$498&lt;&gt;L487)))</f>
        <v/>
      </c>
      <c r="Q487" s="34" t="str">
        <f>IF(P487=1,IFERROR(INDEX($L$18:$L$379,MATCH(1,INDEX(($A$18:$A$379=A487)*(IFERROR($B$18:$B$379&gt;=E487-30,0))*(IFERROR($B$18:$B$379&lt;=E487+30,0))*($G$18:$G$379&gt;0)*($L$18:$L$379&lt;&gt;L487),0),0)),IFERROR(INDEX($L$381:$L$498,MATCH(1,INDEX(($A$381:$A$498=A487)*(IFERROR($B$381:$B$498&gt;=E487-30,0))*(IFERROR($B$381:$B$498&lt;=E487+30,0))*($G$381:$G$498&gt;0)*($L$381:$L$498&lt;&gt;L487),0),0)),"")),"")</f>
        <v/>
      </c>
      <c r="R487" s="35"/>
      <c r="S487" s="34" t="str">
        <f>IF(R487&lt;&gt;"",R487,Q487)</f>
        <v/>
      </c>
      <c r="T487" s="73">
        <f>IF(OR(N487="",O487=0),0,N487*O487)</f>
        <v>0</v>
      </c>
      <c r="U487" s="73">
        <f>IF(COUNTIF($S$18:$S$498,L487)=0,"",SUMIF($S$18:$S$498,L487,$T$18:$T$498))</f>
        <v>0</v>
      </c>
      <c r="V487" s="73" t="str">
        <f>IF(H487="","",IFERROR(H487+U487,H487))</f>
        <v/>
      </c>
      <c r="W487" s="73" t="str">
        <f>IF(OR(V487="",C487=""),"",V487/C487)</f>
        <v/>
      </c>
      <c r="X487" s="12" t="str">
        <f>IF(A487="","",IF(AND(U487&lt;&gt;"",U487&lt;&gt;0,M487=0),"Replacement lot receiving wash basis",IF(J487="","",IF(J487&gt;=0,"",IF(O487=0,"No replacement buy found",IF(P487&gt;1,"Manual selection needed","Auto matched"))))))</f>
        <v/>
      </c>
      <c r="Z487" t="str">
        <f>IF(K487="Yes",COUNTIF($K$18:K487,"Yes"),"")</f>
        <v/>
      </c>
    </row>
    <row r="488" spans="1:26" ht="34.15" hidden="1" customHeight="1" x14ac:dyDescent="0.2">
      <c r="A488" s="10"/>
      <c r="B488" s="71"/>
      <c r="C488" s="33"/>
      <c r="D488" s="72"/>
      <c r="E488" s="71"/>
      <c r="F488" s="72"/>
      <c r="G488" s="33"/>
      <c r="H488" s="73" t="str">
        <f>IF(OR(C488="",D488=""),"",C488*D488)</f>
        <v/>
      </c>
      <c r="I488" s="73" t="str">
        <f>IF(OR(E488="",F488="",M488&lt;=0),"",M488*F488)</f>
        <v/>
      </c>
      <c r="J488" s="73" t="str">
        <f>IF(I488="","",I488-(M488*D488))</f>
        <v/>
      </c>
      <c r="K488" s="29" t="str">
        <f>IF(A488="","",IF(T488&gt;0,"Yes","No"))</f>
        <v/>
      </c>
      <c r="L488" s="29" t="str">
        <f>IF(A488="","",A488&amp;"-"&amp;TEXT(B488,"yyyymmdd")&amp;"-R"&amp;ROW())</f>
        <v/>
      </c>
      <c r="M488" s="29" t="str">
        <f>IF(OR(C488="",G488=""),"",C488-G488)</f>
        <v/>
      </c>
      <c r="N488" s="73" t="str">
        <f>IF(OR(M488&lt;=0,J488&gt;=0),"",ABS(J488)/M488)</f>
        <v/>
      </c>
      <c r="O488" s="73" t="str">
        <f>IF(OR(A488="",M488&lt;=0,J488&gt;=0),"",MIN(M488,SUMPRODUCT(($A$18:$A$379=A488)*(IFERROR($B$18:$B$379&gt;=E488-30,0))*(IFERROR($B$18:$B$379&lt;=E488+30,0))*($G$18:$G$379&gt;0)*($L$18:$L$379&lt;&gt;L488)*($G$18:$G$379))+SUMPRODUCT(($A$381:$A$498=A488)*(IFERROR($B$381:$B$498&gt;=E488-30,0))*(IFERROR($B$381:$B$498&lt;=E488+30,0))*($G$381:$G$498&gt;0)*($L$381:$L$498&lt;&gt;L488)*($G$381:$G$498))))</f>
        <v/>
      </c>
      <c r="P488" s="29" t="str">
        <f>IF(OR(A488="",M488&lt;=0,J488&gt;=0),"",SUMPRODUCT(($A$18:$A$379=A488)*(IFERROR($B$18:$B$379&gt;=E488-30,0))*(IFERROR($B$18:$B$379&lt;=E488+30,0))*($G$18:$G$379&gt;0)*($L$18:$L$379&lt;&gt;L488))+SUMPRODUCT(($A$381:$A$498=A488)*(IFERROR($B$381:$B$498&gt;=E488-30,0))*(IFERROR($B$381:$B$498&lt;=E488+30,0))*($G$381:$G$498&gt;0)*($L$381:$L$498&lt;&gt;L488)))</f>
        <v/>
      </c>
      <c r="Q488" s="34" t="str">
        <f>IF(P488=1,IFERROR(INDEX($L$18:$L$379,MATCH(1,INDEX(($A$18:$A$379=A488)*(IFERROR($B$18:$B$379&gt;=E488-30,0))*(IFERROR($B$18:$B$379&lt;=E488+30,0))*($G$18:$G$379&gt;0)*($L$18:$L$379&lt;&gt;L488),0),0)),IFERROR(INDEX($L$381:$L$498,MATCH(1,INDEX(($A$381:$A$498=A488)*(IFERROR($B$381:$B$498&gt;=E488-30,0))*(IFERROR($B$381:$B$498&lt;=E488+30,0))*($G$381:$G$498&gt;0)*($L$381:$L$498&lt;&gt;L488),0),0)),"")),"")</f>
        <v/>
      </c>
      <c r="R488" s="35"/>
      <c r="S488" s="34" t="str">
        <f>IF(R488&lt;&gt;"",R488,Q488)</f>
        <v/>
      </c>
      <c r="T488" s="73">
        <f>IF(OR(N488="",O488=0),0,N488*O488)</f>
        <v>0</v>
      </c>
      <c r="U488" s="73">
        <f>IF(COUNTIF($S$18:$S$498,L488)=0,"",SUMIF($S$18:$S$498,L488,$T$18:$T$498))</f>
        <v>0</v>
      </c>
      <c r="V488" s="73" t="str">
        <f>IF(H488="","",IFERROR(H488+U488,H488))</f>
        <v/>
      </c>
      <c r="W488" s="73" t="str">
        <f>IF(OR(V488="",C488=""),"",V488/C488)</f>
        <v/>
      </c>
      <c r="X488" s="12" t="str">
        <f>IF(A488="","",IF(AND(U488&lt;&gt;"",U488&lt;&gt;0,M488=0),"Replacement lot receiving wash basis",IF(J488="","",IF(J488&gt;=0,"",IF(O488=0,"No replacement buy found",IF(P488&gt;1,"Manual selection needed","Auto matched"))))))</f>
        <v/>
      </c>
      <c r="Z488" t="str">
        <f>IF(K488="Yes",COUNTIF($K$18:K488,"Yes"),"")</f>
        <v/>
      </c>
    </row>
    <row r="489" spans="1:26" ht="34.15" hidden="1" customHeight="1" x14ac:dyDescent="0.2">
      <c r="A489" s="10"/>
      <c r="B489" s="71"/>
      <c r="C489" s="33"/>
      <c r="D489" s="72"/>
      <c r="E489" s="71"/>
      <c r="F489" s="72"/>
      <c r="G489" s="33"/>
      <c r="H489" s="73" t="str">
        <f>IF(OR(C489="",D489=""),"",C489*D489)</f>
        <v/>
      </c>
      <c r="I489" s="73" t="str">
        <f>IF(OR(E489="",F489="",M489&lt;=0),"",M489*F489)</f>
        <v/>
      </c>
      <c r="J489" s="73" t="str">
        <f>IF(I489="","",I489-(M489*D489))</f>
        <v/>
      </c>
      <c r="K489" s="29" t="str">
        <f>IF(A489="","",IF(T489&gt;0,"Yes","No"))</f>
        <v/>
      </c>
      <c r="L489" s="29" t="str">
        <f>IF(A489="","",A489&amp;"-"&amp;TEXT(B489,"yyyymmdd")&amp;"-R"&amp;ROW())</f>
        <v/>
      </c>
      <c r="M489" s="29" t="str">
        <f>IF(OR(C489="",G489=""),"",C489-G489)</f>
        <v/>
      </c>
      <c r="N489" s="73" t="str">
        <f>IF(OR(M489&lt;=0,J489&gt;=0),"",ABS(J489)/M489)</f>
        <v/>
      </c>
      <c r="O489" s="73" t="str">
        <f>IF(OR(A489="",M489&lt;=0,J489&gt;=0),"",MIN(M489,SUMPRODUCT(($A$18:$A$379=A489)*(IFERROR($B$18:$B$379&gt;=E489-30,0))*(IFERROR($B$18:$B$379&lt;=E489+30,0))*($G$18:$G$379&gt;0)*($L$18:$L$379&lt;&gt;L489)*($G$18:$G$379))+SUMPRODUCT(($A$381:$A$498=A489)*(IFERROR($B$381:$B$498&gt;=E489-30,0))*(IFERROR($B$381:$B$498&lt;=E489+30,0))*($G$381:$G$498&gt;0)*($L$381:$L$498&lt;&gt;L489)*($G$381:$G$498))))</f>
        <v/>
      </c>
      <c r="P489" s="29" t="str">
        <f>IF(OR(A489="",M489&lt;=0,J489&gt;=0),"",SUMPRODUCT(($A$18:$A$379=A489)*(IFERROR($B$18:$B$379&gt;=E489-30,0))*(IFERROR($B$18:$B$379&lt;=E489+30,0))*($G$18:$G$379&gt;0)*($L$18:$L$379&lt;&gt;L489))+SUMPRODUCT(($A$381:$A$498=A489)*(IFERROR($B$381:$B$498&gt;=E489-30,0))*(IFERROR($B$381:$B$498&lt;=E489+30,0))*($G$381:$G$498&gt;0)*($L$381:$L$498&lt;&gt;L489)))</f>
        <v/>
      </c>
      <c r="Q489" s="34" t="str">
        <f>IF(P489=1,IFERROR(INDEX($L$18:$L$379,MATCH(1,INDEX(($A$18:$A$379=A489)*(IFERROR($B$18:$B$379&gt;=E489-30,0))*(IFERROR($B$18:$B$379&lt;=E489+30,0))*($G$18:$G$379&gt;0)*($L$18:$L$379&lt;&gt;L489),0),0)),IFERROR(INDEX($L$381:$L$498,MATCH(1,INDEX(($A$381:$A$498=A489)*(IFERROR($B$381:$B$498&gt;=E489-30,0))*(IFERROR($B$381:$B$498&lt;=E489+30,0))*($G$381:$G$498&gt;0)*($L$381:$L$498&lt;&gt;L489),0),0)),"")),"")</f>
        <v/>
      </c>
      <c r="R489" s="35"/>
      <c r="S489" s="34" t="str">
        <f>IF(R489&lt;&gt;"",R489,Q489)</f>
        <v/>
      </c>
      <c r="T489" s="73">
        <f>IF(OR(N489="",O489=0),0,N489*O489)</f>
        <v>0</v>
      </c>
      <c r="U489" s="73">
        <f>IF(COUNTIF($S$18:$S$498,L489)=0,"",SUMIF($S$18:$S$498,L489,$T$18:$T$498))</f>
        <v>0</v>
      </c>
      <c r="V489" s="73" t="str">
        <f>IF(H489="","",IFERROR(H489+U489,H489))</f>
        <v/>
      </c>
      <c r="W489" s="73" t="str">
        <f>IF(OR(V489="",C489=""),"",V489/C489)</f>
        <v/>
      </c>
      <c r="X489" s="12" t="str">
        <f>IF(A489="","",IF(AND(U489&lt;&gt;"",U489&lt;&gt;0,M489=0),"Replacement lot receiving wash basis",IF(J489="","",IF(J489&gt;=0,"",IF(O489=0,"No replacement buy found",IF(P489&gt;1,"Manual selection needed","Auto matched"))))))</f>
        <v/>
      </c>
      <c r="Z489" t="str">
        <f>IF(K489="Yes",COUNTIF($K$18:K489,"Yes"),"")</f>
        <v/>
      </c>
    </row>
    <row r="490" spans="1:26" ht="34.15" hidden="1" customHeight="1" x14ac:dyDescent="0.2">
      <c r="A490" s="10"/>
      <c r="B490" s="71"/>
      <c r="C490" s="33"/>
      <c r="D490" s="72"/>
      <c r="E490" s="71"/>
      <c r="F490" s="72"/>
      <c r="G490" s="33"/>
      <c r="H490" s="73" t="str">
        <f>IF(OR(C490="",D490=""),"",C490*D490)</f>
        <v/>
      </c>
      <c r="I490" s="73" t="str">
        <f>IF(OR(E490="",F490="",M490&lt;=0),"",M490*F490)</f>
        <v/>
      </c>
      <c r="J490" s="73" t="str">
        <f>IF(I490="","",I490-(M490*D490))</f>
        <v/>
      </c>
      <c r="K490" s="29" t="str">
        <f>IF(A490="","",IF(T490&gt;0,"Yes","No"))</f>
        <v/>
      </c>
      <c r="L490" s="29" t="str">
        <f>IF(A490="","",A490&amp;"-"&amp;TEXT(B490,"yyyymmdd")&amp;"-R"&amp;ROW())</f>
        <v/>
      </c>
      <c r="M490" s="29" t="str">
        <f>IF(OR(C490="",G490=""),"",C490-G490)</f>
        <v/>
      </c>
      <c r="N490" s="73" t="str">
        <f>IF(OR(M490&lt;=0,J490&gt;=0),"",ABS(J490)/M490)</f>
        <v/>
      </c>
      <c r="O490" s="73" t="str">
        <f>IF(OR(A490="",M490&lt;=0,J490&gt;=0),"",MIN(M490,SUMPRODUCT(($A$18:$A$379=A490)*(IFERROR($B$18:$B$379&gt;=E490-30,0))*(IFERROR($B$18:$B$379&lt;=E490+30,0))*($G$18:$G$379&gt;0)*($L$18:$L$379&lt;&gt;L490)*($G$18:$G$379))+SUMPRODUCT(($A$381:$A$498=A490)*(IFERROR($B$381:$B$498&gt;=E490-30,0))*(IFERROR($B$381:$B$498&lt;=E490+30,0))*($G$381:$G$498&gt;0)*($L$381:$L$498&lt;&gt;L490)*($G$381:$G$498))))</f>
        <v/>
      </c>
      <c r="P490" s="29" t="str">
        <f>IF(OR(A490="",M490&lt;=0,J490&gt;=0),"",SUMPRODUCT(($A$18:$A$379=A490)*(IFERROR($B$18:$B$379&gt;=E490-30,0))*(IFERROR($B$18:$B$379&lt;=E490+30,0))*($G$18:$G$379&gt;0)*($L$18:$L$379&lt;&gt;L490))+SUMPRODUCT(($A$381:$A$498=A490)*(IFERROR($B$381:$B$498&gt;=E490-30,0))*(IFERROR($B$381:$B$498&lt;=E490+30,0))*($G$381:$G$498&gt;0)*($L$381:$L$498&lt;&gt;L490)))</f>
        <v/>
      </c>
      <c r="Q490" s="34" t="str">
        <f>IF(P490=1,IFERROR(INDEX($L$18:$L$379,MATCH(1,INDEX(($A$18:$A$379=A490)*(IFERROR($B$18:$B$379&gt;=E490-30,0))*(IFERROR($B$18:$B$379&lt;=E490+30,0))*($G$18:$G$379&gt;0)*($L$18:$L$379&lt;&gt;L490),0),0)),IFERROR(INDEX($L$381:$L$498,MATCH(1,INDEX(($A$381:$A$498=A490)*(IFERROR($B$381:$B$498&gt;=E490-30,0))*(IFERROR($B$381:$B$498&lt;=E490+30,0))*($G$381:$G$498&gt;0)*($L$381:$L$498&lt;&gt;L490),0),0)),"")),"")</f>
        <v/>
      </c>
      <c r="R490" s="35"/>
      <c r="S490" s="34" t="str">
        <f>IF(R490&lt;&gt;"",R490,Q490)</f>
        <v/>
      </c>
      <c r="T490" s="73">
        <f>IF(OR(N490="",O490=0),0,N490*O490)</f>
        <v>0</v>
      </c>
      <c r="U490" s="73">
        <f>IF(COUNTIF($S$18:$S$498,L490)=0,"",SUMIF($S$18:$S$498,L490,$T$18:$T$498))</f>
        <v>0</v>
      </c>
      <c r="V490" s="73" t="str">
        <f>IF(H490="","",IFERROR(H490+U490,H490))</f>
        <v/>
      </c>
      <c r="W490" s="73" t="str">
        <f>IF(OR(V490="",C490=""),"",V490/C490)</f>
        <v/>
      </c>
      <c r="X490" s="12" t="str">
        <f>IF(A490="","",IF(AND(U490&lt;&gt;"",U490&lt;&gt;0,M490=0),"Replacement lot receiving wash basis",IF(J490="","",IF(J490&gt;=0,"",IF(O490=0,"No replacement buy found",IF(P490&gt;1,"Manual selection needed","Auto matched"))))))</f>
        <v/>
      </c>
      <c r="Z490" t="str">
        <f>IF(K490="Yes",COUNTIF($K$18:K490,"Yes"),"")</f>
        <v/>
      </c>
    </row>
    <row r="491" spans="1:26" ht="34.15" hidden="1" customHeight="1" x14ac:dyDescent="0.2">
      <c r="A491" s="10"/>
      <c r="B491" s="71"/>
      <c r="C491" s="33"/>
      <c r="D491" s="72"/>
      <c r="E491" s="71"/>
      <c r="F491" s="72"/>
      <c r="G491" s="33"/>
      <c r="H491" s="73" t="str">
        <f>IF(OR(C491="",D491=""),"",C491*D491)</f>
        <v/>
      </c>
      <c r="I491" s="73" t="str">
        <f>IF(OR(E491="",F491="",M491&lt;=0),"",M491*F491)</f>
        <v/>
      </c>
      <c r="J491" s="73" t="str">
        <f>IF(I491="","",I491-(M491*D491))</f>
        <v/>
      </c>
      <c r="K491" s="29" t="str">
        <f>IF(A491="","",IF(T491&gt;0,"Yes","No"))</f>
        <v/>
      </c>
      <c r="L491" s="29" t="str">
        <f>IF(A491="","",A491&amp;"-"&amp;TEXT(B491,"yyyymmdd")&amp;"-R"&amp;ROW())</f>
        <v/>
      </c>
      <c r="M491" s="29" t="str">
        <f>IF(OR(C491="",G491=""),"",C491-G491)</f>
        <v/>
      </c>
      <c r="N491" s="73" t="str">
        <f>IF(OR(M491&lt;=0,J491&gt;=0),"",ABS(J491)/M491)</f>
        <v/>
      </c>
      <c r="O491" s="73" t="str">
        <f>IF(OR(A491="",M491&lt;=0,J491&gt;=0),"",MIN(M491,SUMPRODUCT(($A$18:$A$379=A491)*(IFERROR($B$18:$B$379&gt;=E491-30,0))*(IFERROR($B$18:$B$379&lt;=E491+30,0))*($G$18:$G$379&gt;0)*($L$18:$L$379&lt;&gt;L491)*($G$18:$G$379))+SUMPRODUCT(($A$381:$A$498=A491)*(IFERROR($B$381:$B$498&gt;=E491-30,0))*(IFERROR($B$381:$B$498&lt;=E491+30,0))*($G$381:$G$498&gt;0)*($L$381:$L$498&lt;&gt;L491)*($G$381:$G$498))))</f>
        <v/>
      </c>
      <c r="P491" s="29" t="str">
        <f>IF(OR(A491="",M491&lt;=0,J491&gt;=0),"",SUMPRODUCT(($A$18:$A$379=A491)*(IFERROR($B$18:$B$379&gt;=E491-30,0))*(IFERROR($B$18:$B$379&lt;=E491+30,0))*($G$18:$G$379&gt;0)*($L$18:$L$379&lt;&gt;L491))+SUMPRODUCT(($A$381:$A$498=A491)*(IFERROR($B$381:$B$498&gt;=E491-30,0))*(IFERROR($B$381:$B$498&lt;=E491+30,0))*($G$381:$G$498&gt;0)*($L$381:$L$498&lt;&gt;L491)))</f>
        <v/>
      </c>
      <c r="Q491" s="34" t="str">
        <f>IF(P491=1,IFERROR(INDEX($L$18:$L$379,MATCH(1,INDEX(($A$18:$A$379=A491)*(IFERROR($B$18:$B$379&gt;=E491-30,0))*(IFERROR($B$18:$B$379&lt;=E491+30,0))*($G$18:$G$379&gt;0)*($L$18:$L$379&lt;&gt;L491),0),0)),IFERROR(INDEX($L$381:$L$498,MATCH(1,INDEX(($A$381:$A$498=A491)*(IFERROR($B$381:$B$498&gt;=E491-30,0))*(IFERROR($B$381:$B$498&lt;=E491+30,0))*($G$381:$G$498&gt;0)*($L$381:$L$498&lt;&gt;L491),0),0)),"")),"")</f>
        <v/>
      </c>
      <c r="R491" s="35"/>
      <c r="S491" s="34" t="str">
        <f>IF(R491&lt;&gt;"",R491,Q491)</f>
        <v/>
      </c>
      <c r="T491" s="73">
        <f>IF(OR(N491="",O491=0),0,N491*O491)</f>
        <v>0</v>
      </c>
      <c r="U491" s="73">
        <f>IF(COUNTIF($S$18:$S$498,L491)=0,"",SUMIF($S$18:$S$498,L491,$T$18:$T$498))</f>
        <v>0</v>
      </c>
      <c r="V491" s="73" t="str">
        <f>IF(H491="","",IFERROR(H491+U491,H491))</f>
        <v/>
      </c>
      <c r="W491" s="73" t="str">
        <f>IF(OR(V491="",C491=""),"",V491/C491)</f>
        <v/>
      </c>
      <c r="X491" s="12" t="str">
        <f>IF(A491="","",IF(AND(U491&lt;&gt;"",U491&lt;&gt;0,M491=0),"Replacement lot receiving wash basis",IF(J491="","",IF(J491&gt;=0,"",IF(O491=0,"No replacement buy found",IF(P491&gt;1,"Manual selection needed","Auto matched"))))))</f>
        <v/>
      </c>
      <c r="Z491" t="str">
        <f>IF(K491="Yes",COUNTIF($K$18:K491,"Yes"),"")</f>
        <v/>
      </c>
    </row>
    <row r="492" spans="1:26" ht="34.15" hidden="1" customHeight="1" x14ac:dyDescent="0.2">
      <c r="A492" s="10"/>
      <c r="B492" s="71"/>
      <c r="C492" s="33"/>
      <c r="D492" s="72"/>
      <c r="E492" s="71"/>
      <c r="F492" s="72"/>
      <c r="G492" s="33"/>
      <c r="H492" s="73" t="str">
        <f>IF(OR(C492="",D492=""),"",C492*D492)</f>
        <v/>
      </c>
      <c r="I492" s="73" t="str">
        <f>IF(OR(E492="",F492="",M492&lt;=0),"",M492*F492)</f>
        <v/>
      </c>
      <c r="J492" s="73" t="str">
        <f>IF(I492="","",I492-(M492*D492))</f>
        <v/>
      </c>
      <c r="K492" s="29" t="str">
        <f>IF(A492="","",IF(T492&gt;0,"Yes","No"))</f>
        <v/>
      </c>
      <c r="L492" s="29" t="str">
        <f>IF(A492="","",A492&amp;"-"&amp;TEXT(B492,"yyyymmdd")&amp;"-R"&amp;ROW())</f>
        <v/>
      </c>
      <c r="M492" s="29" t="str">
        <f>IF(OR(C492="",G492=""),"",C492-G492)</f>
        <v/>
      </c>
      <c r="N492" s="73" t="str">
        <f>IF(OR(M492&lt;=0,J492&gt;=0),"",ABS(J492)/M492)</f>
        <v/>
      </c>
      <c r="O492" s="73" t="str">
        <f>IF(OR(A492="",M492&lt;=0,J492&gt;=0),"",MIN(M492,SUMPRODUCT(($A$18:$A$379=A492)*(IFERROR($B$18:$B$379&gt;=E492-30,0))*(IFERROR($B$18:$B$379&lt;=E492+30,0))*($G$18:$G$379&gt;0)*($L$18:$L$379&lt;&gt;L492)*($G$18:$G$379))+SUMPRODUCT(($A$381:$A$498=A492)*(IFERROR($B$381:$B$498&gt;=E492-30,0))*(IFERROR($B$381:$B$498&lt;=E492+30,0))*($G$381:$G$498&gt;0)*($L$381:$L$498&lt;&gt;L492)*($G$381:$G$498))))</f>
        <v/>
      </c>
      <c r="P492" s="29" t="str">
        <f>IF(OR(A492="",M492&lt;=0,J492&gt;=0),"",SUMPRODUCT(($A$18:$A$379=A492)*(IFERROR($B$18:$B$379&gt;=E492-30,0))*(IFERROR($B$18:$B$379&lt;=E492+30,0))*($G$18:$G$379&gt;0)*($L$18:$L$379&lt;&gt;L492))+SUMPRODUCT(($A$381:$A$498=A492)*(IFERROR($B$381:$B$498&gt;=E492-30,0))*(IFERROR($B$381:$B$498&lt;=E492+30,0))*($G$381:$G$498&gt;0)*($L$381:$L$498&lt;&gt;L492)))</f>
        <v/>
      </c>
      <c r="Q492" s="34" t="str">
        <f>IF(P492=1,IFERROR(INDEX($L$18:$L$379,MATCH(1,INDEX(($A$18:$A$379=A492)*(IFERROR($B$18:$B$379&gt;=E492-30,0))*(IFERROR($B$18:$B$379&lt;=E492+30,0))*($G$18:$G$379&gt;0)*($L$18:$L$379&lt;&gt;L492),0),0)),IFERROR(INDEX($L$381:$L$498,MATCH(1,INDEX(($A$381:$A$498=A492)*(IFERROR($B$381:$B$498&gt;=E492-30,0))*(IFERROR($B$381:$B$498&lt;=E492+30,0))*($G$381:$G$498&gt;0)*($L$381:$L$498&lt;&gt;L492),0),0)),"")),"")</f>
        <v/>
      </c>
      <c r="R492" s="35"/>
      <c r="S492" s="34" t="str">
        <f>IF(R492&lt;&gt;"",R492,Q492)</f>
        <v/>
      </c>
      <c r="T492" s="73">
        <f>IF(OR(N492="",O492=0),0,N492*O492)</f>
        <v>0</v>
      </c>
      <c r="U492" s="73">
        <f>IF(COUNTIF($S$18:$S$498,L492)=0,"",SUMIF($S$18:$S$498,L492,$T$18:$T$498))</f>
        <v>0</v>
      </c>
      <c r="V492" s="73" t="str">
        <f>IF(H492="","",IFERROR(H492+U492,H492))</f>
        <v/>
      </c>
      <c r="W492" s="73" t="str">
        <f>IF(OR(V492="",C492=""),"",V492/C492)</f>
        <v/>
      </c>
      <c r="X492" s="12" t="str">
        <f>IF(A492="","",IF(AND(U492&lt;&gt;"",U492&lt;&gt;0,M492=0),"Replacement lot receiving wash basis",IF(J492="","",IF(J492&gt;=0,"",IF(O492=0,"No replacement buy found",IF(P492&gt;1,"Manual selection needed","Auto matched"))))))</f>
        <v/>
      </c>
      <c r="Z492" t="str">
        <f>IF(K492="Yes",COUNTIF($K$18:K492,"Yes"),"")</f>
        <v/>
      </c>
    </row>
    <row r="493" spans="1:26" ht="34.15" hidden="1" customHeight="1" x14ac:dyDescent="0.2">
      <c r="A493" s="10"/>
      <c r="B493" s="71"/>
      <c r="C493" s="33"/>
      <c r="D493" s="72"/>
      <c r="E493" s="71"/>
      <c r="F493" s="72"/>
      <c r="G493" s="33"/>
      <c r="H493" s="73" t="str">
        <f>IF(OR(C493="",D493=""),"",C493*D493)</f>
        <v/>
      </c>
      <c r="I493" s="73" t="str">
        <f>IF(OR(E493="",F493="",M493&lt;=0),"",M493*F493)</f>
        <v/>
      </c>
      <c r="J493" s="73" t="str">
        <f>IF(I493="","",I493-(M493*D493))</f>
        <v/>
      </c>
      <c r="K493" s="29" t="str">
        <f>IF(A493="","",IF(T493&gt;0,"Yes","No"))</f>
        <v/>
      </c>
      <c r="L493" s="29" t="str">
        <f>IF(A493="","",A493&amp;"-"&amp;TEXT(B493,"yyyymmdd")&amp;"-R"&amp;ROW())</f>
        <v/>
      </c>
      <c r="M493" s="29" t="str">
        <f>IF(OR(C493="",G493=""),"",C493-G493)</f>
        <v/>
      </c>
      <c r="N493" s="73" t="str">
        <f>IF(OR(M493&lt;=0,J493&gt;=0),"",ABS(J493)/M493)</f>
        <v/>
      </c>
      <c r="O493" s="73" t="str">
        <f>IF(OR(A493="",M493&lt;=0,J493&gt;=0),"",MIN(M493,SUMPRODUCT(($A$18:$A$379=A493)*(IFERROR($B$18:$B$379&gt;=E493-30,0))*(IFERROR($B$18:$B$379&lt;=E493+30,0))*($G$18:$G$379&gt;0)*($L$18:$L$379&lt;&gt;L493)*($G$18:$G$379))+SUMPRODUCT(($A$381:$A$498=A493)*(IFERROR($B$381:$B$498&gt;=E493-30,0))*(IFERROR($B$381:$B$498&lt;=E493+30,0))*($G$381:$G$498&gt;0)*($L$381:$L$498&lt;&gt;L493)*($G$381:$G$498))))</f>
        <v/>
      </c>
      <c r="P493" s="29" t="str">
        <f>IF(OR(A493="",M493&lt;=0,J493&gt;=0),"",SUMPRODUCT(($A$18:$A$379=A493)*(IFERROR($B$18:$B$379&gt;=E493-30,0))*(IFERROR($B$18:$B$379&lt;=E493+30,0))*($G$18:$G$379&gt;0)*($L$18:$L$379&lt;&gt;L493))+SUMPRODUCT(($A$381:$A$498=A493)*(IFERROR($B$381:$B$498&gt;=E493-30,0))*(IFERROR($B$381:$B$498&lt;=E493+30,0))*($G$381:$G$498&gt;0)*($L$381:$L$498&lt;&gt;L493)))</f>
        <v/>
      </c>
      <c r="Q493" s="34" t="str">
        <f>IF(P493=1,IFERROR(INDEX($L$18:$L$379,MATCH(1,INDEX(($A$18:$A$379=A493)*(IFERROR($B$18:$B$379&gt;=E493-30,0))*(IFERROR($B$18:$B$379&lt;=E493+30,0))*($G$18:$G$379&gt;0)*($L$18:$L$379&lt;&gt;L493),0),0)),IFERROR(INDEX($L$381:$L$498,MATCH(1,INDEX(($A$381:$A$498=A493)*(IFERROR($B$381:$B$498&gt;=E493-30,0))*(IFERROR($B$381:$B$498&lt;=E493+30,0))*($G$381:$G$498&gt;0)*($L$381:$L$498&lt;&gt;L493),0),0)),"")),"")</f>
        <v/>
      </c>
      <c r="R493" s="35"/>
      <c r="S493" s="34" t="str">
        <f>IF(R493&lt;&gt;"",R493,Q493)</f>
        <v/>
      </c>
      <c r="T493" s="73">
        <f>IF(OR(N493="",O493=0),0,N493*O493)</f>
        <v>0</v>
      </c>
      <c r="U493" s="73">
        <f>IF(COUNTIF($S$18:$S$498,L493)=0,"",SUMIF($S$18:$S$498,L493,$T$18:$T$498))</f>
        <v>0</v>
      </c>
      <c r="V493" s="73" t="str">
        <f>IF(H493="","",IFERROR(H493+U493,H493))</f>
        <v/>
      </c>
      <c r="W493" s="73" t="str">
        <f>IF(OR(V493="",C493=""),"",V493/C493)</f>
        <v/>
      </c>
      <c r="X493" s="12" t="str">
        <f>IF(A493="","",IF(AND(U493&lt;&gt;"",U493&lt;&gt;0,M493=0),"Replacement lot receiving wash basis",IF(J493="","",IF(J493&gt;=0,"",IF(O493=0,"No replacement buy found",IF(P493&gt;1,"Manual selection needed","Auto matched"))))))</f>
        <v/>
      </c>
      <c r="Z493" t="str">
        <f>IF(K493="Yes",COUNTIF($K$18:K493,"Yes"),"")</f>
        <v/>
      </c>
    </row>
    <row r="494" spans="1:26" ht="34.15" hidden="1" customHeight="1" x14ac:dyDescent="0.2">
      <c r="A494" s="10"/>
      <c r="B494" s="71"/>
      <c r="C494" s="33"/>
      <c r="D494" s="72"/>
      <c r="E494" s="71"/>
      <c r="F494" s="72"/>
      <c r="G494" s="33"/>
      <c r="H494" s="73" t="str">
        <f>IF(OR(C494="",D494=""),"",C494*D494)</f>
        <v/>
      </c>
      <c r="I494" s="73" t="str">
        <f>IF(OR(E494="",F494="",M494&lt;=0),"",M494*F494)</f>
        <v/>
      </c>
      <c r="J494" s="73" t="str">
        <f>IF(I494="","",I494-(M494*D494))</f>
        <v/>
      </c>
      <c r="K494" s="29" t="str">
        <f>IF(A494="","",IF(T494&gt;0,"Yes","No"))</f>
        <v/>
      </c>
      <c r="L494" s="29" t="str">
        <f>IF(A494="","",A494&amp;"-"&amp;TEXT(B494,"yyyymmdd")&amp;"-R"&amp;ROW())</f>
        <v/>
      </c>
      <c r="M494" s="29" t="str">
        <f>IF(OR(C494="",G494=""),"",C494-G494)</f>
        <v/>
      </c>
      <c r="N494" s="73" t="str">
        <f>IF(OR(M494&lt;=0,J494&gt;=0),"",ABS(J494)/M494)</f>
        <v/>
      </c>
      <c r="O494" s="73" t="str">
        <f>IF(OR(A494="",M494&lt;=0,J494&gt;=0),"",MIN(M494,SUMPRODUCT(($A$18:$A$379=A494)*(IFERROR($B$18:$B$379&gt;=E494-30,0))*(IFERROR($B$18:$B$379&lt;=E494+30,0))*($G$18:$G$379&gt;0)*($L$18:$L$379&lt;&gt;L494)*($G$18:$G$379))+SUMPRODUCT(($A$381:$A$498=A494)*(IFERROR($B$381:$B$498&gt;=E494-30,0))*(IFERROR($B$381:$B$498&lt;=E494+30,0))*($G$381:$G$498&gt;0)*($L$381:$L$498&lt;&gt;L494)*($G$381:$G$498))))</f>
        <v/>
      </c>
      <c r="P494" s="29" t="str">
        <f>IF(OR(A494="",M494&lt;=0,J494&gt;=0),"",SUMPRODUCT(($A$18:$A$379=A494)*(IFERROR($B$18:$B$379&gt;=E494-30,0))*(IFERROR($B$18:$B$379&lt;=E494+30,0))*($G$18:$G$379&gt;0)*($L$18:$L$379&lt;&gt;L494))+SUMPRODUCT(($A$381:$A$498=A494)*(IFERROR($B$381:$B$498&gt;=E494-30,0))*(IFERROR($B$381:$B$498&lt;=E494+30,0))*($G$381:$G$498&gt;0)*($L$381:$L$498&lt;&gt;L494)))</f>
        <v/>
      </c>
      <c r="Q494" s="34" t="str">
        <f>IF(P494=1,IFERROR(INDEX($L$18:$L$379,MATCH(1,INDEX(($A$18:$A$379=A494)*(IFERROR($B$18:$B$379&gt;=E494-30,0))*(IFERROR($B$18:$B$379&lt;=E494+30,0))*($G$18:$G$379&gt;0)*($L$18:$L$379&lt;&gt;L494),0),0)),IFERROR(INDEX($L$381:$L$498,MATCH(1,INDEX(($A$381:$A$498=A494)*(IFERROR($B$381:$B$498&gt;=E494-30,0))*(IFERROR($B$381:$B$498&lt;=E494+30,0))*($G$381:$G$498&gt;0)*($L$381:$L$498&lt;&gt;L494),0),0)),"")),"")</f>
        <v/>
      </c>
      <c r="R494" s="35"/>
      <c r="S494" s="34" t="str">
        <f>IF(R494&lt;&gt;"",R494,Q494)</f>
        <v/>
      </c>
      <c r="T494" s="73">
        <f>IF(OR(N494="",O494=0),0,N494*O494)</f>
        <v>0</v>
      </c>
      <c r="U494" s="73">
        <f>IF(COUNTIF($S$18:$S$498,L494)=0,"",SUMIF($S$18:$S$498,L494,$T$18:$T$498))</f>
        <v>0</v>
      </c>
      <c r="V494" s="73" t="str">
        <f>IF(H494="","",IFERROR(H494+U494,H494))</f>
        <v/>
      </c>
      <c r="W494" s="73" t="str">
        <f>IF(OR(V494="",C494=""),"",V494/C494)</f>
        <v/>
      </c>
      <c r="X494" s="12" t="str">
        <f>IF(A494="","",IF(AND(U494&lt;&gt;"",U494&lt;&gt;0,M494=0),"Replacement lot receiving wash basis",IF(J494="","",IF(J494&gt;=0,"",IF(O494=0,"No replacement buy found",IF(P494&gt;1,"Manual selection needed","Auto matched"))))))</f>
        <v/>
      </c>
      <c r="Z494" t="str">
        <f>IF(K494="Yes",COUNTIF($K$18:K494,"Yes"),"")</f>
        <v/>
      </c>
    </row>
    <row r="495" spans="1:26" ht="34.15" hidden="1" customHeight="1" x14ac:dyDescent="0.2">
      <c r="A495" s="10"/>
      <c r="B495" s="71"/>
      <c r="C495" s="33"/>
      <c r="D495" s="72"/>
      <c r="E495" s="71"/>
      <c r="F495" s="72"/>
      <c r="G495" s="33"/>
      <c r="H495" s="73" t="str">
        <f>IF(OR(C495="",D495=""),"",C495*D495)</f>
        <v/>
      </c>
      <c r="I495" s="73" t="str">
        <f>IF(OR(E495="",F495="",M495&lt;=0),"",M495*F495)</f>
        <v/>
      </c>
      <c r="J495" s="73" t="str">
        <f>IF(I495="","",I495-(M495*D495))</f>
        <v/>
      </c>
      <c r="K495" s="29" t="str">
        <f>IF(A495="","",IF(T495&gt;0,"Yes","No"))</f>
        <v/>
      </c>
      <c r="L495" s="29" t="str">
        <f>IF(A495="","",A495&amp;"-"&amp;TEXT(B495,"yyyymmdd")&amp;"-R"&amp;ROW())</f>
        <v/>
      </c>
      <c r="M495" s="29" t="str">
        <f>IF(OR(C495="",G495=""),"",C495-G495)</f>
        <v/>
      </c>
      <c r="N495" s="73" t="str">
        <f>IF(OR(M495&lt;=0,J495&gt;=0),"",ABS(J495)/M495)</f>
        <v/>
      </c>
      <c r="O495" s="73" t="str">
        <f>IF(OR(A495="",M495&lt;=0,J495&gt;=0),"",MIN(M495,SUMPRODUCT(($A$18:$A$379=A495)*(IFERROR($B$18:$B$379&gt;=E495-30,0))*(IFERROR($B$18:$B$379&lt;=E495+30,0))*($G$18:$G$379&gt;0)*($L$18:$L$379&lt;&gt;L495)*($G$18:$G$379))+SUMPRODUCT(($A$381:$A$498=A495)*(IFERROR($B$381:$B$498&gt;=E495-30,0))*(IFERROR($B$381:$B$498&lt;=E495+30,0))*($G$381:$G$498&gt;0)*($L$381:$L$498&lt;&gt;L495)*($G$381:$G$498))))</f>
        <v/>
      </c>
      <c r="P495" s="29" t="str">
        <f>IF(OR(A495="",M495&lt;=0,J495&gt;=0),"",SUMPRODUCT(($A$18:$A$379=A495)*(IFERROR($B$18:$B$379&gt;=E495-30,0))*(IFERROR($B$18:$B$379&lt;=E495+30,0))*($G$18:$G$379&gt;0)*($L$18:$L$379&lt;&gt;L495))+SUMPRODUCT(($A$381:$A$498=A495)*(IFERROR($B$381:$B$498&gt;=E495-30,0))*(IFERROR($B$381:$B$498&lt;=E495+30,0))*($G$381:$G$498&gt;0)*($L$381:$L$498&lt;&gt;L495)))</f>
        <v/>
      </c>
      <c r="Q495" s="34" t="str">
        <f>IF(P495=1,IFERROR(INDEX($L$18:$L$379,MATCH(1,INDEX(($A$18:$A$379=A495)*(IFERROR($B$18:$B$379&gt;=E495-30,0))*(IFERROR($B$18:$B$379&lt;=E495+30,0))*($G$18:$G$379&gt;0)*($L$18:$L$379&lt;&gt;L495),0),0)),IFERROR(INDEX($L$381:$L$498,MATCH(1,INDEX(($A$381:$A$498=A495)*(IFERROR($B$381:$B$498&gt;=E495-30,0))*(IFERROR($B$381:$B$498&lt;=E495+30,0))*($G$381:$G$498&gt;0)*($L$381:$L$498&lt;&gt;L495),0),0)),"")),"")</f>
        <v/>
      </c>
      <c r="R495" s="35"/>
      <c r="S495" s="34" t="str">
        <f>IF(R495&lt;&gt;"",R495,Q495)</f>
        <v/>
      </c>
      <c r="T495" s="73">
        <f>IF(OR(N495="",O495=0),0,N495*O495)</f>
        <v>0</v>
      </c>
      <c r="U495" s="73">
        <f>IF(COUNTIF($S$18:$S$498,L495)=0,"",SUMIF($S$18:$S$498,L495,$T$18:$T$498))</f>
        <v>0</v>
      </c>
      <c r="V495" s="73" t="str">
        <f>IF(H495="","",IFERROR(H495+U495,H495))</f>
        <v/>
      </c>
      <c r="W495" s="73" t="str">
        <f>IF(OR(V495="",C495=""),"",V495/C495)</f>
        <v/>
      </c>
      <c r="X495" s="12" t="str">
        <f>IF(A495="","",IF(AND(U495&lt;&gt;"",U495&lt;&gt;0,M495=0),"Replacement lot receiving wash basis",IF(J495="","",IF(J495&gt;=0,"",IF(O495=0,"No replacement buy found",IF(P495&gt;1,"Manual selection needed","Auto matched"))))))</f>
        <v/>
      </c>
      <c r="Z495" t="str">
        <f>IF(K495="Yes",COUNTIF($K$18:K495,"Yes"),"")</f>
        <v/>
      </c>
    </row>
    <row r="496" spans="1:26" ht="34.15" hidden="1" customHeight="1" x14ac:dyDescent="0.2">
      <c r="A496" s="10"/>
      <c r="B496" s="71"/>
      <c r="C496" s="33"/>
      <c r="D496" s="72"/>
      <c r="E496" s="71"/>
      <c r="F496" s="72"/>
      <c r="G496" s="33"/>
      <c r="H496" s="73" t="str">
        <f>IF(OR(C496="",D496=""),"",C496*D496)</f>
        <v/>
      </c>
      <c r="I496" s="73" t="str">
        <f>IF(OR(E496="",F496="",M496&lt;=0),"",M496*F496)</f>
        <v/>
      </c>
      <c r="J496" s="73" t="str">
        <f>IF(I496="","",I496-(M496*D496))</f>
        <v/>
      </c>
      <c r="K496" s="29" t="str">
        <f>IF(A496="","",IF(T496&gt;0,"Yes","No"))</f>
        <v/>
      </c>
      <c r="L496" s="29" t="str">
        <f>IF(A496="","",A496&amp;"-"&amp;TEXT(B496,"yyyymmdd")&amp;"-R"&amp;ROW())</f>
        <v/>
      </c>
      <c r="M496" s="29" t="str">
        <f>IF(OR(C496="",G496=""),"",C496-G496)</f>
        <v/>
      </c>
      <c r="N496" s="73" t="str">
        <f>IF(OR(M496&lt;=0,J496&gt;=0),"",ABS(J496)/M496)</f>
        <v/>
      </c>
      <c r="O496" s="73" t="str">
        <f>IF(OR(A496="",M496&lt;=0,J496&gt;=0),"",MIN(M496,SUMPRODUCT(($A$18:$A$379=A496)*(IFERROR($B$18:$B$379&gt;=E496-30,0))*(IFERROR($B$18:$B$379&lt;=E496+30,0))*($G$18:$G$379&gt;0)*($L$18:$L$379&lt;&gt;L496)*($G$18:$G$379))+SUMPRODUCT(($A$381:$A$498=A496)*(IFERROR($B$381:$B$498&gt;=E496-30,0))*(IFERROR($B$381:$B$498&lt;=E496+30,0))*($G$381:$G$498&gt;0)*($L$381:$L$498&lt;&gt;L496)*($G$381:$G$498))))</f>
        <v/>
      </c>
      <c r="P496" s="29" t="str">
        <f>IF(OR(A496="",M496&lt;=0,J496&gt;=0),"",SUMPRODUCT(($A$18:$A$379=A496)*(IFERROR($B$18:$B$379&gt;=E496-30,0))*(IFERROR($B$18:$B$379&lt;=E496+30,0))*($G$18:$G$379&gt;0)*($L$18:$L$379&lt;&gt;L496))+SUMPRODUCT(($A$381:$A$498=A496)*(IFERROR($B$381:$B$498&gt;=E496-30,0))*(IFERROR($B$381:$B$498&lt;=E496+30,0))*($G$381:$G$498&gt;0)*($L$381:$L$498&lt;&gt;L496)))</f>
        <v/>
      </c>
      <c r="Q496" s="34" t="str">
        <f>IF(P496=1,IFERROR(INDEX($L$18:$L$379,MATCH(1,INDEX(($A$18:$A$379=A496)*(IFERROR($B$18:$B$379&gt;=E496-30,0))*(IFERROR($B$18:$B$379&lt;=E496+30,0))*($G$18:$G$379&gt;0)*($L$18:$L$379&lt;&gt;L496),0),0)),IFERROR(INDEX($L$381:$L$498,MATCH(1,INDEX(($A$381:$A$498=A496)*(IFERROR($B$381:$B$498&gt;=E496-30,0))*(IFERROR($B$381:$B$498&lt;=E496+30,0))*($G$381:$G$498&gt;0)*($L$381:$L$498&lt;&gt;L496),0),0)),"")),"")</f>
        <v/>
      </c>
      <c r="R496" s="35"/>
      <c r="S496" s="34" t="str">
        <f>IF(R496&lt;&gt;"",R496,Q496)</f>
        <v/>
      </c>
      <c r="T496" s="73">
        <f>IF(OR(N496="",O496=0),0,N496*O496)</f>
        <v>0</v>
      </c>
      <c r="U496" s="73">
        <f>IF(COUNTIF($S$18:$S$498,L496)=0,"",SUMIF($S$18:$S$498,L496,$T$18:$T$498))</f>
        <v>0</v>
      </c>
      <c r="V496" s="73" t="str">
        <f>IF(H496="","",IFERROR(H496+U496,H496))</f>
        <v/>
      </c>
      <c r="W496" s="73" t="str">
        <f>IF(OR(V496="",C496=""),"",V496/C496)</f>
        <v/>
      </c>
      <c r="X496" s="12" t="str">
        <f>IF(A496="","",IF(AND(U496&lt;&gt;"",U496&lt;&gt;0,M496=0),"Replacement lot receiving wash basis",IF(J496="","",IF(J496&gt;=0,"",IF(O496=0,"No replacement buy found",IF(P496&gt;1,"Manual selection needed","Auto matched"))))))</f>
        <v/>
      </c>
      <c r="Z496" t="str">
        <f>IF(K496="Yes",COUNTIF($K$18:K496,"Yes"),"")</f>
        <v/>
      </c>
    </row>
    <row r="497" spans="1:26" ht="34.15" hidden="1" customHeight="1" x14ac:dyDescent="0.2">
      <c r="A497" s="10"/>
      <c r="B497" s="71"/>
      <c r="C497" s="33"/>
      <c r="D497" s="72"/>
      <c r="E497" s="71"/>
      <c r="F497" s="72"/>
      <c r="G497" s="33"/>
      <c r="H497" s="73" t="str">
        <f>IF(OR(C497="",D497=""),"",C497*D497)</f>
        <v/>
      </c>
      <c r="I497" s="73" t="str">
        <f>IF(OR(E497="",F497="",M497&lt;=0),"",M497*F497)</f>
        <v/>
      </c>
      <c r="J497" s="73" t="str">
        <f>IF(I497="","",I497-(M497*D497))</f>
        <v/>
      </c>
      <c r="K497" s="29" t="str">
        <f>IF(A497="","",IF(T497&gt;0,"Yes","No"))</f>
        <v/>
      </c>
      <c r="L497" s="29" t="str">
        <f>IF(A497="","",A497&amp;"-"&amp;TEXT(B497,"yyyymmdd")&amp;"-R"&amp;ROW())</f>
        <v/>
      </c>
      <c r="M497" s="29" t="str">
        <f>IF(OR(C497="",G497=""),"",C497-G497)</f>
        <v/>
      </c>
      <c r="N497" s="73" t="str">
        <f>IF(OR(M497&lt;=0,J497&gt;=0),"",ABS(J497)/M497)</f>
        <v/>
      </c>
      <c r="O497" s="73" t="str">
        <f>IF(OR(A497="",M497&lt;=0,J497&gt;=0),"",MIN(M497,SUMPRODUCT(($A$18:$A$379=A497)*(IFERROR($B$18:$B$379&gt;=E497-30,0))*(IFERROR($B$18:$B$379&lt;=E497+30,0))*($G$18:$G$379&gt;0)*($L$18:$L$379&lt;&gt;L497)*($G$18:$G$379))+SUMPRODUCT(($A$381:$A$498=A497)*(IFERROR($B$381:$B$498&gt;=E497-30,0))*(IFERROR($B$381:$B$498&lt;=E497+30,0))*($G$381:$G$498&gt;0)*($L$381:$L$498&lt;&gt;L497)*($G$381:$G$498))))</f>
        <v/>
      </c>
      <c r="P497" s="29" t="str">
        <f>IF(OR(A497="",M497&lt;=0,J497&gt;=0),"",SUMPRODUCT(($A$18:$A$379=A497)*(IFERROR($B$18:$B$379&gt;=E497-30,0))*(IFERROR($B$18:$B$379&lt;=E497+30,0))*($G$18:$G$379&gt;0)*($L$18:$L$379&lt;&gt;L497))+SUMPRODUCT(($A$381:$A$498=A497)*(IFERROR($B$381:$B$498&gt;=E497-30,0))*(IFERROR($B$381:$B$498&lt;=E497+30,0))*($G$381:$G$498&gt;0)*($L$381:$L$498&lt;&gt;L497)))</f>
        <v/>
      </c>
      <c r="Q497" s="34" t="str">
        <f>IF(P497=1,IFERROR(INDEX($L$18:$L$379,MATCH(1,INDEX(($A$18:$A$379=A497)*(IFERROR($B$18:$B$379&gt;=E497-30,0))*(IFERROR($B$18:$B$379&lt;=E497+30,0))*($G$18:$G$379&gt;0)*($L$18:$L$379&lt;&gt;L497),0),0)),IFERROR(INDEX($L$381:$L$498,MATCH(1,INDEX(($A$381:$A$498=A497)*(IFERROR($B$381:$B$498&gt;=E497-30,0))*(IFERROR($B$381:$B$498&lt;=E497+30,0))*($G$381:$G$498&gt;0)*($L$381:$L$498&lt;&gt;L497),0),0)),"")),"")</f>
        <v/>
      </c>
      <c r="R497" s="35"/>
      <c r="S497" s="34" t="str">
        <f>IF(R497&lt;&gt;"",R497,Q497)</f>
        <v/>
      </c>
      <c r="T497" s="73">
        <f>IF(OR(N497="",O497=0),0,N497*O497)</f>
        <v>0</v>
      </c>
      <c r="U497" s="73">
        <f>IF(COUNTIF($S$18:$S$498,L497)=0,"",SUMIF($S$18:$S$498,L497,$T$18:$T$498))</f>
        <v>0</v>
      </c>
      <c r="V497" s="73" t="str">
        <f>IF(H497="","",IFERROR(H497+U497,H497))</f>
        <v/>
      </c>
      <c r="W497" s="73" t="str">
        <f>IF(OR(V497="",C497=""),"",V497/C497)</f>
        <v/>
      </c>
      <c r="X497" s="12" t="str">
        <f>IF(A497="","",IF(AND(U497&lt;&gt;"",U497&lt;&gt;0,M497=0),"Replacement lot receiving wash basis",IF(J497="","",IF(J497&gt;=0,"",IF(O497=0,"No replacement buy found",IF(P497&gt;1,"Manual selection needed","Auto matched"))))))</f>
        <v/>
      </c>
      <c r="Z497" t="str">
        <f>IF(K497="Yes",COUNTIF($K$18:K497,"Yes"),"")</f>
        <v/>
      </c>
    </row>
    <row r="498" spans="1:26" ht="34.15" hidden="1" customHeight="1" x14ac:dyDescent="0.2">
      <c r="A498" s="10"/>
      <c r="B498" s="71"/>
      <c r="C498" s="33"/>
      <c r="D498" s="72"/>
      <c r="E498" s="71"/>
      <c r="F498" s="72"/>
      <c r="G498" s="33"/>
      <c r="H498" s="73" t="str">
        <f>IF(OR(C498="",D498=""),"",C498*D498)</f>
        <v/>
      </c>
      <c r="I498" s="73" t="str">
        <f>IF(OR(E498="",F498="",M498&lt;=0),"",M498*F498)</f>
        <v/>
      </c>
      <c r="J498" s="73" t="str">
        <f>IF(I498="","",I498-(M498*D498))</f>
        <v/>
      </c>
      <c r="K498" s="29" t="str">
        <f>IF(A498="","",IF(T498&gt;0,"Yes","No"))</f>
        <v/>
      </c>
      <c r="L498" s="29" t="str">
        <f>IF(A498="","",A498&amp;"-"&amp;TEXT(B498,"yyyymmdd")&amp;"-R"&amp;ROW())</f>
        <v/>
      </c>
      <c r="M498" s="29" t="str">
        <f>IF(OR(C498="",G498=""),"",C498-G498)</f>
        <v/>
      </c>
      <c r="N498" s="73" t="str">
        <f>IF(OR(M498&lt;=0,J498&gt;=0),"",ABS(J498)/M498)</f>
        <v/>
      </c>
      <c r="O498" s="73" t="str">
        <f>IF(OR(A498="",M498&lt;=0,J498&gt;=0),"",MIN(M498,SUMPRODUCT(($A$18:$A$379=A498)*(IFERROR($B$18:$B$379&gt;=E498-30,0))*(IFERROR($B$18:$B$379&lt;=E498+30,0))*($G$18:$G$379&gt;0)*($L$18:$L$379&lt;&gt;L498)*($G$18:$G$379))+SUMPRODUCT(($A$381:$A$498=A498)*(IFERROR($B$381:$B$498&gt;=E498-30,0))*(IFERROR($B$381:$B$498&lt;=E498+30,0))*($G$381:$G$498&gt;0)*($L$381:$L$498&lt;&gt;L498)*($G$381:$G$498))))</f>
        <v/>
      </c>
      <c r="P498" s="29" t="str">
        <f>IF(OR(A498="",M498&lt;=0,J498&gt;=0),"",SUMPRODUCT(($A$18:$A$379=A498)*(IFERROR($B$18:$B$379&gt;=E498-30,0))*(IFERROR($B$18:$B$379&lt;=E498+30,0))*($G$18:$G$379&gt;0)*($L$18:$L$379&lt;&gt;L498))+SUMPRODUCT(($A$381:$A$498=A498)*(IFERROR($B$381:$B$498&gt;=E498-30,0))*(IFERROR($B$381:$B$498&lt;=E498+30,0))*($G$381:$G$498&gt;0)*($L$381:$L$498&lt;&gt;L498)))</f>
        <v/>
      </c>
      <c r="Q498" s="34" t="str">
        <f>IF(P498=1,IFERROR(INDEX($L$18:$L$379,MATCH(1,INDEX(($A$18:$A$379=A498)*(IFERROR($B$18:$B$379&gt;=E498-30,0))*(IFERROR($B$18:$B$379&lt;=E498+30,0))*($G$18:$G$379&gt;0)*($L$18:$L$379&lt;&gt;L498),0),0)),IFERROR(INDEX($L$381:$L$498,MATCH(1,INDEX(($A$381:$A$498=A498)*(IFERROR($B$381:$B$498&gt;=E498-30,0))*(IFERROR($B$381:$B$498&lt;=E498+30,0))*($G$381:$G$498&gt;0)*($L$381:$L$498&lt;&gt;L498),0),0)),"")),"")</f>
        <v/>
      </c>
      <c r="R498" s="35"/>
      <c r="S498" s="34" t="str">
        <f>IF(R498&lt;&gt;"",R498,Q498)</f>
        <v/>
      </c>
      <c r="T498" s="73">
        <f>IF(OR(N498="",O498=0),0,N498*O498)</f>
        <v>0</v>
      </c>
      <c r="U498" s="73">
        <f>IF(COUNTIF($S$18:$S$498,L498)=0,"",SUMIF($S$18:$S$498,L498,$T$18:$T$498))</f>
        <v>0</v>
      </c>
      <c r="V498" s="73" t="str">
        <f>IF(H498="","",IFERROR(H498+U498,H498))</f>
        <v/>
      </c>
      <c r="W498" s="73" t="str">
        <f>IF(OR(V498="",C498=""),"",V498/C498)</f>
        <v/>
      </c>
      <c r="X498" s="12" t="str">
        <f>IF(A498="","",IF(AND(U498&lt;&gt;"",U498&lt;&gt;0,M498=0),"Replacement lot receiving wash basis",IF(J498="","",IF(J498&gt;=0,"",IF(O498=0,"No replacement buy found",IF(P498&gt;1,"Manual selection needed","Auto matched"))))))</f>
        <v/>
      </c>
      <c r="Z498" t="str">
        <f>IF(K498="Yes",COUNTIF($K$18:K498,"Yes"),"")</f>
        <v/>
      </c>
    </row>
  </sheetData>
  <mergeCells count="12">
    <mergeCell ref="A1:X1"/>
    <mergeCell ref="A379:X379"/>
    <mergeCell ref="M10:P10"/>
    <mergeCell ref="A4:I4"/>
    <mergeCell ref="M9:P9"/>
    <mergeCell ref="M5:P5"/>
    <mergeCell ref="M8:P8"/>
    <mergeCell ref="A16:X16"/>
    <mergeCell ref="M7:P7"/>
    <mergeCell ref="K4:P4"/>
    <mergeCell ref="M11:P11"/>
    <mergeCell ref="M6:P6"/>
  </mergeCells>
  <conditionalFormatting sqref="E18:E87">
    <cfRule type="expression" dxfId="3" priority="6">
      <formula>AND(E18&lt;&gt;"",E18&lt;B18)</formula>
    </cfRule>
  </conditionalFormatting>
  <conditionalFormatting sqref="E97">
    <cfRule type="expression" dxfId="2" priority="2">
      <formula>AND(E97&lt;&gt;"",E97&lt;B97)</formula>
    </cfRule>
  </conditionalFormatting>
  <conditionalFormatting sqref="G18:G87">
    <cfRule type="expression" dxfId="1" priority="5">
      <formula>G18&gt;C18</formula>
    </cfRule>
  </conditionalFormatting>
  <conditionalFormatting sqref="G97">
    <cfRule type="expression" dxfId="0" priority="1">
      <formula>G97&gt;C97</formula>
    </cfRule>
  </conditionalFormatting>
  <dataValidations count="2">
    <dataValidation type="date" errorStyle="warning" allowBlank="1" showErrorMessage="1" errorTitle="Invalid date" error="Enter a valid trade date between 2020 and 2035." sqref="B18:B77 B81:B86 E18:E77 E81:E86" xr:uid="{00000000-0002-0000-0000-000000000000}">
      <formula1>DATE(2020,1,1)</formula1>
      <formula2>DATE(2035,12,31)</formula2>
    </dataValidation>
    <dataValidation type="decimal" errorStyle="warning" operator="greaterThanOrEqual" allowBlank="1" showErrorMessage="1" errorTitle="Invalid number" error="Enter a non-negative number." sqref="C18:D77 C81:D86 F18:G77 F81:G86" xr:uid="{00000000-0002-0000-0000-000001000000}">
      <formula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791"/>
  <sheetViews>
    <sheetView workbookViewId="0">
      <pane ySplit="9" topLeftCell="A10" activePane="bottomLeft" state="frozen"/>
      <selection activeCell="J1" sqref="J1"/>
      <selection pane="bottomLeft" activeCell="A22" sqref="A22"/>
    </sheetView>
  </sheetViews>
  <sheetFormatPr defaultRowHeight="15" x14ac:dyDescent="0.2"/>
  <cols>
    <col min="1" max="1" width="11.97265625" style="53" customWidth="1"/>
    <col min="2" max="2" width="9.953125" style="53" customWidth="1"/>
    <col min="3" max="3" width="18.0234375" style="53" customWidth="1"/>
    <col min="4" max="4" width="11.97265625" style="53" customWidth="1"/>
    <col min="5" max="6" width="13.98828125" style="53" customWidth="1"/>
    <col min="7" max="7" width="18.0234375" style="53" customWidth="1"/>
    <col min="8" max="8" width="20.04296875" style="53" customWidth="1"/>
    <col min="9" max="11" width="22.05859375" style="53" customWidth="1"/>
    <col min="12" max="12" width="14.9296875" style="53" customWidth="1"/>
    <col min="13" max="13" width="22.05859375" style="53" customWidth="1"/>
    <col min="14" max="14" width="26.09765625" style="53" customWidth="1"/>
  </cols>
  <sheetData>
    <row r="1" spans="1:14" ht="24" customHeight="1" thickBot="1" x14ac:dyDescent="0.25">
      <c r="A1" s="77" t="s">
        <v>65</v>
      </c>
      <c r="B1" s="78"/>
      <c r="C1" s="78"/>
      <c r="D1" s="78"/>
      <c r="E1" s="78"/>
      <c r="F1" s="78"/>
      <c r="G1" s="78"/>
      <c r="H1" s="78"/>
      <c r="I1" s="78"/>
      <c r="J1" s="78"/>
      <c r="K1" s="78"/>
      <c r="L1" s="78"/>
      <c r="M1" s="78"/>
    </row>
    <row r="2" spans="1:14" ht="24" customHeight="1" x14ac:dyDescent="0.2">
      <c r="A2" s="91" t="s">
        <v>66</v>
      </c>
      <c r="B2" s="83"/>
      <c r="C2" s="83"/>
      <c r="D2" s="83"/>
      <c r="E2" s="83"/>
      <c r="F2" s="83"/>
      <c r="G2" s="83"/>
      <c r="H2" s="83"/>
      <c r="I2" s="83"/>
      <c r="J2" s="83"/>
      <c r="K2" s="83"/>
      <c r="L2" s="83"/>
      <c r="M2" s="84"/>
    </row>
    <row r="3" spans="1:14" ht="20.100000000000001" customHeight="1" x14ac:dyDescent="0.2">
      <c r="A3" s="55"/>
      <c r="B3" s="55"/>
      <c r="C3" s="55"/>
      <c r="D3" s="55"/>
      <c r="E3" s="55"/>
      <c r="F3" s="55"/>
      <c r="G3" s="55"/>
      <c r="H3" s="55"/>
      <c r="I3" s="55"/>
      <c r="J3" s="55"/>
      <c r="K3" s="55"/>
      <c r="L3" s="55"/>
      <c r="M3" s="55"/>
    </row>
    <row r="4" spans="1:14" ht="30" customHeight="1" thickBot="1" x14ac:dyDescent="0.25">
      <c r="A4" s="77" t="s">
        <v>67</v>
      </c>
      <c r="B4" s="78"/>
      <c r="C4" s="78"/>
      <c r="D4" s="78"/>
      <c r="E4" s="78"/>
      <c r="F4" s="78"/>
      <c r="G4" s="78"/>
      <c r="H4" s="78"/>
      <c r="I4" s="78"/>
      <c r="J4" s="78"/>
      <c r="K4" s="78"/>
      <c r="L4" s="78"/>
      <c r="M4" s="78"/>
    </row>
    <row r="5" spans="1:14" s="54" customFormat="1" ht="20.100000000000001" customHeight="1" x14ac:dyDescent="0.2">
      <c r="A5" s="91" t="s">
        <v>68</v>
      </c>
      <c r="B5" s="83"/>
      <c r="C5" s="83"/>
      <c r="D5" s="83"/>
      <c r="E5" s="83"/>
      <c r="F5" s="83"/>
      <c r="G5" s="83"/>
      <c r="H5" s="83"/>
      <c r="I5" s="83"/>
      <c r="J5" s="83"/>
      <c r="K5" s="83"/>
      <c r="L5" s="83"/>
      <c r="M5" s="84"/>
    </row>
    <row r="6" spans="1:14" s="54" customFormat="1" ht="20.100000000000001" customHeight="1" x14ac:dyDescent="0.2">
      <c r="A6" s="92" t="s">
        <v>69</v>
      </c>
      <c r="B6" s="93"/>
      <c r="C6" s="93"/>
      <c r="D6" s="93"/>
      <c r="E6" s="93"/>
      <c r="F6" s="93"/>
      <c r="G6" s="93"/>
      <c r="H6" s="93"/>
      <c r="I6" s="93"/>
      <c r="J6" s="93"/>
      <c r="K6" s="93"/>
      <c r="L6" s="93"/>
      <c r="M6" s="81"/>
    </row>
    <row r="7" spans="1:14" s="54" customFormat="1" ht="20.100000000000001" customHeight="1" x14ac:dyDescent="0.2">
      <c r="A7" s="92" t="s">
        <v>70</v>
      </c>
      <c r="B7" s="93"/>
      <c r="C7" s="93"/>
      <c r="D7" s="93"/>
      <c r="E7" s="93"/>
      <c r="F7" s="93"/>
      <c r="G7" s="93"/>
      <c r="H7" s="93"/>
      <c r="I7" s="93"/>
      <c r="J7" s="93"/>
      <c r="K7" s="93"/>
      <c r="L7" s="93"/>
      <c r="M7" s="81"/>
    </row>
    <row r="8" spans="1:14" s="54" customFormat="1" ht="30" customHeight="1" x14ac:dyDescent="0.2">
      <c r="A8" s="50"/>
      <c r="B8" s="50"/>
      <c r="C8" s="50"/>
      <c r="D8" s="50"/>
      <c r="E8" s="50"/>
      <c r="F8" s="50"/>
      <c r="G8" s="50"/>
      <c r="H8" s="50"/>
      <c r="I8" s="50"/>
      <c r="J8" s="50"/>
      <c r="K8" s="50"/>
      <c r="L8" s="50"/>
      <c r="M8" s="50"/>
    </row>
    <row r="9" spans="1:14" ht="51.2" customHeight="1" thickBot="1" x14ac:dyDescent="0.25">
      <c r="A9" s="6" t="s">
        <v>71</v>
      </c>
      <c r="B9" s="6" t="s">
        <v>4</v>
      </c>
      <c r="C9" s="6" t="s">
        <v>72</v>
      </c>
      <c r="D9" s="6" t="s">
        <v>42</v>
      </c>
      <c r="E9" s="6" t="s">
        <v>73</v>
      </c>
      <c r="F9" s="6" t="s">
        <v>74</v>
      </c>
      <c r="G9" s="6" t="s">
        <v>57</v>
      </c>
      <c r="H9" s="6" t="s">
        <v>75</v>
      </c>
      <c r="I9" s="6" t="s">
        <v>76</v>
      </c>
      <c r="J9" s="6"/>
      <c r="K9" s="6"/>
      <c r="L9" s="6"/>
      <c r="M9" s="6"/>
      <c r="N9" s="6"/>
    </row>
    <row r="10" spans="1:14" s="54" customFormat="1" ht="33.75" customHeight="1" x14ac:dyDescent="0.2">
      <c r="A10" s="9" t="str">
        <f>IFERROR(MATCH(1,'Wash Sale Tracker'!$Z$18:$Z$498,0)+17,"")</f>
        <v/>
      </c>
      <c r="B10" s="69" t="str">
        <f>IF($A10="","",INDEX('Wash Sale Tracker'!$A:$A,$A10))</f>
        <v/>
      </c>
      <c r="C10" s="30" t="str">
        <f>IF($A10="","",INDEX('Wash Sale Tracker'!$L:$L,$A10))</f>
        <v/>
      </c>
      <c r="D10" s="69" t="str">
        <f>IF($A10="","",INDEX('Wash Sale Tracker'!$E:$E,$A10))</f>
        <v/>
      </c>
      <c r="E10" s="51" t="str">
        <f>IF($A10="","",ABS(INDEX('Wash Sale Tracker'!$J:$J,$A10)))</f>
        <v/>
      </c>
      <c r="F10" s="51" t="str">
        <f>IF($A10="","",INDEX('Wash Sale Tracker'!$O:$O,$A10))</f>
        <v/>
      </c>
      <c r="G10" s="51" t="str">
        <f>IF($A10="","",INDEX('Wash Sale Tracker'!$T:$T,$A10))</f>
        <v/>
      </c>
      <c r="H10" s="63" t="str">
        <f>IF($A10="","",INDEX('Wash Sale Tracker'!$S:$S,$A10))</f>
        <v/>
      </c>
      <c r="I10" s="63" t="str">
        <f>IF($A10="","",INDEX('Wash Sale Tracker'!$X:$X,$A10))</f>
        <v/>
      </c>
      <c r="J10" s="17" t="s">
        <v>54</v>
      </c>
      <c r="K10" s="17" t="s">
        <v>55</v>
      </c>
      <c r="L10" s="17" t="s">
        <v>56</v>
      </c>
      <c r="M10" s="17" t="s">
        <v>57</v>
      </c>
      <c r="N10" s="17" t="s">
        <v>61</v>
      </c>
    </row>
    <row r="11" spans="1:14" ht="20.100000000000001" customHeight="1" thickBot="1" x14ac:dyDescent="0.25">
      <c r="A11" s="9" t="str">
        <f>IFERROR(MATCH(2,'Wash Sale Tracker'!$Z$18:$Z$498,0)+17,"")</f>
        <v/>
      </c>
      <c r="B11" s="69" t="str">
        <f>IF($A11="","",INDEX('Wash Sale Tracker'!$A:$A,$A11))</f>
        <v/>
      </c>
      <c r="C11" s="30" t="str">
        <f>IF($A11="","",INDEX('Wash Sale Tracker'!$L:$L,$A11))</f>
        <v/>
      </c>
      <c r="D11" s="69" t="str">
        <f>IF($A11="","",INDEX('Wash Sale Tracker'!$E:$E,$A11))</f>
        <v/>
      </c>
      <c r="E11" s="51" t="str">
        <f>IF($A11="","",ABS(INDEX('Wash Sale Tracker'!$J:$J,$A11)))</f>
        <v/>
      </c>
      <c r="F11" s="51" t="str">
        <f>IF($A11="","",INDEX('Wash Sale Tracker'!$O:$O,$A11))</f>
        <v/>
      </c>
      <c r="G11" s="51" t="str">
        <f>IF($A11="","",INDEX('Wash Sale Tracker'!$T:$T,$A11))</f>
        <v/>
      </c>
      <c r="H11" s="63" t="str">
        <f>IF($A11="","",INDEX('Wash Sale Tracker'!$S:$S,$A11))</f>
        <v/>
      </c>
      <c r="I11" s="63" t="str">
        <f>IF($A11="","",INDEX('Wash Sale Tracker'!$X:$X,$A11))</f>
        <v/>
      </c>
      <c r="J11" s="25"/>
      <c r="K11" s="24"/>
      <c r="L11" s="74"/>
      <c r="M11" s="24"/>
      <c r="N11" s="6"/>
    </row>
    <row r="12" spans="1:14" ht="20.100000000000001" customHeight="1" x14ac:dyDescent="0.2">
      <c r="A12" s="9" t="str">
        <f>IFERROR(MATCH(3,'Wash Sale Tracker'!$Z$18:$Z$498,0)+17,"")</f>
        <v/>
      </c>
      <c r="B12" s="69" t="str">
        <f>IF($A12="","",INDEX('Wash Sale Tracker'!$A:$A,$A12))</f>
        <v/>
      </c>
      <c r="C12" s="30" t="str">
        <f>IF($A12="","",INDEX('Wash Sale Tracker'!$L:$L,$A12))</f>
        <v/>
      </c>
      <c r="D12" s="69" t="str">
        <f>IF($A12="","",INDEX('Wash Sale Tracker'!$E:$E,$A12))</f>
        <v/>
      </c>
      <c r="E12" s="51" t="str">
        <f>IF($A12="","",ABS(INDEX('Wash Sale Tracker'!$J:$J,$A12)))</f>
        <v/>
      </c>
      <c r="F12" s="51" t="str">
        <f>IF($A12="","",INDEX('Wash Sale Tracker'!$O:$O,$A12))</f>
        <v/>
      </c>
      <c r="G12" s="51" t="str">
        <f>IF($A12="","",INDEX('Wash Sale Tracker'!$T:$T,$A12))</f>
        <v/>
      </c>
      <c r="H12" s="63" t="str">
        <f>IF($A12="","",INDEX('Wash Sale Tracker'!$S:$S,$A12))</f>
        <v/>
      </c>
      <c r="I12" s="63" t="str">
        <f>IF($A12="","",INDEX('Wash Sale Tracker'!$X:$X,$A12))</f>
        <v/>
      </c>
      <c r="J12" s="25"/>
      <c r="K12" s="24"/>
      <c r="L12" s="74"/>
      <c r="M12" s="24"/>
      <c r="N12" s="17"/>
    </row>
    <row r="13" spans="1:14" ht="20.100000000000001" customHeight="1" x14ac:dyDescent="0.2">
      <c r="A13" s="9" t="str">
        <f>IFERROR(MATCH(4,'Wash Sale Tracker'!$Z$18:$Z$498,0)+17,"")</f>
        <v/>
      </c>
      <c r="B13" s="69" t="str">
        <f>IF($A13="","",INDEX('Wash Sale Tracker'!$A:$A,$A13))</f>
        <v/>
      </c>
      <c r="C13" s="30" t="str">
        <f>IF($A13="","",INDEX('Wash Sale Tracker'!$L:$L,$A13))</f>
        <v/>
      </c>
      <c r="D13" s="69" t="str">
        <f>IF($A13="","",INDEX('Wash Sale Tracker'!$E:$E,$A13))</f>
        <v/>
      </c>
      <c r="E13" s="51" t="str">
        <f>IF($A13="","",ABS(INDEX('Wash Sale Tracker'!$J:$J,$A13)))</f>
        <v/>
      </c>
      <c r="F13" s="51" t="str">
        <f>IF($A13="","",INDEX('Wash Sale Tracker'!$O:$O,$A13))</f>
        <v/>
      </c>
      <c r="G13" s="51" t="str">
        <f>IF($A13="","",INDEX('Wash Sale Tracker'!$T:$T,$A13))</f>
        <v/>
      </c>
      <c r="H13" s="63" t="str">
        <f>IF($A13="","",INDEX('Wash Sale Tracker'!$S:$S,$A13))</f>
        <v/>
      </c>
      <c r="I13" s="63" t="str">
        <f>IF($A13="","",INDEX('Wash Sale Tracker'!$X:$X,$A13))</f>
        <v/>
      </c>
      <c r="J13" s="25"/>
      <c r="K13" s="24"/>
      <c r="L13" s="74"/>
      <c r="M13" s="24"/>
    </row>
    <row r="14" spans="1:14" ht="20.100000000000001" customHeight="1" x14ac:dyDescent="0.2">
      <c r="A14" s="9" t="str">
        <f>IFERROR(MATCH(5,'Wash Sale Tracker'!$Z$18:$Z$498,0)+17,"")</f>
        <v/>
      </c>
      <c r="B14" s="69" t="str">
        <f>IF($A14="","",INDEX('Wash Sale Tracker'!$A:$A,$A14))</f>
        <v/>
      </c>
      <c r="C14" s="30" t="str">
        <f>IF($A14="","",INDEX('Wash Sale Tracker'!$L:$L,$A14))</f>
        <v/>
      </c>
      <c r="D14" s="69" t="str">
        <f>IF($A14="","",INDEX('Wash Sale Tracker'!$E:$E,$A14))</f>
        <v/>
      </c>
      <c r="E14" s="51" t="str">
        <f>IF($A14="","",ABS(INDEX('Wash Sale Tracker'!$J:$J,$A14)))</f>
        <v/>
      </c>
      <c r="F14" s="51" t="str">
        <f>IF($A14="","",INDEX('Wash Sale Tracker'!$O:$O,$A14))</f>
        <v/>
      </c>
      <c r="G14" s="51" t="str">
        <f>IF($A14="","",INDEX('Wash Sale Tracker'!$T:$T,$A14))</f>
        <v/>
      </c>
      <c r="H14" s="63" t="str">
        <f>IF($A14="","",INDEX('Wash Sale Tracker'!$S:$S,$A14))</f>
        <v/>
      </c>
      <c r="I14" s="63" t="str">
        <f>IF($A14="","",INDEX('Wash Sale Tracker'!$X:$X,$A14))</f>
        <v/>
      </c>
      <c r="J14" s="25"/>
      <c r="K14" s="24"/>
      <c r="L14" s="74"/>
      <c r="M14" s="24"/>
    </row>
    <row r="15" spans="1:14" ht="20.100000000000001" customHeight="1" x14ac:dyDescent="0.2">
      <c r="A15" s="9" t="str">
        <f>IFERROR(MATCH(6,'Wash Sale Tracker'!$Z$18:$Z$498,0)+17,"")</f>
        <v/>
      </c>
      <c r="B15" s="69" t="str">
        <f>IF($A15="","",INDEX('Wash Sale Tracker'!$A:$A,$A15))</f>
        <v/>
      </c>
      <c r="C15" s="30" t="str">
        <f>IF($A15="","",INDEX('Wash Sale Tracker'!$L:$L,$A15))</f>
        <v/>
      </c>
      <c r="D15" s="69" t="str">
        <f>IF($A15="","",INDEX('Wash Sale Tracker'!$E:$E,$A15))</f>
        <v/>
      </c>
      <c r="E15" s="51" t="str">
        <f>IF($A15="","",ABS(INDEX('Wash Sale Tracker'!$J:$J,$A15)))</f>
        <v/>
      </c>
      <c r="F15" s="51" t="str">
        <f>IF($A15="","",INDEX('Wash Sale Tracker'!$O:$O,$A15))</f>
        <v/>
      </c>
      <c r="G15" s="51" t="str">
        <f>IF($A15="","",INDEX('Wash Sale Tracker'!$T:$T,$A15))</f>
        <v/>
      </c>
      <c r="H15" s="63" t="str">
        <f>IF($A15="","",INDEX('Wash Sale Tracker'!$S:$S,$A15))</f>
        <v/>
      </c>
      <c r="I15" s="63" t="str">
        <f>IF($A15="","",INDEX('Wash Sale Tracker'!$X:$X,$A15))</f>
        <v/>
      </c>
      <c r="J15" s="25"/>
      <c r="K15" s="24"/>
      <c r="L15" s="74"/>
      <c r="M15" s="24"/>
    </row>
    <row r="16" spans="1:14" ht="20.100000000000001" customHeight="1" x14ac:dyDescent="0.2">
      <c r="A16" s="9" t="str">
        <f>IFERROR(MATCH(7,'Wash Sale Tracker'!$Z$18:$Z$498,0)+17,"")</f>
        <v/>
      </c>
      <c r="B16" s="69" t="str">
        <f>IF($A16="","",INDEX('Wash Sale Tracker'!$A:$A,$A16))</f>
        <v/>
      </c>
      <c r="C16" s="30" t="str">
        <f>IF($A16="","",INDEX('Wash Sale Tracker'!$L:$L,$A16))</f>
        <v/>
      </c>
      <c r="D16" s="69" t="str">
        <f>IF($A16="","",INDEX('Wash Sale Tracker'!$E:$E,$A16))</f>
        <v/>
      </c>
      <c r="E16" s="51" t="str">
        <f>IF($A16="","",ABS(INDEX('Wash Sale Tracker'!$J:$J,$A16)))</f>
        <v/>
      </c>
      <c r="F16" s="51" t="str">
        <f>IF($A16="","",INDEX('Wash Sale Tracker'!$O:$O,$A16))</f>
        <v/>
      </c>
      <c r="G16" s="51" t="str">
        <f>IF($A16="","",INDEX('Wash Sale Tracker'!$T:$T,$A16))</f>
        <v/>
      </c>
      <c r="H16" s="63" t="str">
        <f>IF($A16="","",INDEX('Wash Sale Tracker'!$S:$S,$A16))</f>
        <v/>
      </c>
      <c r="I16" s="63" t="str">
        <f>IF($A16="","",INDEX('Wash Sale Tracker'!$X:$X,$A16))</f>
        <v/>
      </c>
      <c r="J16" s="25"/>
      <c r="K16" s="24"/>
      <c r="L16" s="74"/>
      <c r="M16" s="24"/>
    </row>
    <row r="17" spans="1:13" ht="20.100000000000001" customHeight="1" x14ac:dyDescent="0.2">
      <c r="A17" s="9" t="str">
        <f>IFERROR(MATCH(8,'Wash Sale Tracker'!$Z$18:$Z$498,0)+17,"")</f>
        <v/>
      </c>
      <c r="B17" s="69" t="str">
        <f>IF($A17="","",INDEX('Wash Sale Tracker'!$A:$A,$A17))</f>
        <v/>
      </c>
      <c r="C17" s="30" t="str">
        <f>IF($A17="","",INDEX('Wash Sale Tracker'!$L:$L,$A17))</f>
        <v/>
      </c>
      <c r="D17" s="69" t="str">
        <f>IF($A17="","",INDEX('Wash Sale Tracker'!$E:$E,$A17))</f>
        <v/>
      </c>
      <c r="E17" s="51" t="str">
        <f>IF($A17="","",ABS(INDEX('Wash Sale Tracker'!$J:$J,$A17)))</f>
        <v/>
      </c>
      <c r="F17" s="51" t="str">
        <f>IF($A17="","",INDEX('Wash Sale Tracker'!$O:$O,$A17))</f>
        <v/>
      </c>
      <c r="G17" s="51" t="str">
        <f>IF($A17="","",INDEX('Wash Sale Tracker'!$T:$T,$A17))</f>
        <v/>
      </c>
      <c r="H17" s="63" t="str">
        <f>IF($A17="","",INDEX('Wash Sale Tracker'!$S:$S,$A17))</f>
        <v/>
      </c>
      <c r="I17" s="63" t="str">
        <f>IF($A17="","",INDEX('Wash Sale Tracker'!$X:$X,$A17))</f>
        <v/>
      </c>
      <c r="J17" s="25"/>
      <c r="K17" s="24"/>
      <c r="L17" s="74"/>
      <c r="M17" s="24"/>
    </row>
    <row r="18" spans="1:13" ht="20.100000000000001" customHeight="1" x14ac:dyDescent="0.2">
      <c r="A18" s="9" t="str">
        <f>IFERROR(MATCH(9,'Wash Sale Tracker'!$Z$18:$Z$498,0)+17,"")</f>
        <v/>
      </c>
      <c r="B18" s="69" t="str">
        <f>IF($A18="","",INDEX('Wash Sale Tracker'!$A:$A,$A18))</f>
        <v/>
      </c>
      <c r="C18" s="30" t="str">
        <f>IF($A18="","",INDEX('Wash Sale Tracker'!$L:$L,$A18))</f>
        <v/>
      </c>
      <c r="D18" s="69" t="str">
        <f>IF($A18="","",INDEX('Wash Sale Tracker'!$E:$E,$A18))</f>
        <v/>
      </c>
      <c r="E18" s="51" t="str">
        <f>IF($A18="","",ABS(INDEX('Wash Sale Tracker'!$J:$J,$A18)))</f>
        <v/>
      </c>
      <c r="F18" s="51" t="str">
        <f>IF($A18="","",INDEX('Wash Sale Tracker'!$O:$O,$A18))</f>
        <v/>
      </c>
      <c r="G18" s="51" t="str">
        <f>IF($A18="","",INDEX('Wash Sale Tracker'!$T:$T,$A18))</f>
        <v/>
      </c>
      <c r="H18" s="63" t="str">
        <f>IF($A18="","",INDEX('Wash Sale Tracker'!$S:$S,$A18))</f>
        <v/>
      </c>
      <c r="I18" s="63" t="str">
        <f>IF($A18="","",INDEX('Wash Sale Tracker'!$X:$X,$A18))</f>
        <v/>
      </c>
      <c r="J18" s="25"/>
      <c r="K18" s="24"/>
      <c r="L18" s="74"/>
      <c r="M18" s="24"/>
    </row>
    <row r="19" spans="1:13" ht="20.100000000000001" customHeight="1" x14ac:dyDescent="0.2">
      <c r="A19" s="9" t="str">
        <f>IFERROR(MATCH(10,'Wash Sale Tracker'!$Z$18:$Z$498,0)+17,"")</f>
        <v/>
      </c>
      <c r="B19" s="69" t="str">
        <f>IF($A19="","",INDEX('Wash Sale Tracker'!$A:$A,$A19))</f>
        <v/>
      </c>
      <c r="C19" s="30" t="str">
        <f>IF($A19="","",INDEX('Wash Sale Tracker'!$L:$L,$A19))</f>
        <v/>
      </c>
      <c r="D19" s="69" t="str">
        <f>IF($A19="","",INDEX('Wash Sale Tracker'!$E:$E,$A19))</f>
        <v/>
      </c>
      <c r="E19" s="51" t="str">
        <f>IF($A19="","",ABS(INDEX('Wash Sale Tracker'!$J:$J,$A19)))</f>
        <v/>
      </c>
      <c r="F19" s="51" t="str">
        <f>IF($A19="","",INDEX('Wash Sale Tracker'!$O:$O,$A19))</f>
        <v/>
      </c>
      <c r="G19" s="51" t="str">
        <f>IF($A19="","",INDEX('Wash Sale Tracker'!$T:$T,$A19))</f>
        <v/>
      </c>
      <c r="H19" s="63" t="str">
        <f>IF($A19="","",INDEX('Wash Sale Tracker'!$S:$S,$A19))</f>
        <v/>
      </c>
      <c r="I19" s="63" t="str">
        <f>IF($A19="","",INDEX('Wash Sale Tracker'!$X:$X,$A19))</f>
        <v/>
      </c>
      <c r="J19" s="25"/>
      <c r="K19" s="24"/>
      <c r="L19" s="74"/>
      <c r="M19" s="24"/>
    </row>
    <row r="20" spans="1:13" ht="20.100000000000001" customHeight="1" x14ac:dyDescent="0.2">
      <c r="A20" s="9" t="str">
        <f>IFERROR(MATCH(11,'Wash Sale Tracker'!$Z$18:$Z$498,0)+17,"")</f>
        <v/>
      </c>
      <c r="B20" s="69" t="str">
        <f>IF($A20="","",INDEX('Wash Sale Tracker'!$A:$A,$A20))</f>
        <v/>
      </c>
      <c r="C20" s="30" t="str">
        <f>IF($A20="","",INDEX('Wash Sale Tracker'!$L:$L,$A20))</f>
        <v/>
      </c>
      <c r="D20" s="69" t="str">
        <f>IF($A20="","",INDEX('Wash Sale Tracker'!$E:$E,$A20))</f>
        <v/>
      </c>
      <c r="E20" s="51" t="str">
        <f>IF($A20="","",ABS(INDEX('Wash Sale Tracker'!$J:$J,$A20)))</f>
        <v/>
      </c>
      <c r="F20" s="51" t="str">
        <f>IF($A20="","",INDEX('Wash Sale Tracker'!$O:$O,$A20))</f>
        <v/>
      </c>
      <c r="G20" s="51" t="str">
        <f>IF($A20="","",INDEX('Wash Sale Tracker'!$T:$T,$A20))</f>
        <v/>
      </c>
      <c r="H20" s="63" t="str">
        <f>IF($A20="","",INDEX('Wash Sale Tracker'!$S:$S,$A20))</f>
        <v/>
      </c>
      <c r="I20" s="63" t="str">
        <f>IF($A20="","",INDEX('Wash Sale Tracker'!$X:$X,$A20))</f>
        <v/>
      </c>
      <c r="J20" s="25"/>
      <c r="K20" s="24"/>
      <c r="L20" s="74"/>
      <c r="M20" s="24"/>
    </row>
    <row r="21" spans="1:13" ht="20.100000000000001" customHeight="1" x14ac:dyDescent="0.2">
      <c r="A21" s="9" t="str">
        <f>IFERROR(MATCH(12,'Wash Sale Tracker'!$Z$18:$Z$498,0)+17,"")</f>
        <v/>
      </c>
      <c r="B21" s="69" t="str">
        <f>IF($A21="","",INDEX('Wash Sale Tracker'!$A:$A,$A21))</f>
        <v/>
      </c>
      <c r="C21" s="30" t="str">
        <f>IF($A21="","",INDEX('Wash Sale Tracker'!$L:$L,$A21))</f>
        <v/>
      </c>
      <c r="D21" s="69" t="str">
        <f>IF($A21="","",INDEX('Wash Sale Tracker'!$E:$E,$A21))</f>
        <v/>
      </c>
      <c r="E21" s="51" t="str">
        <f>IF($A21="","",ABS(INDEX('Wash Sale Tracker'!$J:$J,$A21)))</f>
        <v/>
      </c>
      <c r="F21" s="51" t="str">
        <f>IF($A21="","",INDEX('Wash Sale Tracker'!$O:$O,$A21))</f>
        <v/>
      </c>
      <c r="G21" s="51" t="str">
        <f>IF($A21="","",INDEX('Wash Sale Tracker'!$T:$T,$A21))</f>
        <v/>
      </c>
      <c r="H21" s="63" t="str">
        <f>IF($A21="","",INDEX('Wash Sale Tracker'!$S:$S,$A21))</f>
        <v/>
      </c>
      <c r="I21" s="63" t="str">
        <f>IF($A21="","",INDEX('Wash Sale Tracker'!$X:$X,$A21))</f>
        <v/>
      </c>
      <c r="J21" s="25"/>
      <c r="K21" s="24"/>
      <c r="L21" s="74"/>
      <c r="M21" s="24"/>
    </row>
    <row r="22" spans="1:13" ht="20.100000000000001" customHeight="1" x14ac:dyDescent="0.2">
      <c r="A22" s="9" t="str">
        <f>IFERROR(MATCH(13,'Wash Sale Tracker'!$Z$18:$Z$498,0)+17,"")</f>
        <v/>
      </c>
      <c r="B22" s="69" t="str">
        <f>IF($A22="","",INDEX('Wash Sale Tracker'!$A:$A,$A22))</f>
        <v/>
      </c>
      <c r="C22" s="30" t="str">
        <f>IF($A22="","",INDEX('Wash Sale Tracker'!$L:$L,$A22))</f>
        <v/>
      </c>
      <c r="D22" s="69" t="str">
        <f>IF($A22="","",INDEX('Wash Sale Tracker'!$E:$E,$A22))</f>
        <v/>
      </c>
      <c r="E22" s="51" t="str">
        <f>IF($A22="","",ABS(INDEX('Wash Sale Tracker'!$J:$J,$A22)))</f>
        <v/>
      </c>
      <c r="F22" s="51" t="str">
        <f>IF($A22="","",INDEX('Wash Sale Tracker'!$O:$O,$A22))</f>
        <v/>
      </c>
      <c r="G22" s="51" t="str">
        <f>IF($A22="","",INDEX('Wash Sale Tracker'!$T:$T,$A22))</f>
        <v/>
      </c>
      <c r="H22" s="63" t="str">
        <f>IF($A22="","",INDEX('Wash Sale Tracker'!$S:$S,$A22))</f>
        <v/>
      </c>
      <c r="I22" s="63" t="str">
        <f>IF($A22="","",INDEX('Wash Sale Tracker'!$X:$X,$A22))</f>
        <v/>
      </c>
      <c r="J22" s="25"/>
      <c r="K22" s="24"/>
      <c r="L22" s="74"/>
      <c r="M22" s="24"/>
    </row>
    <row r="23" spans="1:13" ht="20.100000000000001" customHeight="1" x14ac:dyDescent="0.2">
      <c r="A23" s="9" t="str">
        <f>IFERROR(MATCH(14,'Wash Sale Tracker'!$Z$18:$Z$498,0)+17,"")</f>
        <v/>
      </c>
      <c r="B23" s="69" t="str">
        <f>IF($A23="","",INDEX('Wash Sale Tracker'!$A:$A,$A23))</f>
        <v/>
      </c>
      <c r="C23" s="30" t="str">
        <f>IF($A23="","",INDEX('Wash Sale Tracker'!$L:$L,$A23))</f>
        <v/>
      </c>
      <c r="D23" s="69" t="str">
        <f>IF($A23="","",INDEX('Wash Sale Tracker'!$E:$E,$A23))</f>
        <v/>
      </c>
      <c r="E23" s="51" t="str">
        <f>IF($A23="","",ABS(INDEX('Wash Sale Tracker'!$J:$J,$A23)))</f>
        <v/>
      </c>
      <c r="F23" s="51" t="str">
        <f>IF($A23="","",INDEX('Wash Sale Tracker'!$O:$O,$A23))</f>
        <v/>
      </c>
      <c r="G23" s="51" t="str">
        <f>IF($A23="","",INDEX('Wash Sale Tracker'!$T:$T,$A23))</f>
        <v/>
      </c>
      <c r="H23" s="63" t="str">
        <f>IF($A23="","",INDEX('Wash Sale Tracker'!$S:$S,$A23))</f>
        <v/>
      </c>
      <c r="I23" s="63" t="str">
        <f>IF($A23="","",INDEX('Wash Sale Tracker'!$X:$X,$A23))</f>
        <v/>
      </c>
      <c r="J23" s="25"/>
      <c r="K23" s="24"/>
      <c r="L23" s="74"/>
      <c r="M23" s="24"/>
    </row>
    <row r="24" spans="1:13" ht="20.100000000000001" customHeight="1" x14ac:dyDescent="0.2">
      <c r="A24" s="9" t="str">
        <f>IFERROR(MATCH(15,'Wash Sale Tracker'!$Z$18:$Z$498,0)+17,"")</f>
        <v/>
      </c>
      <c r="B24" s="69" t="str">
        <f>IF($A24="","",INDEX('Wash Sale Tracker'!$A:$A,$A24))</f>
        <v/>
      </c>
      <c r="C24" s="30" t="str">
        <f>IF($A24="","",INDEX('Wash Sale Tracker'!$L:$L,$A24))</f>
        <v/>
      </c>
      <c r="D24" s="69" t="str">
        <f>IF($A24="","",INDEX('Wash Sale Tracker'!$E:$E,$A24))</f>
        <v/>
      </c>
      <c r="E24" s="51" t="str">
        <f>IF($A24="","",ABS(INDEX('Wash Sale Tracker'!$J:$J,$A24)))</f>
        <v/>
      </c>
      <c r="F24" s="51" t="str">
        <f>IF($A24="","",INDEX('Wash Sale Tracker'!$O:$O,$A24))</f>
        <v/>
      </c>
      <c r="G24" s="51" t="str">
        <f>IF($A24="","",INDEX('Wash Sale Tracker'!$T:$T,$A24))</f>
        <v/>
      </c>
      <c r="H24" s="63" t="str">
        <f>IF($A24="","",INDEX('Wash Sale Tracker'!$S:$S,$A24))</f>
        <v/>
      </c>
      <c r="I24" s="63" t="str">
        <f>IF($A24="","",INDEX('Wash Sale Tracker'!$X:$X,$A24))</f>
        <v/>
      </c>
      <c r="J24" s="25"/>
      <c r="K24" s="24"/>
      <c r="L24" s="74"/>
      <c r="M24" s="24"/>
    </row>
    <row r="25" spans="1:13" ht="20.100000000000001" customHeight="1" x14ac:dyDescent="0.2">
      <c r="A25" s="9" t="str">
        <f>IFERROR(MATCH(16,'Wash Sale Tracker'!$Z$18:$Z$498,0)+17,"")</f>
        <v/>
      </c>
      <c r="B25" s="69" t="str">
        <f>IF($A25="","",INDEX('Wash Sale Tracker'!$A:$A,$A25))</f>
        <v/>
      </c>
      <c r="C25" s="30" t="str">
        <f>IF($A25="","",INDEX('Wash Sale Tracker'!$L:$L,$A25))</f>
        <v/>
      </c>
      <c r="D25" s="69" t="str">
        <f>IF($A25="","",INDEX('Wash Sale Tracker'!$E:$E,$A25))</f>
        <v/>
      </c>
      <c r="E25" s="51" t="str">
        <f>IF($A25="","",ABS(INDEX('Wash Sale Tracker'!$J:$J,$A25)))</f>
        <v/>
      </c>
      <c r="F25" s="51" t="str">
        <f>IF($A25="","",INDEX('Wash Sale Tracker'!$O:$O,$A25))</f>
        <v/>
      </c>
      <c r="G25" s="51" t="str">
        <f>IF($A25="","",INDEX('Wash Sale Tracker'!$T:$T,$A25))</f>
        <v/>
      </c>
      <c r="H25" s="63" t="str">
        <f>IF($A25="","",INDEX('Wash Sale Tracker'!$S:$S,$A25))</f>
        <v/>
      </c>
      <c r="I25" s="63" t="str">
        <f>IF($A25="","",INDEX('Wash Sale Tracker'!$X:$X,$A25))</f>
        <v/>
      </c>
      <c r="J25" s="25"/>
      <c r="K25" s="24"/>
      <c r="L25" s="74"/>
      <c r="M25" s="24"/>
    </row>
    <row r="26" spans="1:13" ht="20.100000000000001" customHeight="1" x14ac:dyDescent="0.2">
      <c r="A26" s="9" t="str">
        <f>IFERROR(MATCH(17,'Wash Sale Tracker'!$Z$18:$Z$498,0)+17,"")</f>
        <v/>
      </c>
      <c r="B26" s="69" t="str">
        <f>IF($A26="","",INDEX('Wash Sale Tracker'!$A:$A,$A26))</f>
        <v/>
      </c>
      <c r="C26" s="30" t="str">
        <f>IF($A26="","",INDEX('Wash Sale Tracker'!$L:$L,$A26))</f>
        <v/>
      </c>
      <c r="D26" s="69" t="str">
        <f>IF($A26="","",INDEX('Wash Sale Tracker'!$E:$E,$A26))</f>
        <v/>
      </c>
      <c r="E26" s="51" t="str">
        <f>IF($A26="","",ABS(INDEX('Wash Sale Tracker'!$J:$J,$A26)))</f>
        <v/>
      </c>
      <c r="F26" s="51" t="str">
        <f>IF($A26="","",INDEX('Wash Sale Tracker'!$O:$O,$A26))</f>
        <v/>
      </c>
      <c r="G26" s="51" t="str">
        <f>IF($A26="","",INDEX('Wash Sale Tracker'!$T:$T,$A26))</f>
        <v/>
      </c>
      <c r="H26" s="63" t="str">
        <f>IF($A26="","",INDEX('Wash Sale Tracker'!$S:$S,$A26))</f>
        <v/>
      </c>
      <c r="I26" s="63" t="str">
        <f>IF($A26="","",INDEX('Wash Sale Tracker'!$X:$X,$A26))</f>
        <v/>
      </c>
      <c r="J26" s="25"/>
      <c r="K26" s="24"/>
      <c r="L26" s="74"/>
      <c r="M26" s="24"/>
    </row>
    <row r="27" spans="1:13" ht="20.100000000000001" customHeight="1" x14ac:dyDescent="0.2">
      <c r="A27" s="9" t="str">
        <f>IFERROR(MATCH(18,'Wash Sale Tracker'!$Z$18:$Z$498,0)+17,"")</f>
        <v/>
      </c>
      <c r="B27" s="69" t="str">
        <f>IF($A27="","",INDEX('Wash Sale Tracker'!$A:$A,$A27))</f>
        <v/>
      </c>
      <c r="C27" s="30" t="str">
        <f>IF($A27="","",INDEX('Wash Sale Tracker'!$L:$L,$A27))</f>
        <v/>
      </c>
      <c r="D27" s="69" t="str">
        <f>IF($A27="","",INDEX('Wash Sale Tracker'!$E:$E,$A27))</f>
        <v/>
      </c>
      <c r="E27" s="51" t="str">
        <f>IF($A27="","",ABS(INDEX('Wash Sale Tracker'!$J:$J,$A27)))</f>
        <v/>
      </c>
      <c r="F27" s="51" t="str">
        <f>IF($A27="","",INDEX('Wash Sale Tracker'!$O:$O,$A27))</f>
        <v/>
      </c>
      <c r="G27" s="51" t="str">
        <f>IF($A27="","",INDEX('Wash Sale Tracker'!$T:$T,$A27))</f>
        <v/>
      </c>
      <c r="H27" s="63" t="str">
        <f>IF($A27="","",INDEX('Wash Sale Tracker'!$S:$S,$A27))</f>
        <v/>
      </c>
      <c r="I27" s="63" t="str">
        <f>IF($A27="","",INDEX('Wash Sale Tracker'!$X:$X,$A27))</f>
        <v/>
      </c>
      <c r="J27" s="25"/>
      <c r="K27" s="24"/>
      <c r="L27" s="74"/>
      <c r="M27" s="24"/>
    </row>
    <row r="28" spans="1:13" ht="20.100000000000001" customHeight="1" x14ac:dyDescent="0.2">
      <c r="A28" s="9" t="str">
        <f>IFERROR(MATCH(19,'Wash Sale Tracker'!$Z$18:$Z$498,0)+17,"")</f>
        <v/>
      </c>
      <c r="B28" s="69" t="str">
        <f>IF($A28="","",INDEX('Wash Sale Tracker'!$A:$A,$A28))</f>
        <v/>
      </c>
      <c r="C28" s="30" t="str">
        <f>IF($A28="","",INDEX('Wash Sale Tracker'!$L:$L,$A28))</f>
        <v/>
      </c>
      <c r="D28" s="69" t="str">
        <f>IF($A28="","",INDEX('Wash Sale Tracker'!$E:$E,$A28))</f>
        <v/>
      </c>
      <c r="E28" s="51" t="str">
        <f>IF($A28="","",ABS(INDEX('Wash Sale Tracker'!$J:$J,$A28)))</f>
        <v/>
      </c>
      <c r="F28" s="51" t="str">
        <f>IF($A28="","",INDEX('Wash Sale Tracker'!$O:$O,$A28))</f>
        <v/>
      </c>
      <c r="G28" s="51" t="str">
        <f>IF($A28="","",INDEX('Wash Sale Tracker'!$T:$T,$A28))</f>
        <v/>
      </c>
      <c r="H28" s="63" t="str">
        <f>IF($A28="","",INDEX('Wash Sale Tracker'!$S:$S,$A28))</f>
        <v/>
      </c>
      <c r="I28" s="63" t="str">
        <f>IF($A28="","",INDEX('Wash Sale Tracker'!$X:$X,$A28))</f>
        <v/>
      </c>
      <c r="J28" s="25"/>
      <c r="K28" s="24"/>
      <c r="L28" s="74"/>
      <c r="M28" s="24"/>
    </row>
    <row r="29" spans="1:13" ht="20.100000000000001" customHeight="1" x14ac:dyDescent="0.2">
      <c r="A29" s="9" t="str">
        <f>IFERROR(MATCH(20,'Wash Sale Tracker'!$Z$18:$Z$498,0)+17,"")</f>
        <v/>
      </c>
      <c r="B29" s="69" t="str">
        <f>IF($A29="","",INDEX('Wash Sale Tracker'!$A:$A,$A29))</f>
        <v/>
      </c>
      <c r="C29" s="30" t="str">
        <f>IF($A29="","",INDEX('Wash Sale Tracker'!$L:$L,$A29))</f>
        <v/>
      </c>
      <c r="D29" s="69" t="str">
        <f>IF($A29="","",INDEX('Wash Sale Tracker'!$E:$E,$A29))</f>
        <v/>
      </c>
      <c r="E29" s="51" t="str">
        <f>IF($A29="","",ABS(INDEX('Wash Sale Tracker'!$J:$J,$A29)))</f>
        <v/>
      </c>
      <c r="F29" s="51" t="str">
        <f>IF($A29="","",INDEX('Wash Sale Tracker'!$O:$O,$A29))</f>
        <v/>
      </c>
      <c r="G29" s="51" t="str">
        <f>IF($A29="","",INDEX('Wash Sale Tracker'!$T:$T,$A29))</f>
        <v/>
      </c>
      <c r="H29" s="63" t="str">
        <f>IF($A29="","",INDEX('Wash Sale Tracker'!$S:$S,$A29))</f>
        <v/>
      </c>
      <c r="I29" s="63" t="str">
        <f>IF($A29="","",INDEX('Wash Sale Tracker'!$X:$X,$A29))</f>
        <v/>
      </c>
      <c r="J29" s="25"/>
      <c r="K29" s="24"/>
      <c r="L29" s="74"/>
      <c r="M29" s="24"/>
    </row>
    <row r="30" spans="1:13" ht="20.100000000000001" customHeight="1" x14ac:dyDescent="0.2">
      <c r="A30" s="9" t="str">
        <f>IFERROR(MATCH(21,'Wash Sale Tracker'!$Z$18:$Z$498,0)+17,"")</f>
        <v/>
      </c>
      <c r="B30" s="69" t="str">
        <f>IF($A30="","",INDEX('Wash Sale Tracker'!$A:$A,$A30))</f>
        <v/>
      </c>
      <c r="C30" s="30" t="str">
        <f>IF($A30="","",INDEX('Wash Sale Tracker'!$L:$L,$A30))</f>
        <v/>
      </c>
      <c r="D30" s="69" t="str">
        <f>IF($A30="","",INDEX('Wash Sale Tracker'!$E:$E,$A30))</f>
        <v/>
      </c>
      <c r="E30" s="51" t="str">
        <f>IF($A30="","",ABS(INDEX('Wash Sale Tracker'!$J:$J,$A30)))</f>
        <v/>
      </c>
      <c r="F30" s="51" t="str">
        <f>IF($A30="","",INDEX('Wash Sale Tracker'!$O:$O,$A30))</f>
        <v/>
      </c>
      <c r="G30" s="51" t="str">
        <f>IF($A30="","",INDEX('Wash Sale Tracker'!$T:$T,$A30))</f>
        <v/>
      </c>
      <c r="H30" s="63" t="str">
        <f>IF($A30="","",INDEX('Wash Sale Tracker'!$S:$S,$A30))</f>
        <v/>
      </c>
      <c r="I30" s="63" t="str">
        <f>IF($A30="","",INDEX('Wash Sale Tracker'!$X:$X,$A30))</f>
        <v/>
      </c>
      <c r="J30" s="25"/>
      <c r="K30" s="24"/>
      <c r="L30" s="74"/>
      <c r="M30" s="24"/>
    </row>
    <row r="31" spans="1:13" ht="20.100000000000001" customHeight="1" x14ac:dyDescent="0.2">
      <c r="A31" s="9" t="str">
        <f>IFERROR(MATCH(22,'Wash Sale Tracker'!$Z$18:$Z$498,0)+17,"")</f>
        <v/>
      </c>
      <c r="B31" s="69" t="str">
        <f>IF($A31="","",INDEX('Wash Sale Tracker'!$A:$A,$A31))</f>
        <v/>
      </c>
      <c r="C31" s="30" t="str">
        <f>IF($A31="","",INDEX('Wash Sale Tracker'!$L:$L,$A31))</f>
        <v/>
      </c>
      <c r="D31" s="69" t="str">
        <f>IF($A31="","",INDEX('Wash Sale Tracker'!$E:$E,$A31))</f>
        <v/>
      </c>
      <c r="E31" s="51" t="str">
        <f>IF($A31="","",ABS(INDEX('Wash Sale Tracker'!$J:$J,$A31)))</f>
        <v/>
      </c>
      <c r="F31" s="51" t="str">
        <f>IF($A31="","",INDEX('Wash Sale Tracker'!$O:$O,$A31))</f>
        <v/>
      </c>
      <c r="G31" s="51" t="str">
        <f>IF($A31="","",INDEX('Wash Sale Tracker'!$T:$T,$A31))</f>
        <v/>
      </c>
      <c r="H31" s="63" t="str">
        <f>IF($A31="","",INDEX('Wash Sale Tracker'!$S:$S,$A31))</f>
        <v/>
      </c>
      <c r="I31" s="63" t="str">
        <f>IF($A31="","",INDEX('Wash Sale Tracker'!$X:$X,$A31))</f>
        <v/>
      </c>
      <c r="J31" s="25"/>
      <c r="K31" s="24"/>
      <c r="L31" s="74"/>
      <c r="M31" s="24"/>
    </row>
    <row r="32" spans="1:13" ht="20.100000000000001" customHeight="1" x14ac:dyDescent="0.2">
      <c r="A32" s="9" t="str">
        <f>IFERROR(MATCH(23,'Wash Sale Tracker'!$Z$18:$Z$498,0)+17,"")</f>
        <v/>
      </c>
      <c r="B32" s="69" t="str">
        <f>IF($A32="","",INDEX('Wash Sale Tracker'!$A:$A,$A32))</f>
        <v/>
      </c>
      <c r="C32" s="30" t="str">
        <f>IF($A32="","",INDEX('Wash Sale Tracker'!$L:$L,$A32))</f>
        <v/>
      </c>
      <c r="D32" s="69" t="str">
        <f>IF($A32="","",INDEX('Wash Sale Tracker'!$E:$E,$A32))</f>
        <v/>
      </c>
      <c r="E32" s="51" t="str">
        <f>IF($A32="","",ABS(INDEX('Wash Sale Tracker'!$J:$J,$A32)))</f>
        <v/>
      </c>
      <c r="F32" s="51" t="str">
        <f>IF($A32="","",INDEX('Wash Sale Tracker'!$O:$O,$A32))</f>
        <v/>
      </c>
      <c r="G32" s="51" t="str">
        <f>IF($A32="","",INDEX('Wash Sale Tracker'!$T:$T,$A32))</f>
        <v/>
      </c>
      <c r="H32" s="63" t="str">
        <f>IF($A32="","",INDEX('Wash Sale Tracker'!$S:$S,$A32))</f>
        <v/>
      </c>
      <c r="I32" s="63" t="str">
        <f>IF($A32="","",INDEX('Wash Sale Tracker'!$X:$X,$A32))</f>
        <v/>
      </c>
      <c r="J32" s="25"/>
      <c r="K32" s="24"/>
      <c r="L32" s="74"/>
      <c r="M32" s="24"/>
    </row>
    <row r="33" spans="1:13" ht="20.100000000000001" customHeight="1" x14ac:dyDescent="0.2">
      <c r="A33" s="9" t="str">
        <f>IFERROR(MATCH(24,'Wash Sale Tracker'!$Z$18:$Z$498,0)+17,"")</f>
        <v/>
      </c>
      <c r="B33" s="69" t="str">
        <f>IF($A33="","",INDEX('Wash Sale Tracker'!$A:$A,$A33))</f>
        <v/>
      </c>
      <c r="C33" s="30" t="str">
        <f>IF($A33="","",INDEX('Wash Sale Tracker'!$L:$L,$A33))</f>
        <v/>
      </c>
      <c r="D33" s="69" t="str">
        <f>IF($A33="","",INDEX('Wash Sale Tracker'!$E:$E,$A33))</f>
        <v/>
      </c>
      <c r="E33" s="51" t="str">
        <f>IF($A33="","",ABS(INDEX('Wash Sale Tracker'!$J:$J,$A33)))</f>
        <v/>
      </c>
      <c r="F33" s="51" t="str">
        <f>IF($A33="","",INDEX('Wash Sale Tracker'!$O:$O,$A33))</f>
        <v/>
      </c>
      <c r="G33" s="51" t="str">
        <f>IF($A33="","",INDEX('Wash Sale Tracker'!$T:$T,$A33))</f>
        <v/>
      </c>
      <c r="H33" s="63" t="str">
        <f>IF($A33="","",INDEX('Wash Sale Tracker'!$S:$S,$A33))</f>
        <v/>
      </c>
      <c r="I33" s="63" t="str">
        <f>IF($A33="","",INDEX('Wash Sale Tracker'!$X:$X,$A33))</f>
        <v/>
      </c>
      <c r="J33" s="25"/>
      <c r="K33" s="24"/>
      <c r="L33" s="74"/>
      <c r="M33" s="24"/>
    </row>
    <row r="34" spans="1:13" ht="20.100000000000001" customHeight="1" x14ac:dyDescent="0.2">
      <c r="A34" s="9" t="str">
        <f>IFERROR(MATCH(25,'Wash Sale Tracker'!$Z$18:$Z$498,0)+17,"")</f>
        <v/>
      </c>
      <c r="B34" s="69" t="str">
        <f>IF($A34="","",INDEX('Wash Sale Tracker'!$A:$A,$A34))</f>
        <v/>
      </c>
      <c r="C34" s="30" t="str">
        <f>IF($A34="","",INDEX('Wash Sale Tracker'!$L:$L,$A34))</f>
        <v/>
      </c>
      <c r="D34" s="69" t="str">
        <f>IF($A34="","",INDEX('Wash Sale Tracker'!$E:$E,$A34))</f>
        <v/>
      </c>
      <c r="E34" s="51" t="str">
        <f>IF($A34="","",ABS(INDEX('Wash Sale Tracker'!$J:$J,$A34)))</f>
        <v/>
      </c>
      <c r="F34" s="51" t="str">
        <f>IF($A34="","",INDEX('Wash Sale Tracker'!$O:$O,$A34))</f>
        <v/>
      </c>
      <c r="G34" s="51" t="str">
        <f>IF($A34="","",INDEX('Wash Sale Tracker'!$T:$T,$A34))</f>
        <v/>
      </c>
      <c r="H34" s="63" t="str">
        <f>IF($A34="","",INDEX('Wash Sale Tracker'!$S:$S,$A34))</f>
        <v/>
      </c>
      <c r="I34" s="63" t="str">
        <f>IF($A34="","",INDEX('Wash Sale Tracker'!$X:$X,$A34))</f>
        <v/>
      </c>
      <c r="J34" s="25"/>
      <c r="K34" s="24"/>
      <c r="L34" s="74"/>
      <c r="M34" s="24"/>
    </row>
    <row r="35" spans="1:13" ht="20.100000000000001" customHeight="1" x14ac:dyDescent="0.2">
      <c r="A35" s="9" t="str">
        <f>IFERROR(MATCH(26,'Wash Sale Tracker'!$Z$18:$Z$498,0)+17,"")</f>
        <v/>
      </c>
      <c r="B35" s="69" t="str">
        <f>IF($A35="","",INDEX('Wash Sale Tracker'!$A:$A,$A35))</f>
        <v/>
      </c>
      <c r="C35" s="30" t="str">
        <f>IF($A35="","",INDEX('Wash Sale Tracker'!$L:$L,$A35))</f>
        <v/>
      </c>
      <c r="D35" s="69" t="str">
        <f>IF($A35="","",INDEX('Wash Sale Tracker'!$E:$E,$A35))</f>
        <v/>
      </c>
      <c r="E35" s="51" t="str">
        <f>IF($A35="","",ABS(INDEX('Wash Sale Tracker'!$J:$J,$A35)))</f>
        <v/>
      </c>
      <c r="F35" s="51" t="str">
        <f>IF($A35="","",INDEX('Wash Sale Tracker'!$O:$O,$A35))</f>
        <v/>
      </c>
      <c r="G35" s="51" t="str">
        <f>IF($A35="","",INDEX('Wash Sale Tracker'!$T:$T,$A35))</f>
        <v/>
      </c>
      <c r="H35" s="63" t="str">
        <f>IF($A35="","",INDEX('Wash Sale Tracker'!$S:$S,$A35))</f>
        <v/>
      </c>
      <c r="I35" s="63" t="str">
        <f>IF($A35="","",INDEX('Wash Sale Tracker'!$X:$X,$A35))</f>
        <v/>
      </c>
      <c r="J35" s="25"/>
      <c r="K35" s="24"/>
      <c r="L35" s="74"/>
      <c r="M35" s="24"/>
    </row>
    <row r="36" spans="1:13" ht="20.100000000000001" customHeight="1" x14ac:dyDescent="0.2">
      <c r="A36" s="9" t="str">
        <f>IFERROR(MATCH(27,'Wash Sale Tracker'!$Z$18:$Z$498,0)+17,"")</f>
        <v/>
      </c>
      <c r="B36" s="69" t="str">
        <f>IF($A36="","",INDEX('Wash Sale Tracker'!$A:$A,$A36))</f>
        <v/>
      </c>
      <c r="C36" s="30" t="str">
        <f>IF($A36="","",INDEX('Wash Sale Tracker'!$L:$L,$A36))</f>
        <v/>
      </c>
      <c r="D36" s="69" t="str">
        <f>IF($A36="","",INDEX('Wash Sale Tracker'!$E:$E,$A36))</f>
        <v/>
      </c>
      <c r="E36" s="51" t="str">
        <f>IF($A36="","",ABS(INDEX('Wash Sale Tracker'!$J:$J,$A36)))</f>
        <v/>
      </c>
      <c r="F36" s="51" t="str">
        <f>IF($A36="","",INDEX('Wash Sale Tracker'!$O:$O,$A36))</f>
        <v/>
      </c>
      <c r="G36" s="51" t="str">
        <f>IF($A36="","",INDEX('Wash Sale Tracker'!$T:$T,$A36))</f>
        <v/>
      </c>
      <c r="H36" s="63" t="str">
        <f>IF($A36="","",INDEX('Wash Sale Tracker'!$S:$S,$A36))</f>
        <v/>
      </c>
      <c r="I36" s="63" t="str">
        <f>IF($A36="","",INDEX('Wash Sale Tracker'!$X:$X,$A36))</f>
        <v/>
      </c>
      <c r="J36" s="25"/>
      <c r="K36" s="24"/>
      <c r="L36" s="74"/>
      <c r="M36" s="24"/>
    </row>
    <row r="37" spans="1:13" ht="20.100000000000001" customHeight="1" x14ac:dyDescent="0.2">
      <c r="A37" s="9" t="str">
        <f>IFERROR(MATCH(28,'Wash Sale Tracker'!$Z$18:$Z$498,0)+17,"")</f>
        <v/>
      </c>
      <c r="B37" s="69" t="str">
        <f>IF($A37="","",INDEX('Wash Sale Tracker'!$A:$A,$A37))</f>
        <v/>
      </c>
      <c r="C37" s="30" t="str">
        <f>IF($A37="","",INDEX('Wash Sale Tracker'!$L:$L,$A37))</f>
        <v/>
      </c>
      <c r="D37" s="69" t="str">
        <f>IF($A37="","",INDEX('Wash Sale Tracker'!$E:$E,$A37))</f>
        <v/>
      </c>
      <c r="E37" s="51" t="str">
        <f>IF($A37="","",ABS(INDEX('Wash Sale Tracker'!$J:$J,$A37)))</f>
        <v/>
      </c>
      <c r="F37" s="51" t="str">
        <f>IF($A37="","",INDEX('Wash Sale Tracker'!$O:$O,$A37))</f>
        <v/>
      </c>
      <c r="G37" s="51" t="str">
        <f>IF($A37="","",INDEX('Wash Sale Tracker'!$T:$T,$A37))</f>
        <v/>
      </c>
      <c r="H37" s="63" t="str">
        <f>IF($A37="","",INDEX('Wash Sale Tracker'!$S:$S,$A37))</f>
        <v/>
      </c>
      <c r="I37" s="63" t="str">
        <f>IF($A37="","",INDEX('Wash Sale Tracker'!$X:$X,$A37))</f>
        <v/>
      </c>
      <c r="J37" s="25"/>
      <c r="K37" s="24"/>
      <c r="L37" s="74"/>
      <c r="M37" s="24"/>
    </row>
    <row r="38" spans="1:13" ht="20.100000000000001" customHeight="1" x14ac:dyDescent="0.2">
      <c r="A38" s="9" t="str">
        <f>IFERROR(MATCH(29,'Wash Sale Tracker'!$Z$18:$Z$498,0)+17,"")</f>
        <v/>
      </c>
      <c r="B38" s="69" t="str">
        <f>IF($A38="","",INDEX('Wash Sale Tracker'!$A:$A,$A38))</f>
        <v/>
      </c>
      <c r="C38" s="30" t="str">
        <f>IF($A38="","",INDEX('Wash Sale Tracker'!$L:$L,$A38))</f>
        <v/>
      </c>
      <c r="D38" s="69" t="str">
        <f>IF($A38="","",INDEX('Wash Sale Tracker'!$E:$E,$A38))</f>
        <v/>
      </c>
      <c r="E38" s="51" t="str">
        <f>IF($A38="","",ABS(INDEX('Wash Sale Tracker'!$J:$J,$A38)))</f>
        <v/>
      </c>
      <c r="F38" s="51" t="str">
        <f>IF($A38="","",INDEX('Wash Sale Tracker'!$O:$O,$A38))</f>
        <v/>
      </c>
      <c r="G38" s="51" t="str">
        <f>IF($A38="","",INDEX('Wash Sale Tracker'!$T:$T,$A38))</f>
        <v/>
      </c>
      <c r="H38" s="63" t="str">
        <f>IF($A38="","",INDEX('Wash Sale Tracker'!$S:$S,$A38))</f>
        <v/>
      </c>
      <c r="I38" s="63" t="str">
        <f>IF($A38="","",INDEX('Wash Sale Tracker'!$X:$X,$A38))</f>
        <v/>
      </c>
      <c r="J38" s="25"/>
      <c r="K38" s="24"/>
      <c r="L38" s="74"/>
      <c r="M38" s="24"/>
    </row>
    <row r="39" spans="1:13" ht="20.100000000000001" customHeight="1" x14ac:dyDescent="0.2">
      <c r="A39" s="9" t="str">
        <f>IFERROR(MATCH(30,'Wash Sale Tracker'!$Z$18:$Z$498,0)+17,"")</f>
        <v/>
      </c>
      <c r="B39" s="69" t="str">
        <f>IF($A39="","",INDEX('Wash Sale Tracker'!$A:$A,$A39))</f>
        <v/>
      </c>
      <c r="C39" s="30" t="str">
        <f>IF($A39="","",INDEX('Wash Sale Tracker'!$L:$L,$A39))</f>
        <v/>
      </c>
      <c r="D39" s="69" t="str">
        <f>IF($A39="","",INDEX('Wash Sale Tracker'!$E:$E,$A39))</f>
        <v/>
      </c>
      <c r="E39" s="51" t="str">
        <f>IF($A39="","",ABS(INDEX('Wash Sale Tracker'!$J:$J,$A39)))</f>
        <v/>
      </c>
      <c r="F39" s="51" t="str">
        <f>IF($A39="","",INDEX('Wash Sale Tracker'!$O:$O,$A39))</f>
        <v/>
      </c>
      <c r="G39" s="51" t="str">
        <f>IF($A39="","",INDEX('Wash Sale Tracker'!$T:$T,$A39))</f>
        <v/>
      </c>
      <c r="H39" s="63" t="str">
        <f>IF($A39="","",INDEX('Wash Sale Tracker'!$S:$S,$A39))</f>
        <v/>
      </c>
      <c r="I39" s="63" t="str">
        <f>IF($A39="","",INDEX('Wash Sale Tracker'!$X:$X,$A39))</f>
        <v/>
      </c>
      <c r="J39" s="25"/>
      <c r="K39" s="24"/>
      <c r="L39" s="74"/>
      <c r="M39" s="24"/>
    </row>
    <row r="40" spans="1:13" ht="20.100000000000001" customHeight="1" x14ac:dyDescent="0.2">
      <c r="A40" s="9" t="str">
        <f>IFERROR(MATCH(31,'Wash Sale Tracker'!$Z$18:$Z$498,0)+17,"")</f>
        <v/>
      </c>
      <c r="B40" s="69" t="str">
        <f>IF($A40="","",INDEX('Wash Sale Tracker'!$A:$A,$A40))</f>
        <v/>
      </c>
      <c r="C40" s="30" t="str">
        <f>IF($A40="","",INDEX('Wash Sale Tracker'!$L:$L,$A40))</f>
        <v/>
      </c>
      <c r="D40" s="69" t="str">
        <f>IF($A40="","",INDEX('Wash Sale Tracker'!$E:$E,$A40))</f>
        <v/>
      </c>
      <c r="E40" s="51" t="str">
        <f>IF($A40="","",ABS(INDEX('Wash Sale Tracker'!$J:$J,$A40)))</f>
        <v/>
      </c>
      <c r="F40" s="51" t="str">
        <f>IF($A40="","",INDEX('Wash Sale Tracker'!$O:$O,$A40))</f>
        <v/>
      </c>
      <c r="G40" s="51" t="str">
        <f>IF($A40="","",INDEX('Wash Sale Tracker'!$T:$T,$A40))</f>
        <v/>
      </c>
      <c r="H40" s="63" t="str">
        <f>IF($A40="","",INDEX('Wash Sale Tracker'!$S:$S,$A40))</f>
        <v/>
      </c>
      <c r="I40" s="63" t="str">
        <f>IF($A40="","",INDEX('Wash Sale Tracker'!$X:$X,$A40))</f>
        <v/>
      </c>
      <c r="J40" s="25"/>
      <c r="K40" s="24"/>
      <c r="L40" s="74"/>
      <c r="M40" s="24"/>
    </row>
    <row r="41" spans="1:13" ht="20.100000000000001" customHeight="1" x14ac:dyDescent="0.2">
      <c r="A41" s="9" t="str">
        <f>IFERROR(MATCH(32,'Wash Sale Tracker'!$Z$18:$Z$498,0)+17,"")</f>
        <v/>
      </c>
      <c r="B41" s="69" t="str">
        <f>IF($A41="","",INDEX('Wash Sale Tracker'!$A:$A,$A41))</f>
        <v/>
      </c>
      <c r="C41" s="30" t="str">
        <f>IF($A41="","",INDEX('Wash Sale Tracker'!$L:$L,$A41))</f>
        <v/>
      </c>
      <c r="D41" s="69" t="str">
        <f>IF($A41="","",INDEX('Wash Sale Tracker'!$E:$E,$A41))</f>
        <v/>
      </c>
      <c r="E41" s="51" t="str">
        <f>IF($A41="","",ABS(INDEX('Wash Sale Tracker'!$J:$J,$A41)))</f>
        <v/>
      </c>
      <c r="F41" s="51" t="str">
        <f>IF($A41="","",INDEX('Wash Sale Tracker'!$O:$O,$A41))</f>
        <v/>
      </c>
      <c r="G41" s="51" t="str">
        <f>IF($A41="","",INDEX('Wash Sale Tracker'!$T:$T,$A41))</f>
        <v/>
      </c>
      <c r="H41" s="63" t="str">
        <f>IF($A41="","",INDEX('Wash Sale Tracker'!$S:$S,$A41))</f>
        <v/>
      </c>
      <c r="I41" s="63" t="str">
        <f>IF($A41="","",INDEX('Wash Sale Tracker'!$X:$X,$A41))</f>
        <v/>
      </c>
      <c r="J41" s="25"/>
      <c r="K41" s="24"/>
      <c r="L41" s="74"/>
      <c r="M41" s="24"/>
    </row>
    <row r="42" spans="1:13" ht="20.100000000000001" customHeight="1" x14ac:dyDescent="0.2">
      <c r="A42" s="9" t="str">
        <f>IFERROR(MATCH(33,'Wash Sale Tracker'!$Z$18:$Z$498,0)+17,"")</f>
        <v/>
      </c>
      <c r="B42" s="69" t="str">
        <f>IF($A42="","",INDEX('Wash Sale Tracker'!$A:$A,$A42))</f>
        <v/>
      </c>
      <c r="C42" s="30" t="str">
        <f>IF($A42="","",INDEX('Wash Sale Tracker'!$L:$L,$A42))</f>
        <v/>
      </c>
      <c r="D42" s="69" t="str">
        <f>IF($A42="","",INDEX('Wash Sale Tracker'!$E:$E,$A42))</f>
        <v/>
      </c>
      <c r="E42" s="51" t="str">
        <f>IF($A42="","",ABS(INDEX('Wash Sale Tracker'!$J:$J,$A42)))</f>
        <v/>
      </c>
      <c r="F42" s="51" t="str">
        <f>IF($A42="","",INDEX('Wash Sale Tracker'!$O:$O,$A42))</f>
        <v/>
      </c>
      <c r="G42" s="51" t="str">
        <f>IF($A42="","",INDEX('Wash Sale Tracker'!$T:$T,$A42))</f>
        <v/>
      </c>
      <c r="H42" s="63" t="str">
        <f>IF($A42="","",INDEX('Wash Sale Tracker'!$S:$S,$A42))</f>
        <v/>
      </c>
      <c r="I42" s="63" t="str">
        <f>IF($A42="","",INDEX('Wash Sale Tracker'!$X:$X,$A42))</f>
        <v/>
      </c>
      <c r="J42" s="25"/>
      <c r="K42" s="24"/>
      <c r="L42" s="74"/>
      <c r="M42" s="24"/>
    </row>
    <row r="43" spans="1:13" ht="20.100000000000001" customHeight="1" x14ac:dyDescent="0.2">
      <c r="A43" s="9" t="str">
        <f>IFERROR(MATCH(34,'Wash Sale Tracker'!$Z$18:$Z$498,0)+17,"")</f>
        <v/>
      </c>
      <c r="B43" s="69" t="str">
        <f>IF($A43="","",INDEX('Wash Sale Tracker'!$A:$A,$A43))</f>
        <v/>
      </c>
      <c r="C43" s="30" t="str">
        <f>IF($A43="","",INDEX('Wash Sale Tracker'!$L:$L,$A43))</f>
        <v/>
      </c>
      <c r="D43" s="69" t="str">
        <f>IF($A43="","",INDEX('Wash Sale Tracker'!$E:$E,$A43))</f>
        <v/>
      </c>
      <c r="E43" s="51" t="str">
        <f>IF($A43="","",ABS(INDEX('Wash Sale Tracker'!$J:$J,$A43)))</f>
        <v/>
      </c>
      <c r="F43" s="51" t="str">
        <f>IF($A43="","",INDEX('Wash Sale Tracker'!$O:$O,$A43))</f>
        <v/>
      </c>
      <c r="G43" s="51" t="str">
        <f>IF($A43="","",INDEX('Wash Sale Tracker'!$T:$T,$A43))</f>
        <v/>
      </c>
      <c r="H43" s="63" t="str">
        <f>IF($A43="","",INDEX('Wash Sale Tracker'!$S:$S,$A43))</f>
        <v/>
      </c>
      <c r="I43" s="63" t="str">
        <f>IF($A43="","",INDEX('Wash Sale Tracker'!$X:$X,$A43))</f>
        <v/>
      </c>
      <c r="J43" s="25"/>
      <c r="K43" s="24"/>
      <c r="L43" s="74"/>
      <c r="M43" s="24"/>
    </row>
    <row r="44" spans="1:13" ht="20.100000000000001" customHeight="1" x14ac:dyDescent="0.2">
      <c r="A44" s="9" t="str">
        <f>IFERROR(MATCH(35,'Wash Sale Tracker'!$Z$18:$Z$498,0)+17,"")</f>
        <v/>
      </c>
      <c r="B44" s="69" t="str">
        <f>IF($A44="","",INDEX('Wash Sale Tracker'!$A:$A,$A44))</f>
        <v/>
      </c>
      <c r="C44" s="30" t="str">
        <f>IF($A44="","",INDEX('Wash Sale Tracker'!$L:$L,$A44))</f>
        <v/>
      </c>
      <c r="D44" s="69" t="str">
        <f>IF($A44="","",INDEX('Wash Sale Tracker'!$E:$E,$A44))</f>
        <v/>
      </c>
      <c r="E44" s="51" t="str">
        <f>IF($A44="","",ABS(INDEX('Wash Sale Tracker'!$J:$J,$A44)))</f>
        <v/>
      </c>
      <c r="F44" s="51" t="str">
        <f>IF($A44="","",INDEX('Wash Sale Tracker'!$O:$O,$A44))</f>
        <v/>
      </c>
      <c r="G44" s="51" t="str">
        <f>IF($A44="","",INDEX('Wash Sale Tracker'!$T:$T,$A44))</f>
        <v/>
      </c>
      <c r="H44" s="63" t="str">
        <f>IF($A44="","",INDEX('Wash Sale Tracker'!$S:$S,$A44))</f>
        <v/>
      </c>
      <c r="I44" s="63" t="str">
        <f>IF($A44="","",INDEX('Wash Sale Tracker'!$X:$X,$A44))</f>
        <v/>
      </c>
      <c r="J44" s="25"/>
      <c r="K44" s="24"/>
      <c r="L44" s="74"/>
      <c r="M44" s="24"/>
    </row>
    <row r="45" spans="1:13" ht="20.100000000000001" customHeight="1" x14ac:dyDescent="0.2">
      <c r="A45" s="9" t="str">
        <f>IFERROR(MATCH(36,'Wash Sale Tracker'!$Z$18:$Z$498,0)+17,"")</f>
        <v/>
      </c>
      <c r="B45" s="69" t="str">
        <f>IF($A45="","",INDEX('Wash Sale Tracker'!$A:$A,$A45))</f>
        <v/>
      </c>
      <c r="C45" s="30" t="str">
        <f>IF($A45="","",INDEX('Wash Sale Tracker'!$L:$L,$A45))</f>
        <v/>
      </c>
      <c r="D45" s="69" t="str">
        <f>IF($A45="","",INDEX('Wash Sale Tracker'!$E:$E,$A45))</f>
        <v/>
      </c>
      <c r="E45" s="51" t="str">
        <f>IF($A45="","",ABS(INDEX('Wash Sale Tracker'!$J:$J,$A45)))</f>
        <v/>
      </c>
      <c r="F45" s="51" t="str">
        <f>IF($A45="","",INDEX('Wash Sale Tracker'!$O:$O,$A45))</f>
        <v/>
      </c>
      <c r="G45" s="51" t="str">
        <f>IF($A45="","",INDEX('Wash Sale Tracker'!$T:$T,$A45))</f>
        <v/>
      </c>
      <c r="H45" s="63" t="str">
        <f>IF($A45="","",INDEX('Wash Sale Tracker'!$S:$S,$A45))</f>
        <v/>
      </c>
      <c r="I45" s="63" t="str">
        <f>IF($A45="","",INDEX('Wash Sale Tracker'!$X:$X,$A45))</f>
        <v/>
      </c>
      <c r="J45" s="25"/>
      <c r="K45" s="24"/>
      <c r="L45" s="74"/>
      <c r="M45" s="24"/>
    </row>
    <row r="46" spans="1:13" ht="20.100000000000001" customHeight="1" x14ac:dyDescent="0.2">
      <c r="A46" s="9" t="str">
        <f>IFERROR(MATCH(37,'Wash Sale Tracker'!$Z$18:$Z$498,0)+17,"")</f>
        <v/>
      </c>
      <c r="B46" s="69" t="str">
        <f>IF($A46="","",INDEX('Wash Sale Tracker'!$A:$A,$A46))</f>
        <v/>
      </c>
      <c r="C46" s="30" t="str">
        <f>IF($A46="","",INDEX('Wash Sale Tracker'!$L:$L,$A46))</f>
        <v/>
      </c>
      <c r="D46" s="69" t="str">
        <f>IF($A46="","",INDEX('Wash Sale Tracker'!$E:$E,$A46))</f>
        <v/>
      </c>
      <c r="E46" s="51" t="str">
        <f>IF($A46="","",ABS(INDEX('Wash Sale Tracker'!$J:$J,$A46)))</f>
        <v/>
      </c>
      <c r="F46" s="51" t="str">
        <f>IF($A46="","",INDEX('Wash Sale Tracker'!$O:$O,$A46))</f>
        <v/>
      </c>
      <c r="G46" s="51" t="str">
        <f>IF($A46="","",INDEX('Wash Sale Tracker'!$T:$T,$A46))</f>
        <v/>
      </c>
      <c r="H46" s="63" t="str">
        <f>IF($A46="","",INDEX('Wash Sale Tracker'!$S:$S,$A46))</f>
        <v/>
      </c>
      <c r="I46" s="63" t="str">
        <f>IF($A46="","",INDEX('Wash Sale Tracker'!$X:$X,$A46))</f>
        <v/>
      </c>
      <c r="J46" s="25"/>
      <c r="K46" s="24"/>
      <c r="L46" s="74"/>
      <c r="M46" s="24"/>
    </row>
    <row r="47" spans="1:13" ht="20.100000000000001" customHeight="1" x14ac:dyDescent="0.2">
      <c r="A47" s="9" t="str">
        <f>IFERROR(MATCH(38,'Wash Sale Tracker'!$Z$18:$Z$498,0)+17,"")</f>
        <v/>
      </c>
      <c r="B47" s="69" t="str">
        <f>IF($A47="","",INDEX('Wash Sale Tracker'!$A:$A,$A47))</f>
        <v/>
      </c>
      <c r="C47" s="30" t="str">
        <f>IF($A47="","",INDEX('Wash Sale Tracker'!$L:$L,$A47))</f>
        <v/>
      </c>
      <c r="D47" s="69" t="str">
        <f>IF($A47="","",INDEX('Wash Sale Tracker'!$E:$E,$A47))</f>
        <v/>
      </c>
      <c r="E47" s="51" t="str">
        <f>IF($A47="","",ABS(INDEX('Wash Sale Tracker'!$J:$J,$A47)))</f>
        <v/>
      </c>
      <c r="F47" s="51" t="str">
        <f>IF($A47="","",INDEX('Wash Sale Tracker'!$O:$O,$A47))</f>
        <v/>
      </c>
      <c r="G47" s="51" t="str">
        <f>IF($A47="","",INDEX('Wash Sale Tracker'!$T:$T,$A47))</f>
        <v/>
      </c>
      <c r="H47" s="63" t="str">
        <f>IF($A47="","",INDEX('Wash Sale Tracker'!$S:$S,$A47))</f>
        <v/>
      </c>
      <c r="I47" s="63" t="str">
        <f>IF($A47="","",INDEX('Wash Sale Tracker'!$X:$X,$A47))</f>
        <v/>
      </c>
      <c r="J47" s="25"/>
      <c r="K47" s="24"/>
      <c r="L47" s="74"/>
      <c r="M47" s="24"/>
    </row>
    <row r="48" spans="1:13" ht="20.100000000000001" customHeight="1" x14ac:dyDescent="0.2">
      <c r="A48" s="9" t="str">
        <f>IFERROR(MATCH(39,'Wash Sale Tracker'!$Z$18:$Z$498,0)+17,"")</f>
        <v/>
      </c>
      <c r="B48" s="69" t="str">
        <f>IF($A48="","",INDEX('Wash Sale Tracker'!$A:$A,$A48))</f>
        <v/>
      </c>
      <c r="C48" s="30" t="str">
        <f>IF($A48="","",INDEX('Wash Sale Tracker'!$L:$L,$A48))</f>
        <v/>
      </c>
      <c r="D48" s="69" t="str">
        <f>IF($A48="","",INDEX('Wash Sale Tracker'!$E:$E,$A48))</f>
        <v/>
      </c>
      <c r="E48" s="51" t="str">
        <f>IF($A48="","",ABS(INDEX('Wash Sale Tracker'!$J:$J,$A48)))</f>
        <v/>
      </c>
      <c r="F48" s="51" t="str">
        <f>IF($A48="","",INDEX('Wash Sale Tracker'!$O:$O,$A48))</f>
        <v/>
      </c>
      <c r="G48" s="51" t="str">
        <f>IF($A48="","",INDEX('Wash Sale Tracker'!$T:$T,$A48))</f>
        <v/>
      </c>
      <c r="H48" s="63" t="str">
        <f>IF($A48="","",INDEX('Wash Sale Tracker'!$S:$S,$A48))</f>
        <v/>
      </c>
      <c r="I48" s="63" t="str">
        <f>IF($A48="","",INDEX('Wash Sale Tracker'!$X:$X,$A48))</f>
        <v/>
      </c>
      <c r="J48" s="25"/>
      <c r="K48" s="24"/>
      <c r="L48" s="74"/>
      <c r="M48" s="24"/>
    </row>
    <row r="49" spans="1:13" ht="20.100000000000001" customHeight="1" x14ac:dyDescent="0.2">
      <c r="A49" s="9" t="str">
        <f>IFERROR(MATCH(40,'Wash Sale Tracker'!$Z$18:$Z$498,0)+17,"")</f>
        <v/>
      </c>
      <c r="B49" s="69" t="str">
        <f>IF($A49="","",INDEX('Wash Sale Tracker'!$A:$A,$A49))</f>
        <v/>
      </c>
      <c r="C49" s="30" t="str">
        <f>IF($A49="","",INDEX('Wash Sale Tracker'!$L:$L,$A49))</f>
        <v/>
      </c>
      <c r="D49" s="69" t="str">
        <f>IF($A49="","",INDEX('Wash Sale Tracker'!$E:$E,$A49))</f>
        <v/>
      </c>
      <c r="E49" s="51" t="str">
        <f>IF($A49="","",ABS(INDEX('Wash Sale Tracker'!$J:$J,$A49)))</f>
        <v/>
      </c>
      <c r="F49" s="51" t="str">
        <f>IF($A49="","",INDEX('Wash Sale Tracker'!$O:$O,$A49))</f>
        <v/>
      </c>
      <c r="G49" s="51" t="str">
        <f>IF($A49="","",INDEX('Wash Sale Tracker'!$T:$T,$A49))</f>
        <v/>
      </c>
      <c r="H49" s="63" t="str">
        <f>IF($A49="","",INDEX('Wash Sale Tracker'!$S:$S,$A49))</f>
        <v/>
      </c>
      <c r="I49" s="63" t="str">
        <f>IF($A49="","",INDEX('Wash Sale Tracker'!$X:$X,$A49))</f>
        <v/>
      </c>
      <c r="J49" s="25"/>
      <c r="K49" s="24"/>
      <c r="L49" s="74"/>
      <c r="M49" s="24"/>
    </row>
    <row r="50" spans="1:13" ht="20.100000000000001" customHeight="1" x14ac:dyDescent="0.2">
      <c r="A50" s="9" t="str">
        <f>IFERROR(MATCH(41,'Wash Sale Tracker'!$Z$18:$Z$498,0)+17,"")</f>
        <v/>
      </c>
      <c r="B50" s="69" t="str">
        <f>IF($A50="","",INDEX('Wash Sale Tracker'!$A:$A,$A50))</f>
        <v/>
      </c>
      <c r="C50" s="30" t="str">
        <f>IF($A50="","",INDEX('Wash Sale Tracker'!$L:$L,$A50))</f>
        <v/>
      </c>
      <c r="D50" s="69" t="str">
        <f>IF($A50="","",INDEX('Wash Sale Tracker'!$E:$E,$A50))</f>
        <v/>
      </c>
      <c r="E50" s="51" t="str">
        <f>IF($A50="","",ABS(INDEX('Wash Sale Tracker'!$J:$J,$A50)))</f>
        <v/>
      </c>
      <c r="F50" s="51" t="str">
        <f>IF($A50="","",INDEX('Wash Sale Tracker'!$O:$O,$A50))</f>
        <v/>
      </c>
      <c r="G50" s="51" t="str">
        <f>IF($A50="","",INDEX('Wash Sale Tracker'!$T:$T,$A50))</f>
        <v/>
      </c>
      <c r="H50" s="63" t="str">
        <f>IF($A50="","",INDEX('Wash Sale Tracker'!$S:$S,$A50))</f>
        <v/>
      </c>
      <c r="I50" s="63" t="str">
        <f>IF($A50="","",INDEX('Wash Sale Tracker'!$X:$X,$A50))</f>
        <v/>
      </c>
      <c r="J50" s="25"/>
      <c r="K50" s="24"/>
      <c r="L50" s="74"/>
      <c r="M50" s="24"/>
    </row>
    <row r="51" spans="1:13" ht="20.100000000000001" customHeight="1" x14ac:dyDescent="0.2">
      <c r="A51" s="9" t="str">
        <f>IFERROR(MATCH(42,'Wash Sale Tracker'!$Z$18:$Z$498,0)+17,"")</f>
        <v/>
      </c>
      <c r="B51" s="69" t="str">
        <f>IF($A51="","",INDEX('Wash Sale Tracker'!$A:$A,$A51))</f>
        <v/>
      </c>
      <c r="C51" s="30" t="str">
        <f>IF($A51="","",INDEX('Wash Sale Tracker'!$L:$L,$A51))</f>
        <v/>
      </c>
      <c r="D51" s="69" t="str">
        <f>IF($A51="","",INDEX('Wash Sale Tracker'!$E:$E,$A51))</f>
        <v/>
      </c>
      <c r="E51" s="51" t="str">
        <f>IF($A51="","",ABS(INDEX('Wash Sale Tracker'!$J:$J,$A51)))</f>
        <v/>
      </c>
      <c r="F51" s="51" t="str">
        <f>IF($A51="","",INDEX('Wash Sale Tracker'!$O:$O,$A51))</f>
        <v/>
      </c>
      <c r="G51" s="51" t="str">
        <f>IF($A51="","",INDEX('Wash Sale Tracker'!$T:$T,$A51))</f>
        <v/>
      </c>
      <c r="H51" s="63" t="str">
        <f>IF($A51="","",INDEX('Wash Sale Tracker'!$S:$S,$A51))</f>
        <v/>
      </c>
      <c r="I51" s="63" t="str">
        <f>IF($A51="","",INDEX('Wash Sale Tracker'!$X:$X,$A51))</f>
        <v/>
      </c>
      <c r="J51" s="25"/>
      <c r="K51" s="24"/>
      <c r="L51" s="74"/>
      <c r="M51" s="24"/>
    </row>
    <row r="52" spans="1:13" ht="20.100000000000001" customHeight="1" x14ac:dyDescent="0.2">
      <c r="A52" s="9" t="str">
        <f>IFERROR(MATCH(43,'Wash Sale Tracker'!$Z$18:$Z$498,0)+17,"")</f>
        <v/>
      </c>
      <c r="B52" s="69" t="str">
        <f>IF($A52="","",INDEX('Wash Sale Tracker'!$A:$A,$A52))</f>
        <v/>
      </c>
      <c r="C52" s="30" t="str">
        <f>IF($A52="","",INDEX('Wash Sale Tracker'!$L:$L,$A52))</f>
        <v/>
      </c>
      <c r="D52" s="69" t="str">
        <f>IF($A52="","",INDEX('Wash Sale Tracker'!$E:$E,$A52))</f>
        <v/>
      </c>
      <c r="E52" s="51" t="str">
        <f>IF($A52="","",ABS(INDEX('Wash Sale Tracker'!$J:$J,$A52)))</f>
        <v/>
      </c>
      <c r="F52" s="51" t="str">
        <f>IF($A52="","",INDEX('Wash Sale Tracker'!$O:$O,$A52))</f>
        <v/>
      </c>
      <c r="G52" s="51" t="str">
        <f>IF($A52="","",INDEX('Wash Sale Tracker'!$T:$T,$A52))</f>
        <v/>
      </c>
      <c r="H52" s="63" t="str">
        <f>IF($A52="","",INDEX('Wash Sale Tracker'!$S:$S,$A52))</f>
        <v/>
      </c>
      <c r="I52" s="63" t="str">
        <f>IF($A52="","",INDEX('Wash Sale Tracker'!$X:$X,$A52))</f>
        <v/>
      </c>
      <c r="J52" s="25"/>
      <c r="K52" s="24"/>
      <c r="L52" s="74"/>
      <c r="M52" s="24"/>
    </row>
    <row r="53" spans="1:13" ht="20.100000000000001" customHeight="1" x14ac:dyDescent="0.2">
      <c r="A53" s="9" t="str">
        <f>IFERROR(MATCH(44,'Wash Sale Tracker'!$Z$18:$Z$498,0)+17,"")</f>
        <v/>
      </c>
      <c r="B53" s="69" t="str">
        <f>IF($A53="","",INDEX('Wash Sale Tracker'!$A:$A,$A53))</f>
        <v/>
      </c>
      <c r="C53" s="30" t="str">
        <f>IF($A53="","",INDEX('Wash Sale Tracker'!$L:$L,$A53))</f>
        <v/>
      </c>
      <c r="D53" s="69" t="str">
        <f>IF($A53="","",INDEX('Wash Sale Tracker'!$E:$E,$A53))</f>
        <v/>
      </c>
      <c r="E53" s="51" t="str">
        <f>IF($A53="","",ABS(INDEX('Wash Sale Tracker'!$J:$J,$A53)))</f>
        <v/>
      </c>
      <c r="F53" s="51" t="str">
        <f>IF($A53="","",INDEX('Wash Sale Tracker'!$O:$O,$A53))</f>
        <v/>
      </c>
      <c r="G53" s="51" t="str">
        <f>IF($A53="","",INDEX('Wash Sale Tracker'!$T:$T,$A53))</f>
        <v/>
      </c>
      <c r="H53" s="63" t="str">
        <f>IF($A53="","",INDEX('Wash Sale Tracker'!$S:$S,$A53))</f>
        <v/>
      </c>
      <c r="I53" s="63" t="str">
        <f>IF($A53="","",INDEX('Wash Sale Tracker'!$X:$X,$A53))</f>
        <v/>
      </c>
      <c r="J53" s="25"/>
      <c r="K53" s="24"/>
      <c r="L53" s="74"/>
      <c r="M53" s="24"/>
    </row>
    <row r="54" spans="1:13" ht="20.100000000000001" customHeight="1" x14ac:dyDescent="0.2">
      <c r="A54" s="9" t="str">
        <f>IFERROR(MATCH(45,'Wash Sale Tracker'!$Z$18:$Z$498,0)+17,"")</f>
        <v/>
      </c>
      <c r="B54" s="69" t="str">
        <f>IF($A54="","",INDEX('Wash Sale Tracker'!$A:$A,$A54))</f>
        <v/>
      </c>
      <c r="C54" s="30" t="str">
        <f>IF($A54="","",INDEX('Wash Sale Tracker'!$L:$L,$A54))</f>
        <v/>
      </c>
      <c r="D54" s="69" t="str">
        <f>IF($A54="","",INDEX('Wash Sale Tracker'!$E:$E,$A54))</f>
        <v/>
      </c>
      <c r="E54" s="51" t="str">
        <f>IF($A54="","",ABS(INDEX('Wash Sale Tracker'!$J:$J,$A54)))</f>
        <v/>
      </c>
      <c r="F54" s="51" t="str">
        <f>IF($A54="","",INDEX('Wash Sale Tracker'!$O:$O,$A54))</f>
        <v/>
      </c>
      <c r="G54" s="51" t="str">
        <f>IF($A54="","",INDEX('Wash Sale Tracker'!$T:$T,$A54))</f>
        <v/>
      </c>
      <c r="H54" s="63" t="str">
        <f>IF($A54="","",INDEX('Wash Sale Tracker'!$S:$S,$A54))</f>
        <v/>
      </c>
      <c r="I54" s="63" t="str">
        <f>IF($A54="","",INDEX('Wash Sale Tracker'!$X:$X,$A54))</f>
        <v/>
      </c>
      <c r="J54" s="25"/>
      <c r="K54" s="24"/>
      <c r="L54" s="74"/>
      <c r="M54" s="24"/>
    </row>
    <row r="55" spans="1:13" ht="20.100000000000001" customHeight="1" x14ac:dyDescent="0.2">
      <c r="A55" s="9" t="str">
        <f>IFERROR(MATCH(46,'Wash Sale Tracker'!$Z$18:$Z$498,0)+17,"")</f>
        <v/>
      </c>
      <c r="B55" s="69" t="str">
        <f>IF($A55="","",INDEX('Wash Sale Tracker'!$A:$A,$A55))</f>
        <v/>
      </c>
      <c r="C55" s="30" t="str">
        <f>IF($A55="","",INDEX('Wash Sale Tracker'!$L:$L,$A55))</f>
        <v/>
      </c>
      <c r="D55" s="69" t="str">
        <f>IF($A55="","",INDEX('Wash Sale Tracker'!$E:$E,$A55))</f>
        <v/>
      </c>
      <c r="E55" s="51" t="str">
        <f>IF($A55="","",ABS(INDEX('Wash Sale Tracker'!$J:$J,$A55)))</f>
        <v/>
      </c>
      <c r="F55" s="51" t="str">
        <f>IF($A55="","",INDEX('Wash Sale Tracker'!$O:$O,$A55))</f>
        <v/>
      </c>
      <c r="G55" s="51" t="str">
        <f>IF($A55="","",INDEX('Wash Sale Tracker'!$T:$T,$A55))</f>
        <v/>
      </c>
      <c r="H55" s="63" t="str">
        <f>IF($A55="","",INDEX('Wash Sale Tracker'!$S:$S,$A55))</f>
        <v/>
      </c>
      <c r="I55" s="63" t="str">
        <f>IF($A55="","",INDEX('Wash Sale Tracker'!$X:$X,$A55))</f>
        <v/>
      </c>
      <c r="J55" s="25"/>
      <c r="K55" s="24"/>
      <c r="L55" s="74"/>
      <c r="M55" s="24"/>
    </row>
    <row r="56" spans="1:13" ht="20.100000000000001" customHeight="1" x14ac:dyDescent="0.2">
      <c r="A56" s="9" t="str">
        <f>IFERROR(MATCH(47,'Wash Sale Tracker'!$Z$18:$Z$498,0)+17,"")</f>
        <v/>
      </c>
      <c r="B56" s="69" t="str">
        <f>IF($A56="","",INDEX('Wash Sale Tracker'!$A:$A,$A56))</f>
        <v/>
      </c>
      <c r="C56" s="30" t="str">
        <f>IF($A56="","",INDEX('Wash Sale Tracker'!$L:$L,$A56))</f>
        <v/>
      </c>
      <c r="D56" s="69" t="str">
        <f>IF($A56="","",INDEX('Wash Sale Tracker'!$E:$E,$A56))</f>
        <v/>
      </c>
      <c r="E56" s="51" t="str">
        <f>IF($A56="","",ABS(INDEX('Wash Sale Tracker'!$J:$J,$A56)))</f>
        <v/>
      </c>
      <c r="F56" s="51" t="str">
        <f>IF($A56="","",INDEX('Wash Sale Tracker'!$O:$O,$A56))</f>
        <v/>
      </c>
      <c r="G56" s="51" t="str">
        <f>IF($A56="","",INDEX('Wash Sale Tracker'!$T:$T,$A56))</f>
        <v/>
      </c>
      <c r="H56" s="63" t="str">
        <f>IF($A56="","",INDEX('Wash Sale Tracker'!$S:$S,$A56))</f>
        <v/>
      </c>
      <c r="I56" s="63" t="str">
        <f>IF($A56="","",INDEX('Wash Sale Tracker'!$X:$X,$A56))</f>
        <v/>
      </c>
      <c r="J56" s="25"/>
      <c r="K56" s="24"/>
      <c r="L56" s="74"/>
      <c r="M56" s="24"/>
    </row>
    <row r="57" spans="1:13" ht="20.100000000000001" customHeight="1" x14ac:dyDescent="0.2">
      <c r="A57" s="9" t="str">
        <f>IFERROR(MATCH(48,'Wash Sale Tracker'!$Z$18:$Z$498,0)+17,"")</f>
        <v/>
      </c>
      <c r="B57" s="69" t="str">
        <f>IF($A57="","",INDEX('Wash Sale Tracker'!$A:$A,$A57))</f>
        <v/>
      </c>
      <c r="C57" s="30" t="str">
        <f>IF($A57="","",INDEX('Wash Sale Tracker'!$L:$L,$A57))</f>
        <v/>
      </c>
      <c r="D57" s="69" t="str">
        <f>IF($A57="","",INDEX('Wash Sale Tracker'!$E:$E,$A57))</f>
        <v/>
      </c>
      <c r="E57" s="51" t="str">
        <f>IF($A57="","",ABS(INDEX('Wash Sale Tracker'!$J:$J,$A57)))</f>
        <v/>
      </c>
      <c r="F57" s="51" t="str">
        <f>IF($A57="","",INDEX('Wash Sale Tracker'!$O:$O,$A57))</f>
        <v/>
      </c>
      <c r="G57" s="51" t="str">
        <f>IF($A57="","",INDEX('Wash Sale Tracker'!$T:$T,$A57))</f>
        <v/>
      </c>
      <c r="H57" s="63" t="str">
        <f>IF($A57="","",INDEX('Wash Sale Tracker'!$S:$S,$A57))</f>
        <v/>
      </c>
      <c r="I57" s="63" t="str">
        <f>IF($A57="","",INDEX('Wash Sale Tracker'!$X:$X,$A57))</f>
        <v/>
      </c>
      <c r="J57" s="25"/>
      <c r="K57" s="24"/>
      <c r="L57" s="74"/>
      <c r="M57" s="24"/>
    </row>
    <row r="58" spans="1:13" ht="20.100000000000001" customHeight="1" x14ac:dyDescent="0.2">
      <c r="A58" s="9" t="str">
        <f>IFERROR(MATCH(49,'Wash Sale Tracker'!$Z$18:$Z$498,0)+17,"")</f>
        <v/>
      </c>
      <c r="B58" s="69" t="str">
        <f>IF($A58="","",INDEX('Wash Sale Tracker'!$A:$A,$A58))</f>
        <v/>
      </c>
      <c r="C58" s="30" t="str">
        <f>IF($A58="","",INDEX('Wash Sale Tracker'!$L:$L,$A58))</f>
        <v/>
      </c>
      <c r="D58" s="69" t="str">
        <f>IF($A58="","",INDEX('Wash Sale Tracker'!$E:$E,$A58))</f>
        <v/>
      </c>
      <c r="E58" s="51" t="str">
        <f>IF($A58="","",ABS(INDEX('Wash Sale Tracker'!$J:$J,$A58)))</f>
        <v/>
      </c>
      <c r="F58" s="51" t="str">
        <f>IF($A58="","",INDEX('Wash Sale Tracker'!$O:$O,$A58))</f>
        <v/>
      </c>
      <c r="G58" s="51" t="str">
        <f>IF($A58="","",INDEX('Wash Sale Tracker'!$T:$T,$A58))</f>
        <v/>
      </c>
      <c r="H58" s="63" t="str">
        <f>IF($A58="","",INDEX('Wash Sale Tracker'!$S:$S,$A58))</f>
        <v/>
      </c>
      <c r="I58" s="63" t="str">
        <f>IF($A58="","",INDEX('Wash Sale Tracker'!$X:$X,$A58))</f>
        <v/>
      </c>
      <c r="J58" s="25"/>
      <c r="K58" s="24"/>
      <c r="L58" s="74"/>
      <c r="M58" s="24"/>
    </row>
    <row r="59" spans="1:13" ht="20.100000000000001" customHeight="1" x14ac:dyDescent="0.2">
      <c r="A59" s="9" t="str">
        <f>IFERROR(MATCH(50,'Wash Sale Tracker'!$Z$18:$Z$498,0)+17,"")</f>
        <v/>
      </c>
      <c r="B59" s="69" t="str">
        <f>IF($A59="","",INDEX('Wash Sale Tracker'!$A:$A,$A59))</f>
        <v/>
      </c>
      <c r="C59" s="30" t="str">
        <f>IF($A59="","",INDEX('Wash Sale Tracker'!$L:$L,$A59))</f>
        <v/>
      </c>
      <c r="D59" s="69" t="str">
        <f>IF($A59="","",INDEX('Wash Sale Tracker'!$E:$E,$A59))</f>
        <v/>
      </c>
      <c r="E59" s="51" t="str">
        <f>IF($A59="","",ABS(INDEX('Wash Sale Tracker'!$J:$J,$A59)))</f>
        <v/>
      </c>
      <c r="F59" s="51" t="str">
        <f>IF($A59="","",INDEX('Wash Sale Tracker'!$O:$O,$A59))</f>
        <v/>
      </c>
      <c r="G59" s="51" t="str">
        <f>IF($A59="","",INDEX('Wash Sale Tracker'!$T:$T,$A59))</f>
        <v/>
      </c>
      <c r="H59" s="63" t="str">
        <f>IF($A59="","",INDEX('Wash Sale Tracker'!$S:$S,$A59))</f>
        <v/>
      </c>
      <c r="I59" s="63" t="str">
        <f>IF($A59="","",INDEX('Wash Sale Tracker'!$X:$X,$A59))</f>
        <v/>
      </c>
      <c r="J59" s="25"/>
      <c r="K59" s="24"/>
      <c r="L59" s="74"/>
      <c r="M59" s="24"/>
    </row>
    <row r="60" spans="1:13" ht="20.100000000000001" customHeight="1" x14ac:dyDescent="0.2">
      <c r="A60" s="9" t="str">
        <f>IFERROR(MATCH(51,'Wash Sale Tracker'!$Z$18:$Z$498,0)+17,"")</f>
        <v/>
      </c>
      <c r="B60" s="69" t="str">
        <f>IF($A60="","",INDEX('Wash Sale Tracker'!$A:$A,$A60))</f>
        <v/>
      </c>
      <c r="C60" s="30" t="str">
        <f>IF($A60="","",INDEX('Wash Sale Tracker'!$L:$L,$A60))</f>
        <v/>
      </c>
      <c r="D60" s="69" t="str">
        <f>IF($A60="","",INDEX('Wash Sale Tracker'!$E:$E,$A60))</f>
        <v/>
      </c>
      <c r="E60" s="51" t="str">
        <f>IF($A60="","",ABS(INDEX('Wash Sale Tracker'!$J:$J,$A60)))</f>
        <v/>
      </c>
      <c r="F60" s="51" t="str">
        <f>IF($A60="","",INDEX('Wash Sale Tracker'!$O:$O,$A60))</f>
        <v/>
      </c>
      <c r="G60" s="51" t="str">
        <f>IF($A60="","",INDEX('Wash Sale Tracker'!$T:$T,$A60))</f>
        <v/>
      </c>
      <c r="H60" s="63" t="str">
        <f>IF($A60="","",INDEX('Wash Sale Tracker'!$S:$S,$A60))</f>
        <v/>
      </c>
      <c r="I60" s="63" t="str">
        <f>IF($A60="","",INDEX('Wash Sale Tracker'!$X:$X,$A60))</f>
        <v/>
      </c>
      <c r="J60" s="25"/>
      <c r="K60" s="24"/>
      <c r="L60" s="74"/>
      <c r="M60" s="24"/>
    </row>
    <row r="61" spans="1:13" ht="20.100000000000001" customHeight="1" x14ac:dyDescent="0.2">
      <c r="A61" s="9" t="str">
        <f>IFERROR(MATCH(52,'Wash Sale Tracker'!$Z$18:$Z$498,0)+17,"")</f>
        <v/>
      </c>
      <c r="B61" s="69" t="str">
        <f>IF($A61="","",INDEX('Wash Sale Tracker'!$A:$A,$A61))</f>
        <v/>
      </c>
      <c r="C61" s="30" t="str">
        <f>IF($A61="","",INDEX('Wash Sale Tracker'!$L:$L,$A61))</f>
        <v/>
      </c>
      <c r="D61" s="69" t="str">
        <f>IF($A61="","",INDEX('Wash Sale Tracker'!$E:$E,$A61))</f>
        <v/>
      </c>
      <c r="E61" s="51" t="str">
        <f>IF($A61="","",ABS(INDEX('Wash Sale Tracker'!$J:$J,$A61)))</f>
        <v/>
      </c>
      <c r="F61" s="51" t="str">
        <f>IF($A61="","",INDEX('Wash Sale Tracker'!$O:$O,$A61))</f>
        <v/>
      </c>
      <c r="G61" s="51" t="str">
        <f>IF($A61="","",INDEX('Wash Sale Tracker'!$T:$T,$A61))</f>
        <v/>
      </c>
      <c r="H61" s="63" t="str">
        <f>IF($A61="","",INDEX('Wash Sale Tracker'!$S:$S,$A61))</f>
        <v/>
      </c>
      <c r="I61" s="63" t="str">
        <f>IF($A61="","",INDEX('Wash Sale Tracker'!$X:$X,$A61))</f>
        <v/>
      </c>
      <c r="J61" s="25"/>
      <c r="K61" s="24"/>
      <c r="L61" s="74"/>
      <c r="M61" s="24"/>
    </row>
    <row r="62" spans="1:13" ht="20.100000000000001" customHeight="1" x14ac:dyDescent="0.2">
      <c r="A62" s="9" t="str">
        <f>IFERROR(MATCH(53,'Wash Sale Tracker'!$Z$18:$Z$498,0)+17,"")</f>
        <v/>
      </c>
      <c r="B62" s="69" t="str">
        <f>IF($A62="","",INDEX('Wash Sale Tracker'!$A:$A,$A62))</f>
        <v/>
      </c>
      <c r="C62" s="30" t="str">
        <f>IF($A62="","",INDEX('Wash Sale Tracker'!$L:$L,$A62))</f>
        <v/>
      </c>
      <c r="D62" s="69" t="str">
        <f>IF($A62="","",INDEX('Wash Sale Tracker'!$E:$E,$A62))</f>
        <v/>
      </c>
      <c r="E62" s="51" t="str">
        <f>IF($A62="","",ABS(INDEX('Wash Sale Tracker'!$J:$J,$A62)))</f>
        <v/>
      </c>
      <c r="F62" s="51" t="str">
        <f>IF($A62="","",INDEX('Wash Sale Tracker'!$O:$O,$A62))</f>
        <v/>
      </c>
      <c r="G62" s="51" t="str">
        <f>IF($A62="","",INDEX('Wash Sale Tracker'!$T:$T,$A62))</f>
        <v/>
      </c>
      <c r="H62" s="63" t="str">
        <f>IF($A62="","",INDEX('Wash Sale Tracker'!$S:$S,$A62))</f>
        <v/>
      </c>
      <c r="I62" s="63" t="str">
        <f>IF($A62="","",INDEX('Wash Sale Tracker'!$X:$X,$A62))</f>
        <v/>
      </c>
      <c r="J62" s="25"/>
      <c r="K62" s="24"/>
      <c r="L62" s="74"/>
      <c r="M62" s="24"/>
    </row>
    <row r="63" spans="1:13" ht="20.100000000000001" customHeight="1" x14ac:dyDescent="0.2">
      <c r="A63" s="9" t="str">
        <f>IFERROR(MATCH(54,'Wash Sale Tracker'!$Z$18:$Z$498,0)+17,"")</f>
        <v/>
      </c>
      <c r="B63" s="69" t="str">
        <f>IF($A63="","",INDEX('Wash Sale Tracker'!$A:$A,$A63))</f>
        <v/>
      </c>
      <c r="C63" s="30" t="str">
        <f>IF($A63="","",INDEX('Wash Sale Tracker'!$L:$L,$A63))</f>
        <v/>
      </c>
      <c r="D63" s="69" t="str">
        <f>IF($A63="","",INDEX('Wash Sale Tracker'!$E:$E,$A63))</f>
        <v/>
      </c>
      <c r="E63" s="51" t="str">
        <f>IF($A63="","",ABS(INDEX('Wash Sale Tracker'!$J:$J,$A63)))</f>
        <v/>
      </c>
      <c r="F63" s="51" t="str">
        <f>IF($A63="","",INDEX('Wash Sale Tracker'!$O:$O,$A63))</f>
        <v/>
      </c>
      <c r="G63" s="51" t="str">
        <f>IF($A63="","",INDEX('Wash Sale Tracker'!$T:$T,$A63))</f>
        <v/>
      </c>
      <c r="H63" s="63" t="str">
        <f>IF($A63="","",INDEX('Wash Sale Tracker'!$S:$S,$A63))</f>
        <v/>
      </c>
      <c r="I63" s="63" t="str">
        <f>IF($A63="","",INDEX('Wash Sale Tracker'!$X:$X,$A63))</f>
        <v/>
      </c>
      <c r="J63" s="25"/>
      <c r="K63" s="24"/>
      <c r="L63" s="74"/>
      <c r="M63" s="24"/>
    </row>
    <row r="64" spans="1:13" ht="20.100000000000001" customHeight="1" x14ac:dyDescent="0.2">
      <c r="A64" s="9" t="str">
        <f>IFERROR(MATCH(55,'Wash Sale Tracker'!$Z$18:$Z$498,0)+17,"")</f>
        <v/>
      </c>
      <c r="B64" s="69" t="str">
        <f>IF($A64="","",INDEX('Wash Sale Tracker'!$A:$A,$A64))</f>
        <v/>
      </c>
      <c r="C64" s="30" t="str">
        <f>IF($A64="","",INDEX('Wash Sale Tracker'!$L:$L,$A64))</f>
        <v/>
      </c>
      <c r="D64" s="69" t="str">
        <f>IF($A64="","",INDEX('Wash Sale Tracker'!$E:$E,$A64))</f>
        <v/>
      </c>
      <c r="E64" s="51" t="str">
        <f>IF($A64="","",ABS(INDEX('Wash Sale Tracker'!$J:$J,$A64)))</f>
        <v/>
      </c>
      <c r="F64" s="51" t="str">
        <f>IF($A64="","",INDEX('Wash Sale Tracker'!$O:$O,$A64))</f>
        <v/>
      </c>
      <c r="G64" s="51" t="str">
        <f>IF($A64="","",INDEX('Wash Sale Tracker'!$T:$T,$A64))</f>
        <v/>
      </c>
      <c r="H64" s="63" t="str">
        <f>IF($A64="","",INDEX('Wash Sale Tracker'!$S:$S,$A64))</f>
        <v/>
      </c>
      <c r="I64" s="63" t="str">
        <f>IF($A64="","",INDEX('Wash Sale Tracker'!$X:$X,$A64))</f>
        <v/>
      </c>
      <c r="J64" s="25"/>
      <c r="K64" s="24"/>
      <c r="L64" s="74"/>
      <c r="M64" s="24"/>
    </row>
    <row r="65" spans="1:13" ht="20.100000000000001" customHeight="1" x14ac:dyDescent="0.2">
      <c r="A65" s="9" t="str">
        <f>IFERROR(MATCH(56,'Wash Sale Tracker'!$Z$18:$Z$498,0)+17,"")</f>
        <v/>
      </c>
      <c r="B65" s="69" t="str">
        <f>IF($A65="","",INDEX('Wash Sale Tracker'!$A:$A,$A65))</f>
        <v/>
      </c>
      <c r="C65" s="30" t="str">
        <f>IF($A65="","",INDEX('Wash Sale Tracker'!$L:$L,$A65))</f>
        <v/>
      </c>
      <c r="D65" s="69" t="str">
        <f>IF($A65="","",INDEX('Wash Sale Tracker'!$E:$E,$A65))</f>
        <v/>
      </c>
      <c r="E65" s="51" t="str">
        <f>IF($A65="","",ABS(INDEX('Wash Sale Tracker'!$J:$J,$A65)))</f>
        <v/>
      </c>
      <c r="F65" s="51" t="str">
        <f>IF($A65="","",INDEX('Wash Sale Tracker'!$O:$O,$A65))</f>
        <v/>
      </c>
      <c r="G65" s="51" t="str">
        <f>IF($A65="","",INDEX('Wash Sale Tracker'!$T:$T,$A65))</f>
        <v/>
      </c>
      <c r="H65" s="63" t="str">
        <f>IF($A65="","",INDEX('Wash Sale Tracker'!$S:$S,$A65))</f>
        <v/>
      </c>
      <c r="I65" s="63" t="str">
        <f>IF($A65="","",INDEX('Wash Sale Tracker'!$X:$X,$A65))</f>
        <v/>
      </c>
      <c r="J65" s="25"/>
      <c r="K65" s="24"/>
      <c r="L65" s="74"/>
      <c r="M65" s="24"/>
    </row>
    <row r="66" spans="1:13" ht="20.100000000000001" customHeight="1" x14ac:dyDescent="0.2">
      <c r="A66" s="9" t="str">
        <f>IFERROR(MATCH(57,'Wash Sale Tracker'!$Z$18:$Z$498,0)+17,"")</f>
        <v/>
      </c>
      <c r="B66" s="69" t="str">
        <f>IF($A66="","",INDEX('Wash Sale Tracker'!$A:$A,$A66))</f>
        <v/>
      </c>
      <c r="C66" s="30" t="str">
        <f>IF($A66="","",INDEX('Wash Sale Tracker'!$L:$L,$A66))</f>
        <v/>
      </c>
      <c r="D66" s="69" t="str">
        <f>IF($A66="","",INDEX('Wash Sale Tracker'!$E:$E,$A66))</f>
        <v/>
      </c>
      <c r="E66" s="51" t="str">
        <f>IF($A66="","",ABS(INDEX('Wash Sale Tracker'!$J:$J,$A66)))</f>
        <v/>
      </c>
      <c r="F66" s="51" t="str">
        <f>IF($A66="","",INDEX('Wash Sale Tracker'!$O:$O,$A66))</f>
        <v/>
      </c>
      <c r="G66" s="51" t="str">
        <f>IF($A66="","",INDEX('Wash Sale Tracker'!$T:$T,$A66))</f>
        <v/>
      </c>
      <c r="H66" s="63" t="str">
        <f>IF($A66="","",INDEX('Wash Sale Tracker'!$S:$S,$A66))</f>
        <v/>
      </c>
      <c r="I66" s="63" t="str">
        <f>IF($A66="","",INDEX('Wash Sale Tracker'!$X:$X,$A66))</f>
        <v/>
      </c>
      <c r="J66" s="25"/>
      <c r="K66" s="24"/>
      <c r="L66" s="74"/>
      <c r="M66" s="24"/>
    </row>
    <row r="67" spans="1:13" ht="20.100000000000001" customHeight="1" x14ac:dyDescent="0.2">
      <c r="A67" s="9" t="str">
        <f>IFERROR(MATCH(58,'Wash Sale Tracker'!$Z$18:$Z$498,0)+17,"")</f>
        <v/>
      </c>
      <c r="B67" s="69" t="str">
        <f>IF($A67="","",INDEX('Wash Sale Tracker'!$A:$A,$A67))</f>
        <v/>
      </c>
      <c r="C67" s="30" t="str">
        <f>IF($A67="","",INDEX('Wash Sale Tracker'!$L:$L,$A67))</f>
        <v/>
      </c>
      <c r="D67" s="69" t="str">
        <f>IF($A67="","",INDEX('Wash Sale Tracker'!$E:$E,$A67))</f>
        <v/>
      </c>
      <c r="E67" s="51" t="str">
        <f>IF($A67="","",ABS(INDEX('Wash Sale Tracker'!$J:$J,$A67)))</f>
        <v/>
      </c>
      <c r="F67" s="51" t="str">
        <f>IF($A67="","",INDEX('Wash Sale Tracker'!$O:$O,$A67))</f>
        <v/>
      </c>
      <c r="G67" s="51" t="str">
        <f>IF($A67="","",INDEX('Wash Sale Tracker'!$T:$T,$A67))</f>
        <v/>
      </c>
      <c r="H67" s="63" t="str">
        <f>IF($A67="","",INDEX('Wash Sale Tracker'!$S:$S,$A67))</f>
        <v/>
      </c>
      <c r="I67" s="63" t="str">
        <f>IF($A67="","",INDEX('Wash Sale Tracker'!$X:$X,$A67))</f>
        <v/>
      </c>
      <c r="J67" s="25"/>
      <c r="K67" s="24"/>
      <c r="L67" s="74"/>
      <c r="M67" s="24"/>
    </row>
    <row r="68" spans="1:13" ht="20.100000000000001" customHeight="1" x14ac:dyDescent="0.2">
      <c r="A68" s="9" t="str">
        <f>IFERROR(MATCH(59,'Wash Sale Tracker'!$Z$18:$Z$498,0)+17,"")</f>
        <v/>
      </c>
      <c r="B68" s="69" t="str">
        <f>IF($A68="","",INDEX('Wash Sale Tracker'!$A:$A,$A68))</f>
        <v/>
      </c>
      <c r="C68" s="30" t="str">
        <f>IF($A68="","",INDEX('Wash Sale Tracker'!$L:$L,$A68))</f>
        <v/>
      </c>
      <c r="D68" s="69" t="str">
        <f>IF($A68="","",INDEX('Wash Sale Tracker'!$E:$E,$A68))</f>
        <v/>
      </c>
      <c r="E68" s="51" t="str">
        <f>IF($A68="","",ABS(INDEX('Wash Sale Tracker'!$J:$J,$A68)))</f>
        <v/>
      </c>
      <c r="F68" s="51" t="str">
        <f>IF($A68="","",INDEX('Wash Sale Tracker'!$O:$O,$A68))</f>
        <v/>
      </c>
      <c r="G68" s="51" t="str">
        <f>IF($A68="","",INDEX('Wash Sale Tracker'!$T:$T,$A68))</f>
        <v/>
      </c>
      <c r="H68" s="63" t="str">
        <f>IF($A68="","",INDEX('Wash Sale Tracker'!$S:$S,$A68))</f>
        <v/>
      </c>
      <c r="I68" s="63" t="str">
        <f>IF($A68="","",INDEX('Wash Sale Tracker'!$X:$X,$A68))</f>
        <v/>
      </c>
      <c r="J68" s="25"/>
      <c r="K68" s="24"/>
      <c r="L68" s="74"/>
      <c r="M68" s="24"/>
    </row>
    <row r="69" spans="1:13" ht="20.100000000000001" customHeight="1" x14ac:dyDescent="0.2">
      <c r="A69" s="9" t="str">
        <f>IFERROR(MATCH(60,'Wash Sale Tracker'!$Z$18:$Z$498,0)+17,"")</f>
        <v/>
      </c>
      <c r="B69" s="69" t="str">
        <f>IF($A69="","",INDEX('Wash Sale Tracker'!$A:$A,$A69))</f>
        <v/>
      </c>
      <c r="C69" s="30" t="str">
        <f>IF($A69="","",INDEX('Wash Sale Tracker'!$L:$L,$A69))</f>
        <v/>
      </c>
      <c r="D69" s="69" t="str">
        <f>IF($A69="","",INDEX('Wash Sale Tracker'!$E:$E,$A69))</f>
        <v/>
      </c>
      <c r="E69" s="51" t="str">
        <f>IF($A69="","",ABS(INDEX('Wash Sale Tracker'!$J:$J,$A69)))</f>
        <v/>
      </c>
      <c r="F69" s="51" t="str">
        <f>IF($A69="","",INDEX('Wash Sale Tracker'!$O:$O,$A69))</f>
        <v/>
      </c>
      <c r="G69" s="51" t="str">
        <f>IF($A69="","",INDEX('Wash Sale Tracker'!$T:$T,$A69))</f>
        <v/>
      </c>
      <c r="H69" s="63" t="str">
        <f>IF($A69="","",INDEX('Wash Sale Tracker'!$S:$S,$A69))</f>
        <v/>
      </c>
      <c r="I69" s="63" t="str">
        <f>IF($A69="","",INDEX('Wash Sale Tracker'!$X:$X,$A69))</f>
        <v/>
      </c>
      <c r="J69" s="25"/>
      <c r="K69" s="24"/>
      <c r="L69" s="74"/>
      <c r="M69" s="24"/>
    </row>
    <row r="70" spans="1:13" ht="20.100000000000001" customHeight="1" x14ac:dyDescent="0.2">
      <c r="A70" s="9" t="str">
        <f>IFERROR(MATCH(61,'Wash Sale Tracker'!$Z$18:$Z$498,0)+17,"")</f>
        <v/>
      </c>
      <c r="B70" s="69" t="str">
        <f>IF($A70="","",INDEX('Wash Sale Tracker'!$A:$A,$A70))</f>
        <v/>
      </c>
      <c r="C70" s="30" t="str">
        <f>IF($A70="","",INDEX('Wash Sale Tracker'!$L:$L,$A70))</f>
        <v/>
      </c>
      <c r="D70" s="69" t="str">
        <f>IF($A70="","",INDEX('Wash Sale Tracker'!$E:$E,$A70))</f>
        <v/>
      </c>
      <c r="E70" s="51" t="str">
        <f>IF($A70="","",ABS(INDEX('Wash Sale Tracker'!$J:$J,$A70)))</f>
        <v/>
      </c>
      <c r="F70" s="51" t="str">
        <f>IF($A70="","",INDEX('Wash Sale Tracker'!$O:$O,$A70))</f>
        <v/>
      </c>
      <c r="G70" s="51" t="str">
        <f>IF($A70="","",INDEX('Wash Sale Tracker'!$T:$T,$A70))</f>
        <v/>
      </c>
      <c r="H70" s="63" t="str">
        <f>IF($A70="","",INDEX('Wash Sale Tracker'!$S:$S,$A70))</f>
        <v/>
      </c>
      <c r="I70" s="63" t="str">
        <f>IF($A70="","",INDEX('Wash Sale Tracker'!$X:$X,$A70))</f>
        <v/>
      </c>
      <c r="J70" s="25"/>
      <c r="K70" s="24"/>
      <c r="L70" s="74"/>
      <c r="M70" s="24"/>
    </row>
    <row r="71" spans="1:13" ht="20.100000000000001" customHeight="1" x14ac:dyDescent="0.2">
      <c r="A71" s="9" t="str">
        <f>IFERROR(MATCH(62,'Wash Sale Tracker'!$Z$18:$Z$498,0)+17,"")</f>
        <v/>
      </c>
      <c r="B71" s="69" t="str">
        <f>IF($A71="","",INDEX('Wash Sale Tracker'!$A:$A,$A71))</f>
        <v/>
      </c>
      <c r="C71" s="30" t="str">
        <f>IF($A71="","",INDEX('Wash Sale Tracker'!$L:$L,$A71))</f>
        <v/>
      </c>
      <c r="D71" s="69" t="str">
        <f>IF($A71="","",INDEX('Wash Sale Tracker'!$E:$E,$A71))</f>
        <v/>
      </c>
      <c r="E71" s="51" t="str">
        <f>IF($A71="","",ABS(INDEX('Wash Sale Tracker'!$J:$J,$A71)))</f>
        <v/>
      </c>
      <c r="F71" s="51" t="str">
        <f>IF($A71="","",INDEX('Wash Sale Tracker'!$O:$O,$A71))</f>
        <v/>
      </c>
      <c r="G71" s="51" t="str">
        <f>IF($A71="","",INDEX('Wash Sale Tracker'!$T:$T,$A71))</f>
        <v/>
      </c>
      <c r="H71" s="63" t="str">
        <f>IF($A71="","",INDEX('Wash Sale Tracker'!$S:$S,$A71))</f>
        <v/>
      </c>
      <c r="I71" s="63" t="str">
        <f>IF($A71="","",INDEX('Wash Sale Tracker'!$X:$X,$A71))</f>
        <v/>
      </c>
      <c r="J71" s="25"/>
      <c r="K71" s="24"/>
      <c r="L71" s="74"/>
      <c r="M71" s="24"/>
    </row>
    <row r="72" spans="1:13" ht="20.100000000000001" customHeight="1" x14ac:dyDescent="0.2">
      <c r="A72" s="9" t="str">
        <f>IFERROR(MATCH(63,'Wash Sale Tracker'!$Z$18:$Z$498,0)+17,"")</f>
        <v/>
      </c>
      <c r="B72" s="69" t="str">
        <f>IF($A72="","",INDEX('Wash Sale Tracker'!$A:$A,$A72))</f>
        <v/>
      </c>
      <c r="C72" s="30" t="str">
        <f>IF($A72="","",INDEX('Wash Sale Tracker'!$L:$L,$A72))</f>
        <v/>
      </c>
      <c r="D72" s="69" t="str">
        <f>IF($A72="","",INDEX('Wash Sale Tracker'!$E:$E,$A72))</f>
        <v/>
      </c>
      <c r="E72" s="51" t="str">
        <f>IF($A72="","",ABS(INDEX('Wash Sale Tracker'!$J:$J,$A72)))</f>
        <v/>
      </c>
      <c r="F72" s="51" t="str">
        <f>IF($A72="","",INDEX('Wash Sale Tracker'!$O:$O,$A72))</f>
        <v/>
      </c>
      <c r="G72" s="51" t="str">
        <f>IF($A72="","",INDEX('Wash Sale Tracker'!$T:$T,$A72))</f>
        <v/>
      </c>
      <c r="H72" s="63" t="str">
        <f>IF($A72="","",INDEX('Wash Sale Tracker'!$S:$S,$A72))</f>
        <v/>
      </c>
      <c r="I72" s="63" t="str">
        <f>IF($A72="","",INDEX('Wash Sale Tracker'!$X:$X,$A72))</f>
        <v/>
      </c>
      <c r="J72" s="25"/>
      <c r="K72" s="24"/>
      <c r="L72" s="74"/>
      <c r="M72" s="24"/>
    </row>
    <row r="73" spans="1:13" ht="20.100000000000001" customHeight="1" x14ac:dyDescent="0.2">
      <c r="A73" s="9" t="str">
        <f>IFERROR(MATCH(64,'Wash Sale Tracker'!$Z$18:$Z$498,0)+17,"")</f>
        <v/>
      </c>
      <c r="B73" s="69" t="str">
        <f>IF($A73="","",INDEX('Wash Sale Tracker'!$A:$A,$A73))</f>
        <v/>
      </c>
      <c r="C73" s="30" t="str">
        <f>IF($A73="","",INDEX('Wash Sale Tracker'!$L:$L,$A73))</f>
        <v/>
      </c>
      <c r="D73" s="69" t="str">
        <f>IF($A73="","",INDEX('Wash Sale Tracker'!$E:$E,$A73))</f>
        <v/>
      </c>
      <c r="E73" s="51" t="str">
        <f>IF($A73="","",ABS(INDEX('Wash Sale Tracker'!$J:$J,$A73)))</f>
        <v/>
      </c>
      <c r="F73" s="51" t="str">
        <f>IF($A73="","",INDEX('Wash Sale Tracker'!$O:$O,$A73))</f>
        <v/>
      </c>
      <c r="G73" s="51" t="str">
        <f>IF($A73="","",INDEX('Wash Sale Tracker'!$T:$T,$A73))</f>
        <v/>
      </c>
      <c r="H73" s="63" t="str">
        <f>IF($A73="","",INDEX('Wash Sale Tracker'!$S:$S,$A73))</f>
        <v/>
      </c>
      <c r="I73" s="63" t="str">
        <f>IF($A73="","",INDEX('Wash Sale Tracker'!$X:$X,$A73))</f>
        <v/>
      </c>
      <c r="J73" s="25"/>
      <c r="K73" s="24"/>
      <c r="L73" s="74"/>
      <c r="M73" s="24"/>
    </row>
    <row r="74" spans="1:13" ht="20.100000000000001" customHeight="1" x14ac:dyDescent="0.2">
      <c r="A74" s="9" t="str">
        <f>IFERROR(MATCH(65,'Wash Sale Tracker'!$Z$18:$Z$498,0)+17,"")</f>
        <v/>
      </c>
      <c r="B74" s="69" t="str">
        <f>IF($A74="","",INDEX('Wash Sale Tracker'!$A:$A,$A74))</f>
        <v/>
      </c>
      <c r="C74" s="30" t="str">
        <f>IF($A74="","",INDEX('Wash Sale Tracker'!$L:$L,$A74))</f>
        <v/>
      </c>
      <c r="D74" s="69" t="str">
        <f>IF($A74="","",INDEX('Wash Sale Tracker'!$E:$E,$A74))</f>
        <v/>
      </c>
      <c r="E74" s="51" t="str">
        <f>IF($A74="","",ABS(INDEX('Wash Sale Tracker'!$J:$J,$A74)))</f>
        <v/>
      </c>
      <c r="F74" s="51" t="str">
        <f>IF($A74="","",INDEX('Wash Sale Tracker'!$O:$O,$A74))</f>
        <v/>
      </c>
      <c r="G74" s="51" t="str">
        <f>IF($A74="","",INDEX('Wash Sale Tracker'!$T:$T,$A74))</f>
        <v/>
      </c>
      <c r="H74" s="63" t="str">
        <f>IF($A74="","",INDEX('Wash Sale Tracker'!$S:$S,$A74))</f>
        <v/>
      </c>
      <c r="I74" s="63" t="str">
        <f>IF($A74="","",INDEX('Wash Sale Tracker'!$X:$X,$A74))</f>
        <v/>
      </c>
      <c r="J74" s="25"/>
      <c r="K74" s="24"/>
      <c r="L74" s="74"/>
      <c r="M74" s="24"/>
    </row>
    <row r="75" spans="1:13" ht="20.100000000000001" customHeight="1" x14ac:dyDescent="0.2">
      <c r="A75" s="9" t="str">
        <f>IFERROR(MATCH(66,'Wash Sale Tracker'!$Z$18:$Z$498,0)+17,"")</f>
        <v/>
      </c>
      <c r="B75" s="69" t="str">
        <f>IF($A75="","",INDEX('Wash Sale Tracker'!$A:$A,$A75))</f>
        <v/>
      </c>
      <c r="C75" s="30" t="str">
        <f>IF($A75="","",INDEX('Wash Sale Tracker'!$L:$L,$A75))</f>
        <v/>
      </c>
      <c r="D75" s="69" t="str">
        <f>IF($A75="","",INDEX('Wash Sale Tracker'!$E:$E,$A75))</f>
        <v/>
      </c>
      <c r="E75" s="51" t="str">
        <f>IF($A75="","",ABS(INDEX('Wash Sale Tracker'!$J:$J,$A75)))</f>
        <v/>
      </c>
      <c r="F75" s="51" t="str">
        <f>IF($A75="","",INDEX('Wash Sale Tracker'!$O:$O,$A75))</f>
        <v/>
      </c>
      <c r="G75" s="51" t="str">
        <f>IF($A75="","",INDEX('Wash Sale Tracker'!$T:$T,$A75))</f>
        <v/>
      </c>
      <c r="H75" s="63" t="str">
        <f>IF($A75="","",INDEX('Wash Sale Tracker'!$S:$S,$A75))</f>
        <v/>
      </c>
      <c r="I75" s="63" t="str">
        <f>IF($A75="","",INDEX('Wash Sale Tracker'!$X:$X,$A75))</f>
        <v/>
      </c>
      <c r="J75" s="25"/>
      <c r="K75" s="24"/>
      <c r="L75" s="74"/>
      <c r="M75" s="24"/>
    </row>
    <row r="76" spans="1:13" ht="20.100000000000001" customHeight="1" x14ac:dyDescent="0.2">
      <c r="A76" s="9" t="str">
        <f>IFERROR(MATCH(67,'Wash Sale Tracker'!$Z$18:$Z$498,0)+17,"")</f>
        <v/>
      </c>
      <c r="B76" s="69" t="str">
        <f>IF($A76="","",INDEX('Wash Sale Tracker'!$A:$A,$A76))</f>
        <v/>
      </c>
      <c r="C76" s="30" t="str">
        <f>IF($A76="","",INDEX('Wash Sale Tracker'!$L:$L,$A76))</f>
        <v/>
      </c>
      <c r="D76" s="69" t="str">
        <f>IF($A76="","",INDEX('Wash Sale Tracker'!$E:$E,$A76))</f>
        <v/>
      </c>
      <c r="E76" s="51" t="str">
        <f>IF($A76="","",ABS(INDEX('Wash Sale Tracker'!$J:$J,$A76)))</f>
        <v/>
      </c>
      <c r="F76" s="51" t="str">
        <f>IF($A76="","",INDEX('Wash Sale Tracker'!$O:$O,$A76))</f>
        <v/>
      </c>
      <c r="G76" s="51" t="str">
        <f>IF($A76="","",INDEX('Wash Sale Tracker'!$T:$T,$A76))</f>
        <v/>
      </c>
      <c r="H76" s="63" t="str">
        <f>IF($A76="","",INDEX('Wash Sale Tracker'!$S:$S,$A76))</f>
        <v/>
      </c>
      <c r="I76" s="63" t="str">
        <f>IF($A76="","",INDEX('Wash Sale Tracker'!$X:$X,$A76))</f>
        <v/>
      </c>
      <c r="J76" s="25"/>
      <c r="K76" s="24"/>
      <c r="L76" s="74"/>
      <c r="M76" s="24"/>
    </row>
    <row r="77" spans="1:13" ht="20.100000000000001" customHeight="1" x14ac:dyDescent="0.2">
      <c r="A77" s="9" t="str">
        <f>IFERROR(MATCH(68,'Wash Sale Tracker'!$Z$18:$Z$498,0)+17,"")</f>
        <v/>
      </c>
      <c r="B77" s="69" t="str">
        <f>IF($A77="","",INDEX('Wash Sale Tracker'!$A:$A,$A77))</f>
        <v/>
      </c>
      <c r="C77" s="30" t="str">
        <f>IF($A77="","",INDEX('Wash Sale Tracker'!$L:$L,$A77))</f>
        <v/>
      </c>
      <c r="D77" s="69" t="str">
        <f>IF($A77="","",INDEX('Wash Sale Tracker'!$E:$E,$A77))</f>
        <v/>
      </c>
      <c r="E77" s="51" t="str">
        <f>IF($A77="","",ABS(INDEX('Wash Sale Tracker'!$J:$J,$A77)))</f>
        <v/>
      </c>
      <c r="F77" s="51" t="str">
        <f>IF($A77="","",INDEX('Wash Sale Tracker'!$O:$O,$A77))</f>
        <v/>
      </c>
      <c r="G77" s="51" t="str">
        <f>IF($A77="","",INDEX('Wash Sale Tracker'!$T:$T,$A77))</f>
        <v/>
      </c>
      <c r="H77" s="63" t="str">
        <f>IF($A77="","",INDEX('Wash Sale Tracker'!$S:$S,$A77))</f>
        <v/>
      </c>
      <c r="I77" s="63" t="str">
        <f>IF($A77="","",INDEX('Wash Sale Tracker'!$X:$X,$A77))</f>
        <v/>
      </c>
      <c r="J77" s="25"/>
      <c r="K77" s="24"/>
      <c r="L77" s="74"/>
      <c r="M77" s="24"/>
    </row>
    <row r="78" spans="1:13" ht="20.100000000000001" customHeight="1" x14ac:dyDescent="0.2">
      <c r="A78" s="9" t="str">
        <f>IFERROR(MATCH(69,'Wash Sale Tracker'!$Z$18:$Z$498,0)+17,"")</f>
        <v/>
      </c>
      <c r="B78" s="69" t="str">
        <f>IF($A78="","",INDEX('Wash Sale Tracker'!$A:$A,$A78))</f>
        <v/>
      </c>
      <c r="C78" s="30" t="str">
        <f>IF($A78="","",INDEX('Wash Sale Tracker'!$L:$L,$A78))</f>
        <v/>
      </c>
      <c r="D78" s="69" t="str">
        <f>IF($A78="","",INDEX('Wash Sale Tracker'!$E:$E,$A78))</f>
        <v/>
      </c>
      <c r="E78" s="51" t="str">
        <f>IF($A78="","",ABS(INDEX('Wash Sale Tracker'!$J:$J,$A78)))</f>
        <v/>
      </c>
      <c r="F78" s="51" t="str">
        <f>IF($A78="","",INDEX('Wash Sale Tracker'!$O:$O,$A78))</f>
        <v/>
      </c>
      <c r="G78" s="51" t="str">
        <f>IF($A78="","",INDEX('Wash Sale Tracker'!$T:$T,$A78))</f>
        <v/>
      </c>
      <c r="H78" s="63" t="str">
        <f>IF($A78="","",INDEX('Wash Sale Tracker'!$S:$S,$A78))</f>
        <v/>
      </c>
      <c r="I78" s="63" t="str">
        <f>IF($A78="","",INDEX('Wash Sale Tracker'!$X:$X,$A78))</f>
        <v/>
      </c>
      <c r="J78" s="25"/>
      <c r="K78" s="24"/>
      <c r="L78" s="74"/>
      <c r="M78" s="24"/>
    </row>
    <row r="79" spans="1:13" ht="20.100000000000001" customHeight="1" x14ac:dyDescent="0.2">
      <c r="A79" s="9" t="str">
        <f>IFERROR(MATCH(70,'Wash Sale Tracker'!$Z$18:$Z$498,0)+17,"")</f>
        <v/>
      </c>
      <c r="B79" s="69" t="str">
        <f>IF($A79="","",INDEX('Wash Sale Tracker'!$A:$A,$A79))</f>
        <v/>
      </c>
      <c r="C79" s="30" t="str">
        <f>IF($A79="","",INDEX('Wash Sale Tracker'!$L:$L,$A79))</f>
        <v/>
      </c>
      <c r="D79" s="69" t="str">
        <f>IF($A79="","",INDEX('Wash Sale Tracker'!$E:$E,$A79))</f>
        <v/>
      </c>
      <c r="E79" s="51" t="str">
        <f>IF($A79="","",ABS(INDEX('Wash Sale Tracker'!$J:$J,$A79)))</f>
        <v/>
      </c>
      <c r="F79" s="51" t="str">
        <f>IF($A79="","",INDEX('Wash Sale Tracker'!$O:$O,$A79))</f>
        <v/>
      </c>
      <c r="G79" s="51" t="str">
        <f>IF($A79="","",INDEX('Wash Sale Tracker'!$T:$T,$A79))</f>
        <v/>
      </c>
      <c r="H79" s="63" t="str">
        <f>IF($A79="","",INDEX('Wash Sale Tracker'!$S:$S,$A79))</f>
        <v/>
      </c>
      <c r="I79" s="63" t="str">
        <f>IF($A79="","",INDEX('Wash Sale Tracker'!$X:$X,$A79))</f>
        <v/>
      </c>
      <c r="J79" s="25"/>
      <c r="K79" s="24"/>
      <c r="L79" s="74"/>
      <c r="M79" s="24"/>
    </row>
    <row r="80" spans="1:13" ht="20.100000000000001" customHeight="1" x14ac:dyDescent="0.2">
      <c r="A80" s="9" t="str">
        <f>IFERROR(MATCH(71,'Wash Sale Tracker'!$Z$18:$Z$498,0)+17,"")</f>
        <v/>
      </c>
      <c r="B80" s="69" t="str">
        <f>IF($A80="","",INDEX('Wash Sale Tracker'!$A:$A,$A80))</f>
        <v/>
      </c>
      <c r="C80" s="30" t="str">
        <f>IF($A80="","",INDEX('Wash Sale Tracker'!$L:$L,$A80))</f>
        <v/>
      </c>
      <c r="D80" s="69" t="str">
        <f>IF($A80="","",INDEX('Wash Sale Tracker'!$E:$E,$A80))</f>
        <v/>
      </c>
      <c r="E80" s="51" t="str">
        <f>IF($A80="","",ABS(INDEX('Wash Sale Tracker'!$J:$J,$A80)))</f>
        <v/>
      </c>
      <c r="F80" s="51" t="str">
        <f>IF($A80="","",INDEX('Wash Sale Tracker'!$O:$O,$A80))</f>
        <v/>
      </c>
      <c r="G80" s="51" t="str">
        <f>IF($A80="","",INDEX('Wash Sale Tracker'!$T:$T,$A80))</f>
        <v/>
      </c>
      <c r="H80" s="63" t="str">
        <f>IF($A80="","",INDEX('Wash Sale Tracker'!$S:$S,$A80))</f>
        <v/>
      </c>
      <c r="I80" s="63" t="str">
        <f>IF($A80="","",INDEX('Wash Sale Tracker'!$X:$X,$A80))</f>
        <v/>
      </c>
      <c r="J80" s="25"/>
      <c r="K80" s="24"/>
      <c r="L80" s="74"/>
      <c r="M80" s="24"/>
    </row>
    <row r="81" spans="1:13" ht="20.100000000000001" customHeight="1" x14ac:dyDescent="0.2">
      <c r="A81" s="9" t="str">
        <f>IFERROR(MATCH(72,'Wash Sale Tracker'!$Z$18:$Z$498,0)+17,"")</f>
        <v/>
      </c>
      <c r="B81" s="69" t="str">
        <f>IF($A81="","",INDEX('Wash Sale Tracker'!$A:$A,$A81))</f>
        <v/>
      </c>
      <c r="C81" s="30" t="str">
        <f>IF($A81="","",INDEX('Wash Sale Tracker'!$L:$L,$A81))</f>
        <v/>
      </c>
      <c r="D81" s="69" t="str">
        <f>IF($A81="","",INDEX('Wash Sale Tracker'!$E:$E,$A81))</f>
        <v/>
      </c>
      <c r="E81" s="51" t="str">
        <f>IF($A81="","",ABS(INDEX('Wash Sale Tracker'!$J:$J,$A81)))</f>
        <v/>
      </c>
      <c r="F81" s="51" t="str">
        <f>IF($A81="","",INDEX('Wash Sale Tracker'!$O:$O,$A81))</f>
        <v/>
      </c>
      <c r="G81" s="51" t="str">
        <f>IF($A81="","",INDEX('Wash Sale Tracker'!$T:$T,$A81))</f>
        <v/>
      </c>
      <c r="H81" s="63" t="str">
        <f>IF($A81="","",INDEX('Wash Sale Tracker'!$S:$S,$A81))</f>
        <v/>
      </c>
      <c r="I81" s="63" t="str">
        <f>IF($A81="","",INDEX('Wash Sale Tracker'!$X:$X,$A81))</f>
        <v/>
      </c>
      <c r="J81" s="25"/>
      <c r="K81" s="24"/>
      <c r="L81" s="74"/>
      <c r="M81" s="24"/>
    </row>
    <row r="82" spans="1:13" ht="20.100000000000001" customHeight="1" x14ac:dyDescent="0.2">
      <c r="A82" s="9" t="str">
        <f>IFERROR(MATCH(73,'Wash Sale Tracker'!$Z$18:$Z$498,0)+17,"")</f>
        <v/>
      </c>
      <c r="B82" s="69" t="str">
        <f>IF($A82="","",INDEX('Wash Sale Tracker'!$A:$A,$A82))</f>
        <v/>
      </c>
      <c r="C82" s="30" t="str">
        <f>IF($A82="","",INDEX('Wash Sale Tracker'!$L:$L,$A82))</f>
        <v/>
      </c>
      <c r="D82" s="69" t="str">
        <f>IF($A82="","",INDEX('Wash Sale Tracker'!$E:$E,$A82))</f>
        <v/>
      </c>
      <c r="E82" s="51" t="str">
        <f>IF($A82="","",ABS(INDEX('Wash Sale Tracker'!$J:$J,$A82)))</f>
        <v/>
      </c>
      <c r="F82" s="51" t="str">
        <f>IF($A82="","",INDEX('Wash Sale Tracker'!$O:$O,$A82))</f>
        <v/>
      </c>
      <c r="G82" s="51" t="str">
        <f>IF($A82="","",INDEX('Wash Sale Tracker'!$T:$T,$A82))</f>
        <v/>
      </c>
      <c r="H82" s="63" t="str">
        <f>IF($A82="","",INDEX('Wash Sale Tracker'!$S:$S,$A82))</f>
        <v/>
      </c>
      <c r="I82" s="63" t="str">
        <f>IF($A82="","",INDEX('Wash Sale Tracker'!$X:$X,$A82))</f>
        <v/>
      </c>
      <c r="J82" s="25"/>
      <c r="K82" s="24"/>
      <c r="L82" s="74"/>
      <c r="M82" s="24"/>
    </row>
    <row r="83" spans="1:13" ht="20.100000000000001" customHeight="1" x14ac:dyDescent="0.2">
      <c r="A83" s="9" t="str">
        <f>IFERROR(MATCH(74,'Wash Sale Tracker'!$Z$18:$Z$498,0)+17,"")</f>
        <v/>
      </c>
      <c r="B83" s="69" t="str">
        <f>IF($A83="","",INDEX('Wash Sale Tracker'!$A:$A,$A83))</f>
        <v/>
      </c>
      <c r="C83" s="30" t="str">
        <f>IF($A83="","",INDEX('Wash Sale Tracker'!$L:$L,$A83))</f>
        <v/>
      </c>
      <c r="D83" s="69" t="str">
        <f>IF($A83="","",INDEX('Wash Sale Tracker'!$E:$E,$A83))</f>
        <v/>
      </c>
      <c r="E83" s="51" t="str">
        <f>IF($A83="","",ABS(INDEX('Wash Sale Tracker'!$J:$J,$A83)))</f>
        <v/>
      </c>
      <c r="F83" s="51" t="str">
        <f>IF($A83="","",INDEX('Wash Sale Tracker'!$O:$O,$A83))</f>
        <v/>
      </c>
      <c r="G83" s="51" t="str">
        <f>IF($A83="","",INDEX('Wash Sale Tracker'!$T:$T,$A83))</f>
        <v/>
      </c>
      <c r="H83" s="63" t="str">
        <f>IF($A83="","",INDEX('Wash Sale Tracker'!$S:$S,$A83))</f>
        <v/>
      </c>
      <c r="I83" s="63" t="str">
        <f>IF($A83="","",INDEX('Wash Sale Tracker'!$X:$X,$A83))</f>
        <v/>
      </c>
      <c r="J83" s="25"/>
      <c r="K83" s="24"/>
      <c r="L83" s="74"/>
      <c r="M83" s="24"/>
    </row>
    <row r="84" spans="1:13" ht="20.100000000000001" customHeight="1" x14ac:dyDescent="0.2">
      <c r="A84" s="9" t="str">
        <f>IFERROR(MATCH(75,'Wash Sale Tracker'!$Z$18:$Z$498,0)+17,"")</f>
        <v/>
      </c>
      <c r="B84" s="69" t="str">
        <f>IF($A84="","",INDEX('Wash Sale Tracker'!$A:$A,$A84))</f>
        <v/>
      </c>
      <c r="C84" s="30" t="str">
        <f>IF($A84="","",INDEX('Wash Sale Tracker'!$L:$L,$A84))</f>
        <v/>
      </c>
      <c r="D84" s="69" t="str">
        <f>IF($A84="","",INDEX('Wash Sale Tracker'!$E:$E,$A84))</f>
        <v/>
      </c>
      <c r="E84" s="51" t="str">
        <f>IF($A84="","",ABS(INDEX('Wash Sale Tracker'!$J:$J,$A84)))</f>
        <v/>
      </c>
      <c r="F84" s="51" t="str">
        <f>IF($A84="","",INDEX('Wash Sale Tracker'!$O:$O,$A84))</f>
        <v/>
      </c>
      <c r="G84" s="51" t="str">
        <f>IF($A84="","",INDEX('Wash Sale Tracker'!$T:$T,$A84))</f>
        <v/>
      </c>
      <c r="H84" s="63" t="str">
        <f>IF($A84="","",INDEX('Wash Sale Tracker'!$S:$S,$A84))</f>
        <v/>
      </c>
      <c r="I84" s="63" t="str">
        <f>IF($A84="","",INDEX('Wash Sale Tracker'!$X:$X,$A84))</f>
        <v/>
      </c>
      <c r="J84" s="25"/>
      <c r="K84" s="24"/>
      <c r="L84" s="74"/>
      <c r="M84" s="24"/>
    </row>
    <row r="85" spans="1:13" ht="20.100000000000001" customHeight="1" x14ac:dyDescent="0.2">
      <c r="A85" s="9" t="str">
        <f>IFERROR(MATCH(76,'Wash Sale Tracker'!$Z$18:$Z$498,0)+17,"")</f>
        <v/>
      </c>
      <c r="B85" s="69" t="str">
        <f>IF($A85="","",INDEX('Wash Sale Tracker'!$A:$A,$A85))</f>
        <v/>
      </c>
      <c r="C85" s="30" t="str">
        <f>IF($A85="","",INDEX('Wash Sale Tracker'!$L:$L,$A85))</f>
        <v/>
      </c>
      <c r="D85" s="69" t="str">
        <f>IF($A85="","",INDEX('Wash Sale Tracker'!$E:$E,$A85))</f>
        <v/>
      </c>
      <c r="E85" s="51" t="str">
        <f>IF($A85="","",ABS(INDEX('Wash Sale Tracker'!$J:$J,$A85)))</f>
        <v/>
      </c>
      <c r="F85" s="51" t="str">
        <f>IF($A85="","",INDEX('Wash Sale Tracker'!$O:$O,$A85))</f>
        <v/>
      </c>
      <c r="G85" s="51" t="str">
        <f>IF($A85="","",INDEX('Wash Sale Tracker'!$T:$T,$A85))</f>
        <v/>
      </c>
      <c r="H85" s="63" t="str">
        <f>IF($A85="","",INDEX('Wash Sale Tracker'!$S:$S,$A85))</f>
        <v/>
      </c>
      <c r="I85" s="63" t="str">
        <f>IF($A85="","",INDEX('Wash Sale Tracker'!$X:$X,$A85))</f>
        <v/>
      </c>
      <c r="J85" s="25"/>
      <c r="K85" s="24"/>
      <c r="L85" s="74"/>
      <c r="M85" s="24"/>
    </row>
    <row r="86" spans="1:13" ht="20.100000000000001" customHeight="1" x14ac:dyDescent="0.2">
      <c r="A86" s="9" t="str">
        <f>IFERROR(MATCH(77,'Wash Sale Tracker'!$Z$18:$Z$498,0)+17,"")</f>
        <v/>
      </c>
      <c r="B86" s="69" t="str">
        <f>IF($A86="","",INDEX('Wash Sale Tracker'!$A:$A,$A86))</f>
        <v/>
      </c>
      <c r="C86" s="30" t="str">
        <f>IF($A86="","",INDEX('Wash Sale Tracker'!$L:$L,$A86))</f>
        <v/>
      </c>
      <c r="D86" s="69" t="str">
        <f>IF($A86="","",INDEX('Wash Sale Tracker'!$E:$E,$A86))</f>
        <v/>
      </c>
      <c r="E86" s="51" t="str">
        <f>IF($A86="","",ABS(INDEX('Wash Sale Tracker'!$J:$J,$A86)))</f>
        <v/>
      </c>
      <c r="F86" s="51" t="str">
        <f>IF($A86="","",INDEX('Wash Sale Tracker'!$O:$O,$A86))</f>
        <v/>
      </c>
      <c r="G86" s="51" t="str">
        <f>IF($A86="","",INDEX('Wash Sale Tracker'!$T:$T,$A86))</f>
        <v/>
      </c>
      <c r="H86" s="63" t="str">
        <f>IF($A86="","",INDEX('Wash Sale Tracker'!$S:$S,$A86))</f>
        <v/>
      </c>
      <c r="I86" s="63" t="str">
        <f>IF($A86="","",INDEX('Wash Sale Tracker'!$X:$X,$A86))</f>
        <v/>
      </c>
      <c r="J86" s="25"/>
      <c r="K86" s="24"/>
      <c r="L86" s="74"/>
      <c r="M86" s="24"/>
    </row>
    <row r="87" spans="1:13" ht="20.100000000000001" customHeight="1" x14ac:dyDescent="0.2">
      <c r="A87" s="9" t="str">
        <f>IFERROR(MATCH(78,'Wash Sale Tracker'!$Z$18:$Z$498,0)+17,"")</f>
        <v/>
      </c>
      <c r="B87" s="69" t="str">
        <f>IF($A87="","",INDEX('Wash Sale Tracker'!$A:$A,$A87))</f>
        <v/>
      </c>
      <c r="C87" s="30" t="str">
        <f>IF($A87="","",INDEX('Wash Sale Tracker'!$L:$L,$A87))</f>
        <v/>
      </c>
      <c r="D87" s="69" t="str">
        <f>IF($A87="","",INDEX('Wash Sale Tracker'!$E:$E,$A87))</f>
        <v/>
      </c>
      <c r="E87" s="51" t="str">
        <f>IF($A87="","",ABS(INDEX('Wash Sale Tracker'!$J:$J,$A87)))</f>
        <v/>
      </c>
      <c r="F87" s="51" t="str">
        <f>IF($A87="","",INDEX('Wash Sale Tracker'!$O:$O,$A87))</f>
        <v/>
      </c>
      <c r="G87" s="51" t="str">
        <f>IF($A87="","",INDEX('Wash Sale Tracker'!$T:$T,$A87))</f>
        <v/>
      </c>
      <c r="H87" s="63" t="str">
        <f>IF($A87="","",INDEX('Wash Sale Tracker'!$S:$S,$A87))</f>
        <v/>
      </c>
      <c r="I87" s="63" t="str">
        <f>IF($A87="","",INDEX('Wash Sale Tracker'!$X:$X,$A87))</f>
        <v/>
      </c>
      <c r="J87" s="25"/>
      <c r="K87" s="24"/>
      <c r="L87" s="74"/>
      <c r="M87" s="24"/>
    </row>
    <row r="88" spans="1:13" ht="20.100000000000001" customHeight="1" x14ac:dyDescent="0.2">
      <c r="A88" s="9" t="str">
        <f>IFERROR(MATCH(79,'Wash Sale Tracker'!$Z$18:$Z$498,0)+17,"")</f>
        <v/>
      </c>
      <c r="B88" s="69" t="str">
        <f>IF($A88="","",INDEX('Wash Sale Tracker'!$A:$A,$A88))</f>
        <v/>
      </c>
      <c r="C88" s="30" t="str">
        <f>IF($A88="","",INDEX('Wash Sale Tracker'!$L:$L,$A88))</f>
        <v/>
      </c>
      <c r="D88" s="69" t="str">
        <f>IF($A88="","",INDEX('Wash Sale Tracker'!$E:$E,$A88))</f>
        <v/>
      </c>
      <c r="E88" s="51" t="str">
        <f>IF($A88="","",ABS(INDEX('Wash Sale Tracker'!$J:$J,$A88)))</f>
        <v/>
      </c>
      <c r="F88" s="51" t="str">
        <f>IF($A88="","",INDEX('Wash Sale Tracker'!$O:$O,$A88))</f>
        <v/>
      </c>
      <c r="G88" s="51" t="str">
        <f>IF($A88="","",INDEX('Wash Sale Tracker'!$T:$T,$A88))</f>
        <v/>
      </c>
      <c r="H88" s="63" t="str">
        <f>IF($A88="","",INDEX('Wash Sale Tracker'!$S:$S,$A88))</f>
        <v/>
      </c>
      <c r="I88" s="63" t="str">
        <f>IF($A88="","",INDEX('Wash Sale Tracker'!$X:$X,$A88))</f>
        <v/>
      </c>
      <c r="J88" s="25"/>
      <c r="K88" s="24"/>
      <c r="L88" s="74"/>
      <c r="M88" s="24"/>
    </row>
    <row r="89" spans="1:13" ht="20.100000000000001" customHeight="1" x14ac:dyDescent="0.2">
      <c r="A89" s="9" t="str">
        <f>IFERROR(MATCH(80,'Wash Sale Tracker'!$Z$18:$Z$498,0)+17,"")</f>
        <v/>
      </c>
      <c r="B89" s="69" t="str">
        <f>IF($A89="","",INDEX('Wash Sale Tracker'!$A:$A,$A89))</f>
        <v/>
      </c>
      <c r="C89" s="30" t="str">
        <f>IF($A89="","",INDEX('Wash Sale Tracker'!$L:$L,$A89))</f>
        <v/>
      </c>
      <c r="D89" s="69" t="str">
        <f>IF($A89="","",INDEX('Wash Sale Tracker'!$E:$E,$A89))</f>
        <v/>
      </c>
      <c r="E89" s="51" t="str">
        <f>IF($A89="","",ABS(INDEX('Wash Sale Tracker'!$J:$J,$A89)))</f>
        <v/>
      </c>
      <c r="F89" s="51" t="str">
        <f>IF($A89="","",INDEX('Wash Sale Tracker'!$O:$O,$A89))</f>
        <v/>
      </c>
      <c r="G89" s="51" t="str">
        <f>IF($A89="","",INDEX('Wash Sale Tracker'!$T:$T,$A89))</f>
        <v/>
      </c>
      <c r="H89" s="63" t="str">
        <f>IF($A89="","",INDEX('Wash Sale Tracker'!$S:$S,$A89))</f>
        <v/>
      </c>
      <c r="I89" s="63" t="str">
        <f>IF($A89="","",INDEX('Wash Sale Tracker'!$X:$X,$A89))</f>
        <v/>
      </c>
      <c r="J89" s="25"/>
      <c r="K89" s="24"/>
      <c r="L89" s="74"/>
      <c r="M89" s="24"/>
    </row>
    <row r="90" spans="1:13" ht="20.100000000000001" customHeight="1" x14ac:dyDescent="0.2">
      <c r="A90" s="9" t="str">
        <f>IFERROR(MATCH(81,'Wash Sale Tracker'!$Z$18:$Z$498,0)+17,"")</f>
        <v/>
      </c>
      <c r="B90" s="69" t="str">
        <f>IF($A90="","",INDEX('Wash Sale Tracker'!$A:$A,$A90))</f>
        <v/>
      </c>
      <c r="C90" s="30" t="str">
        <f>IF($A90="","",INDEX('Wash Sale Tracker'!$L:$L,$A90))</f>
        <v/>
      </c>
      <c r="D90" s="69" t="str">
        <f>IF($A90="","",INDEX('Wash Sale Tracker'!$E:$E,$A90))</f>
        <v/>
      </c>
      <c r="E90" s="51" t="str">
        <f>IF($A90="","",ABS(INDEX('Wash Sale Tracker'!$J:$J,$A90)))</f>
        <v/>
      </c>
      <c r="F90" s="51" t="str">
        <f>IF($A90="","",INDEX('Wash Sale Tracker'!$O:$O,$A90))</f>
        <v/>
      </c>
      <c r="G90" s="51" t="str">
        <f>IF($A90="","",INDEX('Wash Sale Tracker'!$T:$T,$A90))</f>
        <v/>
      </c>
      <c r="H90" s="63" t="str">
        <f>IF($A90="","",INDEX('Wash Sale Tracker'!$S:$S,$A90))</f>
        <v/>
      </c>
      <c r="I90" s="63" t="str">
        <f>IF($A90="","",INDEX('Wash Sale Tracker'!$X:$X,$A90))</f>
        <v/>
      </c>
      <c r="J90" s="25"/>
      <c r="K90" s="24"/>
      <c r="L90" s="74"/>
      <c r="M90" s="24"/>
    </row>
    <row r="91" spans="1:13" ht="20.100000000000001" customHeight="1" x14ac:dyDescent="0.2">
      <c r="A91" s="9" t="str">
        <f>IFERROR(MATCH(82,'Wash Sale Tracker'!$Z$18:$Z$498,0)+17,"")</f>
        <v/>
      </c>
      <c r="B91" s="69" t="str">
        <f>IF($A91="","",INDEX('Wash Sale Tracker'!$A:$A,$A91))</f>
        <v/>
      </c>
      <c r="C91" s="30" t="str">
        <f>IF($A91="","",INDEX('Wash Sale Tracker'!$L:$L,$A91))</f>
        <v/>
      </c>
      <c r="D91" s="69" t="str">
        <f>IF($A91="","",INDEX('Wash Sale Tracker'!$E:$E,$A91))</f>
        <v/>
      </c>
      <c r="E91" s="51" t="str">
        <f>IF($A91="","",ABS(INDEX('Wash Sale Tracker'!$J:$J,$A91)))</f>
        <v/>
      </c>
      <c r="F91" s="51" t="str">
        <f>IF($A91="","",INDEX('Wash Sale Tracker'!$O:$O,$A91))</f>
        <v/>
      </c>
      <c r="G91" s="51" t="str">
        <f>IF($A91="","",INDEX('Wash Sale Tracker'!$T:$T,$A91))</f>
        <v/>
      </c>
      <c r="H91" s="63" t="str">
        <f>IF($A91="","",INDEX('Wash Sale Tracker'!$S:$S,$A91))</f>
        <v/>
      </c>
      <c r="I91" s="63" t="str">
        <f>IF($A91="","",INDEX('Wash Sale Tracker'!$X:$X,$A91))</f>
        <v/>
      </c>
      <c r="J91" s="25"/>
      <c r="K91" s="24"/>
      <c r="L91" s="74"/>
      <c r="M91" s="24"/>
    </row>
    <row r="92" spans="1:13" ht="20.100000000000001" customHeight="1" x14ac:dyDescent="0.2">
      <c r="A92" s="9" t="str">
        <f>IFERROR(MATCH(83,'Wash Sale Tracker'!$Z$18:$Z$498,0)+17,"")</f>
        <v/>
      </c>
      <c r="B92" s="69" t="str">
        <f>IF($A92="","",INDEX('Wash Sale Tracker'!$A:$A,$A92))</f>
        <v/>
      </c>
      <c r="C92" s="30" t="str">
        <f>IF($A92="","",INDEX('Wash Sale Tracker'!$L:$L,$A92))</f>
        <v/>
      </c>
      <c r="D92" s="69" t="str">
        <f>IF($A92="","",INDEX('Wash Sale Tracker'!$E:$E,$A92))</f>
        <v/>
      </c>
      <c r="E92" s="51" t="str">
        <f>IF($A92="","",ABS(INDEX('Wash Sale Tracker'!$J:$J,$A92)))</f>
        <v/>
      </c>
      <c r="F92" s="51" t="str">
        <f>IF($A92="","",INDEX('Wash Sale Tracker'!$O:$O,$A92))</f>
        <v/>
      </c>
      <c r="G92" s="51" t="str">
        <f>IF($A92="","",INDEX('Wash Sale Tracker'!$T:$T,$A92))</f>
        <v/>
      </c>
      <c r="H92" s="63" t="str">
        <f>IF($A92="","",INDEX('Wash Sale Tracker'!$S:$S,$A92))</f>
        <v/>
      </c>
      <c r="I92" s="63" t="str">
        <f>IF($A92="","",INDEX('Wash Sale Tracker'!$X:$X,$A92))</f>
        <v/>
      </c>
      <c r="J92" s="25"/>
      <c r="K92" s="24"/>
      <c r="L92" s="74"/>
      <c r="M92" s="24"/>
    </row>
    <row r="93" spans="1:13" ht="20.100000000000001" customHeight="1" x14ac:dyDescent="0.2">
      <c r="A93" s="9" t="str">
        <f>IFERROR(MATCH(84,'Wash Sale Tracker'!$Z$18:$Z$498,0)+17,"")</f>
        <v/>
      </c>
      <c r="B93" s="69" t="str">
        <f>IF($A93="","",INDEX('Wash Sale Tracker'!$A:$A,$A93))</f>
        <v/>
      </c>
      <c r="C93" s="30" t="str">
        <f>IF($A93="","",INDEX('Wash Sale Tracker'!$L:$L,$A93))</f>
        <v/>
      </c>
      <c r="D93" s="69" t="str">
        <f>IF($A93="","",INDEX('Wash Sale Tracker'!$E:$E,$A93))</f>
        <v/>
      </c>
      <c r="E93" s="51" t="str">
        <f>IF($A93="","",ABS(INDEX('Wash Sale Tracker'!$J:$J,$A93)))</f>
        <v/>
      </c>
      <c r="F93" s="51" t="str">
        <f>IF($A93="","",INDEX('Wash Sale Tracker'!$O:$O,$A93))</f>
        <v/>
      </c>
      <c r="G93" s="51" t="str">
        <f>IF($A93="","",INDEX('Wash Sale Tracker'!$T:$T,$A93))</f>
        <v/>
      </c>
      <c r="H93" s="63" t="str">
        <f>IF($A93="","",INDEX('Wash Sale Tracker'!$S:$S,$A93))</f>
        <v/>
      </c>
      <c r="I93" s="63" t="str">
        <f>IF($A93="","",INDEX('Wash Sale Tracker'!$X:$X,$A93))</f>
        <v/>
      </c>
      <c r="J93" s="25"/>
      <c r="K93" s="24"/>
      <c r="L93" s="74"/>
      <c r="M93" s="24"/>
    </row>
    <row r="94" spans="1:13" ht="20.100000000000001" customHeight="1" x14ac:dyDescent="0.2">
      <c r="A94" s="9" t="str">
        <f>IFERROR(MATCH(85,'Wash Sale Tracker'!$Z$18:$Z$498,0)+17,"")</f>
        <v/>
      </c>
      <c r="B94" s="69" t="str">
        <f>IF($A94="","",INDEX('Wash Sale Tracker'!$A:$A,$A94))</f>
        <v/>
      </c>
      <c r="C94" s="30" t="str">
        <f>IF($A94="","",INDEX('Wash Sale Tracker'!$L:$L,$A94))</f>
        <v/>
      </c>
      <c r="D94" s="69" t="str">
        <f>IF($A94="","",INDEX('Wash Sale Tracker'!$E:$E,$A94))</f>
        <v/>
      </c>
      <c r="E94" s="51" t="str">
        <f>IF($A94="","",ABS(INDEX('Wash Sale Tracker'!$J:$J,$A94)))</f>
        <v/>
      </c>
      <c r="F94" s="51" t="str">
        <f>IF($A94="","",INDEX('Wash Sale Tracker'!$O:$O,$A94))</f>
        <v/>
      </c>
      <c r="G94" s="51" t="str">
        <f>IF($A94="","",INDEX('Wash Sale Tracker'!$T:$T,$A94))</f>
        <v/>
      </c>
      <c r="H94" s="63" t="str">
        <f>IF($A94="","",INDEX('Wash Sale Tracker'!$S:$S,$A94))</f>
        <v/>
      </c>
      <c r="I94" s="63" t="str">
        <f>IF($A94="","",INDEX('Wash Sale Tracker'!$X:$X,$A94))</f>
        <v/>
      </c>
      <c r="J94" s="25"/>
      <c r="K94" s="24"/>
      <c r="L94" s="74"/>
      <c r="M94" s="24"/>
    </row>
    <row r="95" spans="1:13" ht="20.100000000000001" customHeight="1" x14ac:dyDescent="0.2">
      <c r="A95" s="9" t="str">
        <f>IFERROR(MATCH(86,'Wash Sale Tracker'!$Z$18:$Z$498,0)+17,"")</f>
        <v/>
      </c>
      <c r="B95" s="69" t="str">
        <f>IF($A95="","",INDEX('Wash Sale Tracker'!$A:$A,$A95))</f>
        <v/>
      </c>
      <c r="C95" s="30" t="str">
        <f>IF($A95="","",INDEX('Wash Sale Tracker'!$L:$L,$A95))</f>
        <v/>
      </c>
      <c r="D95" s="69" t="str">
        <f>IF($A95="","",INDEX('Wash Sale Tracker'!$E:$E,$A95))</f>
        <v/>
      </c>
      <c r="E95" s="51" t="str">
        <f>IF($A95="","",ABS(INDEX('Wash Sale Tracker'!$J:$J,$A95)))</f>
        <v/>
      </c>
      <c r="F95" s="51" t="str">
        <f>IF($A95="","",INDEX('Wash Sale Tracker'!$O:$O,$A95))</f>
        <v/>
      </c>
      <c r="G95" s="51" t="str">
        <f>IF($A95="","",INDEX('Wash Sale Tracker'!$T:$T,$A95))</f>
        <v/>
      </c>
      <c r="H95" s="63" t="str">
        <f>IF($A95="","",INDEX('Wash Sale Tracker'!$S:$S,$A95))</f>
        <v/>
      </c>
      <c r="I95" s="63" t="str">
        <f>IF($A95="","",INDEX('Wash Sale Tracker'!$X:$X,$A95))</f>
        <v/>
      </c>
      <c r="J95" s="25"/>
      <c r="K95" s="24"/>
      <c r="L95" s="74"/>
      <c r="M95" s="24"/>
    </row>
    <row r="96" spans="1:13" ht="20.100000000000001" customHeight="1" x14ac:dyDescent="0.2">
      <c r="A96" s="9" t="str">
        <f>IFERROR(MATCH(87,'Wash Sale Tracker'!$Z$18:$Z$498,0)+17,"")</f>
        <v/>
      </c>
      <c r="B96" s="69" t="str">
        <f>IF($A96="","",INDEX('Wash Sale Tracker'!$A:$A,$A96))</f>
        <v/>
      </c>
      <c r="C96" s="30" t="str">
        <f>IF($A96="","",INDEX('Wash Sale Tracker'!$L:$L,$A96))</f>
        <v/>
      </c>
      <c r="D96" s="69" t="str">
        <f>IF($A96="","",INDEX('Wash Sale Tracker'!$E:$E,$A96))</f>
        <v/>
      </c>
      <c r="E96" s="51" t="str">
        <f>IF($A96="","",ABS(INDEX('Wash Sale Tracker'!$J:$J,$A96)))</f>
        <v/>
      </c>
      <c r="F96" s="51" t="str">
        <f>IF($A96="","",INDEX('Wash Sale Tracker'!$O:$O,$A96))</f>
        <v/>
      </c>
      <c r="G96" s="51" t="str">
        <f>IF($A96="","",INDEX('Wash Sale Tracker'!$T:$T,$A96))</f>
        <v/>
      </c>
      <c r="H96" s="63" t="str">
        <f>IF($A96="","",INDEX('Wash Sale Tracker'!$S:$S,$A96))</f>
        <v/>
      </c>
      <c r="I96" s="63" t="str">
        <f>IF($A96="","",INDEX('Wash Sale Tracker'!$X:$X,$A96))</f>
        <v/>
      </c>
      <c r="J96" s="25"/>
      <c r="K96" s="24"/>
      <c r="L96" s="74"/>
      <c r="M96" s="24"/>
    </row>
    <row r="97" spans="1:13" ht="20.100000000000001" customHeight="1" x14ac:dyDescent="0.2">
      <c r="A97" s="9" t="str">
        <f>IFERROR(MATCH(88,'Wash Sale Tracker'!$Z$18:$Z$498,0)+17,"")</f>
        <v/>
      </c>
      <c r="B97" s="69" t="str">
        <f>IF($A97="","",INDEX('Wash Sale Tracker'!$A:$A,$A97))</f>
        <v/>
      </c>
      <c r="C97" s="30" t="str">
        <f>IF($A97="","",INDEX('Wash Sale Tracker'!$L:$L,$A97))</f>
        <v/>
      </c>
      <c r="D97" s="69" t="str">
        <f>IF($A97="","",INDEX('Wash Sale Tracker'!$E:$E,$A97))</f>
        <v/>
      </c>
      <c r="E97" s="51" t="str">
        <f>IF($A97="","",ABS(INDEX('Wash Sale Tracker'!$J:$J,$A97)))</f>
        <v/>
      </c>
      <c r="F97" s="51" t="str">
        <f>IF($A97="","",INDEX('Wash Sale Tracker'!$O:$O,$A97))</f>
        <v/>
      </c>
      <c r="G97" s="51" t="str">
        <f>IF($A97="","",INDEX('Wash Sale Tracker'!$T:$T,$A97))</f>
        <v/>
      </c>
      <c r="H97" s="63" t="str">
        <f>IF($A97="","",INDEX('Wash Sale Tracker'!$S:$S,$A97))</f>
        <v/>
      </c>
      <c r="I97" s="63" t="str">
        <f>IF($A97="","",INDEX('Wash Sale Tracker'!$X:$X,$A97))</f>
        <v/>
      </c>
      <c r="J97" s="25"/>
      <c r="K97" s="24"/>
      <c r="L97" s="74"/>
      <c r="M97" s="24"/>
    </row>
    <row r="98" spans="1:13" ht="20.100000000000001" customHeight="1" x14ac:dyDescent="0.2">
      <c r="A98" s="9" t="str">
        <f>IFERROR(MATCH(89,'Wash Sale Tracker'!$Z$18:$Z$498,0)+17,"")</f>
        <v/>
      </c>
      <c r="B98" s="69" t="str">
        <f>IF($A98="","",INDEX('Wash Sale Tracker'!$A:$A,$A98))</f>
        <v/>
      </c>
      <c r="C98" s="30" t="str">
        <f>IF($A98="","",INDEX('Wash Sale Tracker'!$L:$L,$A98))</f>
        <v/>
      </c>
      <c r="D98" s="69" t="str">
        <f>IF($A98="","",INDEX('Wash Sale Tracker'!$E:$E,$A98))</f>
        <v/>
      </c>
      <c r="E98" s="51" t="str">
        <f>IF($A98="","",ABS(INDEX('Wash Sale Tracker'!$J:$J,$A98)))</f>
        <v/>
      </c>
      <c r="F98" s="51" t="str">
        <f>IF($A98="","",INDEX('Wash Sale Tracker'!$O:$O,$A98))</f>
        <v/>
      </c>
      <c r="G98" s="51" t="str">
        <f>IF($A98="","",INDEX('Wash Sale Tracker'!$T:$T,$A98))</f>
        <v/>
      </c>
      <c r="H98" s="63" t="str">
        <f>IF($A98="","",INDEX('Wash Sale Tracker'!$S:$S,$A98))</f>
        <v/>
      </c>
      <c r="I98" s="63" t="str">
        <f>IF($A98="","",INDEX('Wash Sale Tracker'!$X:$X,$A98))</f>
        <v/>
      </c>
      <c r="J98" s="25"/>
      <c r="K98" s="24"/>
      <c r="L98" s="74"/>
      <c r="M98" s="24"/>
    </row>
    <row r="99" spans="1:13" ht="20.100000000000001" customHeight="1" x14ac:dyDescent="0.2">
      <c r="A99" s="9" t="str">
        <f>IFERROR(MATCH(90,'Wash Sale Tracker'!$Z$18:$Z$498,0)+17,"")</f>
        <v/>
      </c>
      <c r="B99" s="69" t="str">
        <f>IF($A99="","",INDEX('Wash Sale Tracker'!$A:$A,$A99))</f>
        <v/>
      </c>
      <c r="C99" s="30" t="str">
        <f>IF($A99="","",INDEX('Wash Sale Tracker'!$L:$L,$A99))</f>
        <v/>
      </c>
      <c r="D99" s="69" t="str">
        <f>IF($A99="","",INDEX('Wash Sale Tracker'!$E:$E,$A99))</f>
        <v/>
      </c>
      <c r="E99" s="51" t="str">
        <f>IF($A99="","",ABS(INDEX('Wash Sale Tracker'!$J:$J,$A99)))</f>
        <v/>
      </c>
      <c r="F99" s="51" t="str">
        <f>IF($A99="","",INDEX('Wash Sale Tracker'!$O:$O,$A99))</f>
        <v/>
      </c>
      <c r="G99" s="51" t="str">
        <f>IF($A99="","",INDEX('Wash Sale Tracker'!$T:$T,$A99))</f>
        <v/>
      </c>
      <c r="H99" s="63" t="str">
        <f>IF($A99="","",INDEX('Wash Sale Tracker'!$S:$S,$A99))</f>
        <v/>
      </c>
      <c r="I99" s="63" t="str">
        <f>IF($A99="","",INDEX('Wash Sale Tracker'!$X:$X,$A99))</f>
        <v/>
      </c>
      <c r="J99" s="25"/>
      <c r="K99" s="24"/>
      <c r="L99" s="74"/>
      <c r="M99" s="24"/>
    </row>
    <row r="100" spans="1:13" ht="20.100000000000001" customHeight="1" x14ac:dyDescent="0.2">
      <c r="A100" s="9" t="str">
        <f>IFERROR(MATCH(91,'Wash Sale Tracker'!$Z$18:$Z$498,0)+17,"")</f>
        <v/>
      </c>
      <c r="B100" s="69" t="str">
        <f>IF($A100="","",INDEX('Wash Sale Tracker'!$A:$A,$A100))</f>
        <v/>
      </c>
      <c r="C100" s="30" t="str">
        <f>IF($A100="","",INDEX('Wash Sale Tracker'!$L:$L,$A100))</f>
        <v/>
      </c>
      <c r="D100" s="69" t="str">
        <f>IF($A100="","",INDEX('Wash Sale Tracker'!$E:$E,$A100))</f>
        <v/>
      </c>
      <c r="E100" s="51" t="str">
        <f>IF($A100="","",ABS(INDEX('Wash Sale Tracker'!$J:$J,$A100)))</f>
        <v/>
      </c>
      <c r="F100" s="51" t="str">
        <f>IF($A100="","",INDEX('Wash Sale Tracker'!$O:$O,$A100))</f>
        <v/>
      </c>
      <c r="G100" s="51" t="str">
        <f>IF($A100="","",INDEX('Wash Sale Tracker'!$T:$T,$A100))</f>
        <v/>
      </c>
      <c r="H100" s="63" t="str">
        <f>IF($A100="","",INDEX('Wash Sale Tracker'!$S:$S,$A100))</f>
        <v/>
      </c>
      <c r="I100" s="63" t="str">
        <f>IF($A100="","",INDEX('Wash Sale Tracker'!$X:$X,$A100))</f>
        <v/>
      </c>
      <c r="J100" s="25"/>
      <c r="K100" s="24"/>
      <c r="L100" s="74"/>
      <c r="M100" s="24"/>
    </row>
    <row r="101" spans="1:13" ht="20.100000000000001" customHeight="1" x14ac:dyDescent="0.2">
      <c r="A101" s="9" t="str">
        <f ca="1">IFERROR(_xludf.AGGREGATE(15,6,ROW('Wash Sale Tracker'!$K$18:$K$498)/(('Wash Sale Tracker'!$K$18:$K$498="Yes")*(ROW('Wash Sale Tracker'!$K$18:$K$498)&gt;A100)),1),"")</f>
        <v/>
      </c>
      <c r="B101" s="69" t="str">
        <f ca="1">IF($A101="","",INDEX('Wash Sale Tracker'!$A:$A,$A101))</f>
        <v/>
      </c>
      <c r="C101" s="30" t="str">
        <f ca="1">IF($A101="","",INDEX('Wash Sale Tracker'!$L:$L,$A101))</f>
        <v/>
      </c>
      <c r="D101" s="69" t="str">
        <f ca="1">IF($A101="","",INDEX('Wash Sale Tracker'!$E:$E,$A101))</f>
        <v/>
      </c>
      <c r="E101" s="51" t="str">
        <f ca="1">IF($A101="","",ABS(INDEX('Wash Sale Tracker'!$J:$J,$A101)))</f>
        <v/>
      </c>
      <c r="F101" s="51" t="str">
        <f ca="1">IF($A101="","",INDEX('Wash Sale Tracker'!$O:$O,$A101))</f>
        <v/>
      </c>
      <c r="G101" s="51" t="str">
        <f ca="1">IF($A101="","",INDEX('Wash Sale Tracker'!$T:$T,$A101))</f>
        <v/>
      </c>
      <c r="H101" s="63" t="str">
        <f ca="1">IF($A101="","",INDEX('Wash Sale Tracker'!$S:$S,$A101))</f>
        <v/>
      </c>
      <c r="I101" s="63" t="str">
        <f ca="1">IF($A101="","",INDEX('Wash Sale Tracker'!$X:$X,$A101))</f>
        <v/>
      </c>
      <c r="J101" s="25"/>
      <c r="K101" s="24"/>
      <c r="L101" s="74"/>
      <c r="M101" s="24"/>
    </row>
    <row r="102" spans="1:13" ht="20.100000000000001" customHeight="1" x14ac:dyDescent="0.2">
      <c r="A102" s="9" t="str">
        <f ca="1">IFERROR(_xludf.AGGREGATE(15,6,ROW('Wash Sale Tracker'!$K$18:$K$498)/(('Wash Sale Tracker'!$K$18:$K$498="Yes")*(ROW('Wash Sale Tracker'!$K$18:$K$498)&gt;A101)),1),"")</f>
        <v/>
      </c>
      <c r="B102" s="69" t="str">
        <f ca="1">IF($A102="","",INDEX('Wash Sale Tracker'!$A:$A,$A102))</f>
        <v/>
      </c>
      <c r="C102" s="30" t="str">
        <f ca="1">IF($A102="","",INDEX('Wash Sale Tracker'!$L:$L,$A102))</f>
        <v/>
      </c>
      <c r="D102" s="69" t="str">
        <f ca="1">IF($A102="","",INDEX('Wash Sale Tracker'!$E:$E,$A102))</f>
        <v/>
      </c>
      <c r="E102" s="51" t="str">
        <f ca="1">IF($A102="","",ABS(INDEX('Wash Sale Tracker'!$J:$J,$A102)))</f>
        <v/>
      </c>
      <c r="F102" s="51" t="str">
        <f ca="1">IF($A102="","",INDEX('Wash Sale Tracker'!$O:$O,$A102))</f>
        <v/>
      </c>
      <c r="G102" s="51" t="str">
        <f ca="1">IF($A102="","",INDEX('Wash Sale Tracker'!$T:$T,$A102))</f>
        <v/>
      </c>
      <c r="H102" s="63" t="str">
        <f ca="1">IF($A102="","",INDEX('Wash Sale Tracker'!$S:$S,$A102))</f>
        <v/>
      </c>
      <c r="I102" s="63" t="str">
        <f ca="1">IF($A102="","",INDEX('Wash Sale Tracker'!$X:$X,$A102))</f>
        <v/>
      </c>
      <c r="J102" s="26"/>
      <c r="K102" s="24"/>
      <c r="L102" s="74"/>
      <c r="M102" s="24"/>
    </row>
    <row r="103" spans="1:13" ht="20.100000000000001" customHeight="1" x14ac:dyDescent="0.2">
      <c r="A103" s="9" t="str">
        <f ca="1">IFERROR(_xludf.AGGREGATE(15,6,ROW('Wash Sale Tracker'!$K$18:$K$498)/(('Wash Sale Tracker'!$K$18:$K$498="Yes")*(ROW('Wash Sale Tracker'!$K$18:$K$498)&gt;A102)),1),"")</f>
        <v/>
      </c>
      <c r="B103" s="69" t="str">
        <f ca="1">IF($A103="","",INDEX('Wash Sale Tracker'!$A:$A,$A103))</f>
        <v/>
      </c>
      <c r="C103" s="30" t="str">
        <f ca="1">IF($A103="","",INDEX('Wash Sale Tracker'!$L:$L,$A103))</f>
        <v/>
      </c>
      <c r="D103" s="69" t="str">
        <f ca="1">IF($A103="","",INDEX('Wash Sale Tracker'!$E:$E,$A103))</f>
        <v/>
      </c>
      <c r="E103" s="51" t="str">
        <f ca="1">IF($A103="","",ABS(INDEX('Wash Sale Tracker'!$J:$J,$A103)))</f>
        <v/>
      </c>
      <c r="F103" s="51" t="str">
        <f ca="1">IF($A103="","",INDEX('Wash Sale Tracker'!$O:$O,$A103))</f>
        <v/>
      </c>
      <c r="G103" s="51" t="str">
        <f ca="1">IF($A103="","",INDEX('Wash Sale Tracker'!$T:$T,$A103))</f>
        <v/>
      </c>
      <c r="H103" s="63" t="str">
        <f ca="1">IF($A103="","",INDEX('Wash Sale Tracker'!$S:$S,$A103))</f>
        <v/>
      </c>
      <c r="I103" s="63" t="str">
        <f ca="1">IF($A103="","",INDEX('Wash Sale Tracker'!$X:$X,$A103))</f>
        <v/>
      </c>
      <c r="J103" s="26"/>
      <c r="K103" s="24"/>
      <c r="L103" s="74"/>
      <c r="M103" s="24"/>
    </row>
    <row r="104" spans="1:13" ht="20.100000000000001" customHeight="1" x14ac:dyDescent="0.2">
      <c r="A104" s="9" t="str">
        <f ca="1">IFERROR(_xludf.AGGREGATE(15,6,ROW('Wash Sale Tracker'!$K$18:$K$498)/(('Wash Sale Tracker'!$K$18:$K$498="Yes")*(ROW('Wash Sale Tracker'!$K$18:$K$498)&gt;A103)),1),"")</f>
        <v/>
      </c>
      <c r="B104" s="69" t="str">
        <f ca="1">IF($A104="","",INDEX('Wash Sale Tracker'!$A:$A,$A104))</f>
        <v/>
      </c>
      <c r="C104" s="30" t="str">
        <f ca="1">IF($A104="","",INDEX('Wash Sale Tracker'!$L:$L,$A104))</f>
        <v/>
      </c>
      <c r="D104" s="69" t="str">
        <f ca="1">IF($A104="","",INDEX('Wash Sale Tracker'!$E:$E,$A104))</f>
        <v/>
      </c>
      <c r="E104" s="51" t="str">
        <f ca="1">IF($A104="","",ABS(INDEX('Wash Sale Tracker'!$J:$J,$A104)))</f>
        <v/>
      </c>
      <c r="F104" s="51" t="str">
        <f ca="1">IF($A104="","",INDEX('Wash Sale Tracker'!$O:$O,$A104))</f>
        <v/>
      </c>
      <c r="G104" s="51" t="str">
        <f ca="1">IF($A104="","",INDEX('Wash Sale Tracker'!$T:$T,$A104))</f>
        <v/>
      </c>
      <c r="H104" s="63" t="str">
        <f ca="1">IF($A104="","",INDEX('Wash Sale Tracker'!$S:$S,$A104))</f>
        <v/>
      </c>
      <c r="I104" s="63" t="str">
        <f ca="1">IF($A104="","",INDEX('Wash Sale Tracker'!$X:$X,$A104))</f>
        <v/>
      </c>
      <c r="J104" s="26"/>
      <c r="K104" s="24"/>
      <c r="L104" s="74"/>
      <c r="M104" s="24"/>
    </row>
    <row r="105" spans="1:13" ht="20.100000000000001" customHeight="1" x14ac:dyDescent="0.2">
      <c r="A105" s="9" t="str">
        <f ca="1">IFERROR(_xludf.AGGREGATE(15,6,ROW('Wash Sale Tracker'!$K$18:$K$498)/(('Wash Sale Tracker'!$K$18:$K$498="Yes")*(ROW('Wash Sale Tracker'!$K$18:$K$498)&gt;A104)),1),"")</f>
        <v/>
      </c>
      <c r="B105" s="69" t="str">
        <f ca="1">IF($A105="","",INDEX('Wash Sale Tracker'!$A:$A,$A105))</f>
        <v/>
      </c>
      <c r="C105" s="30" t="str">
        <f ca="1">IF($A105="","",INDEX('Wash Sale Tracker'!$L:$L,$A105))</f>
        <v/>
      </c>
      <c r="D105" s="69" t="str">
        <f ca="1">IF($A105="","",INDEX('Wash Sale Tracker'!$E:$E,$A105))</f>
        <v/>
      </c>
      <c r="E105" s="51" t="str">
        <f ca="1">IF($A105="","",ABS(INDEX('Wash Sale Tracker'!$J:$J,$A105)))</f>
        <v/>
      </c>
      <c r="F105" s="51" t="str">
        <f ca="1">IF($A105="","",INDEX('Wash Sale Tracker'!$O:$O,$A105))</f>
        <v/>
      </c>
      <c r="G105" s="51" t="str">
        <f ca="1">IF($A105="","",INDEX('Wash Sale Tracker'!$T:$T,$A105))</f>
        <v/>
      </c>
      <c r="H105" s="63" t="str">
        <f ca="1">IF($A105="","",INDEX('Wash Sale Tracker'!$S:$S,$A105))</f>
        <v/>
      </c>
      <c r="I105" s="63" t="str">
        <f ca="1">IF($A105="","",INDEX('Wash Sale Tracker'!$X:$X,$A105))</f>
        <v/>
      </c>
      <c r="J105" s="26"/>
      <c r="K105" s="24"/>
      <c r="L105" s="74"/>
      <c r="M105" s="24"/>
    </row>
    <row r="106" spans="1:13" ht="20.100000000000001" customHeight="1" x14ac:dyDescent="0.2">
      <c r="A106" s="9" t="str">
        <f ca="1">IFERROR(_xludf.AGGREGATE(15,6,ROW('Wash Sale Tracker'!$K$18:$K$498)/(('Wash Sale Tracker'!$K$18:$K$498="Yes")*(ROW('Wash Sale Tracker'!$K$18:$K$498)&gt;A105)),1),"")</f>
        <v/>
      </c>
      <c r="B106" s="69" t="str">
        <f ca="1">IF($A106="","",INDEX('Wash Sale Tracker'!$A:$A,$A106))</f>
        <v/>
      </c>
      <c r="C106" s="30" t="str">
        <f ca="1">IF($A106="","",INDEX('Wash Sale Tracker'!$L:$L,$A106))</f>
        <v/>
      </c>
      <c r="D106" s="69" t="str">
        <f ca="1">IF($A106="","",INDEX('Wash Sale Tracker'!$E:$E,$A106))</f>
        <v/>
      </c>
      <c r="E106" s="51" t="str">
        <f ca="1">IF($A106="","",ABS(INDEX('Wash Sale Tracker'!$J:$J,$A106)))</f>
        <v/>
      </c>
      <c r="F106" s="51" t="str">
        <f ca="1">IF($A106="","",INDEX('Wash Sale Tracker'!$O:$O,$A106))</f>
        <v/>
      </c>
      <c r="G106" s="51" t="str">
        <f ca="1">IF($A106="","",INDEX('Wash Sale Tracker'!$T:$T,$A106))</f>
        <v/>
      </c>
      <c r="H106" s="63" t="str">
        <f ca="1">IF($A106="","",INDEX('Wash Sale Tracker'!$S:$S,$A106))</f>
        <v/>
      </c>
      <c r="I106" s="63" t="str">
        <f ca="1">IF($A106="","",INDEX('Wash Sale Tracker'!$X:$X,$A106))</f>
        <v/>
      </c>
      <c r="J106" s="26"/>
      <c r="K106" s="24"/>
      <c r="L106" s="74"/>
      <c r="M106" s="24"/>
    </row>
    <row r="107" spans="1:13" ht="20.100000000000001" customHeight="1" x14ac:dyDescent="0.2">
      <c r="A107" s="9" t="str">
        <f ca="1">IFERROR(_xludf.AGGREGATE(15,6,ROW('Wash Sale Tracker'!$K$18:$K$498)/(('Wash Sale Tracker'!$K$18:$K$498="Yes")*(ROW('Wash Sale Tracker'!$K$18:$K$498)&gt;A106)),1),"")</f>
        <v/>
      </c>
      <c r="B107" s="69" t="str">
        <f ca="1">IF($A107="","",INDEX('Wash Sale Tracker'!$A:$A,$A107))</f>
        <v/>
      </c>
      <c r="C107" s="30" t="str">
        <f ca="1">IF($A107="","",INDEX('Wash Sale Tracker'!$L:$L,$A107))</f>
        <v/>
      </c>
      <c r="D107" s="69" t="str">
        <f ca="1">IF($A107="","",INDEX('Wash Sale Tracker'!$E:$E,$A107))</f>
        <v/>
      </c>
      <c r="E107" s="51" t="str">
        <f ca="1">IF($A107="","",ABS(INDEX('Wash Sale Tracker'!$J:$J,$A107)))</f>
        <v/>
      </c>
      <c r="F107" s="51" t="str">
        <f ca="1">IF($A107="","",INDEX('Wash Sale Tracker'!$O:$O,$A107))</f>
        <v/>
      </c>
      <c r="G107" s="51" t="str">
        <f ca="1">IF($A107="","",INDEX('Wash Sale Tracker'!$T:$T,$A107))</f>
        <v/>
      </c>
      <c r="H107" s="63" t="str">
        <f ca="1">IF($A107="","",INDEX('Wash Sale Tracker'!$S:$S,$A107))</f>
        <v/>
      </c>
      <c r="I107" s="63" t="str">
        <f ca="1">IF($A107="","",INDEX('Wash Sale Tracker'!$X:$X,$A107))</f>
        <v/>
      </c>
      <c r="J107" s="26"/>
      <c r="K107" s="24"/>
      <c r="L107" s="74"/>
      <c r="M107" s="24"/>
    </row>
    <row r="108" spans="1:13" ht="20.100000000000001" customHeight="1" x14ac:dyDescent="0.2">
      <c r="A108" s="9" t="str">
        <f ca="1">IFERROR(_xludf.AGGREGATE(15,6,ROW('Wash Sale Tracker'!$K$18:$K$498)/(('Wash Sale Tracker'!$K$18:$K$498="Yes")*(ROW('Wash Sale Tracker'!$K$18:$K$498)&gt;A107)),1),"")</f>
        <v/>
      </c>
      <c r="B108" s="69" t="str">
        <f ca="1">IF($A108="","",INDEX('Wash Sale Tracker'!$A:$A,$A108))</f>
        <v/>
      </c>
      <c r="C108" s="30" t="str">
        <f ca="1">IF($A108="","",INDEX('Wash Sale Tracker'!$L:$L,$A108))</f>
        <v/>
      </c>
      <c r="D108" s="69" t="str">
        <f ca="1">IF($A108="","",INDEX('Wash Sale Tracker'!$E:$E,$A108))</f>
        <v/>
      </c>
      <c r="E108" s="51" t="str">
        <f ca="1">IF($A108="","",ABS(INDEX('Wash Sale Tracker'!$J:$J,$A108)))</f>
        <v/>
      </c>
      <c r="F108" s="51" t="str">
        <f ca="1">IF($A108="","",INDEX('Wash Sale Tracker'!$O:$O,$A108))</f>
        <v/>
      </c>
      <c r="G108" s="51" t="str">
        <f ca="1">IF($A108="","",INDEX('Wash Sale Tracker'!$T:$T,$A108))</f>
        <v/>
      </c>
      <c r="H108" s="63" t="str">
        <f ca="1">IF($A108="","",INDEX('Wash Sale Tracker'!$S:$S,$A108))</f>
        <v/>
      </c>
      <c r="I108" s="63" t="str">
        <f ca="1">IF($A108="","",INDEX('Wash Sale Tracker'!$X:$X,$A108))</f>
        <v/>
      </c>
      <c r="J108" s="26"/>
      <c r="K108" s="24"/>
      <c r="L108" s="74"/>
      <c r="M108" s="24"/>
    </row>
    <row r="109" spans="1:13" ht="20.100000000000001" customHeight="1" x14ac:dyDescent="0.2">
      <c r="A109" s="9" t="str">
        <f ca="1">IFERROR(_xludf.AGGREGATE(15,6,ROW('Wash Sale Tracker'!$K$18:$K$498)/(('Wash Sale Tracker'!$K$18:$K$498="Yes")*(ROW('Wash Sale Tracker'!$K$18:$K$498)&gt;A108)),1),"")</f>
        <v/>
      </c>
      <c r="B109" s="69" t="str">
        <f ca="1">IF($A109="","",INDEX('Wash Sale Tracker'!$A:$A,$A109))</f>
        <v/>
      </c>
      <c r="C109" s="30" t="str">
        <f ca="1">IF($A109="","",INDEX('Wash Sale Tracker'!$L:$L,$A109))</f>
        <v/>
      </c>
      <c r="D109" s="69" t="str">
        <f ca="1">IF($A109="","",INDEX('Wash Sale Tracker'!$E:$E,$A109))</f>
        <v/>
      </c>
      <c r="E109" s="51" t="str">
        <f ca="1">IF($A109="","",ABS(INDEX('Wash Sale Tracker'!$J:$J,$A109)))</f>
        <v/>
      </c>
      <c r="F109" s="51" t="str">
        <f ca="1">IF($A109="","",INDEX('Wash Sale Tracker'!$O:$O,$A109))</f>
        <v/>
      </c>
      <c r="G109" s="51" t="str">
        <f ca="1">IF($A109="","",INDEX('Wash Sale Tracker'!$T:$T,$A109))</f>
        <v/>
      </c>
      <c r="H109" s="63" t="str">
        <f ca="1">IF($A109="","",INDEX('Wash Sale Tracker'!$S:$S,$A109))</f>
        <v/>
      </c>
      <c r="I109" s="63" t="str">
        <f ca="1">IF($A109="","",INDEX('Wash Sale Tracker'!$X:$X,$A109))</f>
        <v/>
      </c>
      <c r="J109" s="26"/>
      <c r="K109" s="24"/>
      <c r="L109" s="74"/>
      <c r="M109" s="24"/>
    </row>
    <row r="110" spans="1:13" ht="20.100000000000001" customHeight="1" x14ac:dyDescent="0.2">
      <c r="A110" s="9" t="str">
        <f ca="1">IFERROR(_xludf.AGGREGATE(15,6,ROW('Wash Sale Tracker'!$K$18:$K$498)/(('Wash Sale Tracker'!$K$18:$K$498="Yes")*(ROW('Wash Sale Tracker'!$K$18:$K$498)&gt;A109)),1),"")</f>
        <v/>
      </c>
      <c r="B110" s="69" t="str">
        <f ca="1">IF($A110="","",INDEX('Wash Sale Tracker'!$A:$A,$A110))</f>
        <v/>
      </c>
      <c r="C110" s="30" t="str">
        <f ca="1">IF($A110="","",INDEX('Wash Sale Tracker'!$L:$L,$A110))</f>
        <v/>
      </c>
      <c r="D110" s="69" t="str">
        <f ca="1">IF($A110="","",INDEX('Wash Sale Tracker'!$E:$E,$A110))</f>
        <v/>
      </c>
      <c r="E110" s="51" t="str">
        <f ca="1">IF($A110="","",ABS(INDEX('Wash Sale Tracker'!$J:$J,$A110)))</f>
        <v/>
      </c>
      <c r="F110" s="51" t="str">
        <f ca="1">IF($A110="","",INDEX('Wash Sale Tracker'!$O:$O,$A110))</f>
        <v/>
      </c>
      <c r="G110" s="51" t="str">
        <f ca="1">IF($A110="","",INDEX('Wash Sale Tracker'!$T:$T,$A110))</f>
        <v/>
      </c>
      <c r="H110" s="63" t="str">
        <f ca="1">IF($A110="","",INDEX('Wash Sale Tracker'!$S:$S,$A110))</f>
        <v/>
      </c>
      <c r="I110" s="63" t="str">
        <f ca="1">IF($A110="","",INDEX('Wash Sale Tracker'!$X:$X,$A110))</f>
        <v/>
      </c>
      <c r="J110" s="26"/>
      <c r="K110" s="24"/>
      <c r="L110" s="74"/>
      <c r="M110" s="24"/>
    </row>
    <row r="111" spans="1:13" ht="20.100000000000001" customHeight="1" x14ac:dyDescent="0.2">
      <c r="A111" s="9" t="str">
        <f ca="1">IFERROR(_xludf.AGGREGATE(15,6,ROW('Wash Sale Tracker'!$K$18:$K$498)/(('Wash Sale Tracker'!$K$18:$K$498="Yes")*(ROW('Wash Sale Tracker'!$K$18:$K$498)&gt;A110)),1),"")</f>
        <v/>
      </c>
      <c r="B111" s="69" t="str">
        <f ca="1">IF($A111="","",INDEX('Wash Sale Tracker'!$A:$A,$A111))</f>
        <v/>
      </c>
      <c r="C111" s="30" t="str">
        <f ca="1">IF($A111="","",INDEX('Wash Sale Tracker'!$L:$L,$A111))</f>
        <v/>
      </c>
      <c r="D111" s="69" t="str">
        <f ca="1">IF($A111="","",INDEX('Wash Sale Tracker'!$E:$E,$A111))</f>
        <v/>
      </c>
      <c r="E111" s="51" t="str">
        <f ca="1">IF($A111="","",ABS(INDEX('Wash Sale Tracker'!$J:$J,$A111)))</f>
        <v/>
      </c>
      <c r="F111" s="51" t="str">
        <f ca="1">IF($A111="","",INDEX('Wash Sale Tracker'!$O:$O,$A111))</f>
        <v/>
      </c>
      <c r="G111" s="51" t="str">
        <f ca="1">IF($A111="","",INDEX('Wash Sale Tracker'!$T:$T,$A111))</f>
        <v/>
      </c>
      <c r="H111" s="63" t="str">
        <f ca="1">IF($A111="","",INDEX('Wash Sale Tracker'!$S:$S,$A111))</f>
        <v/>
      </c>
      <c r="I111" s="63" t="str">
        <f ca="1">IF($A111="","",INDEX('Wash Sale Tracker'!$X:$X,$A111))</f>
        <v/>
      </c>
      <c r="J111" s="25"/>
      <c r="K111" s="24"/>
      <c r="L111" s="74"/>
      <c r="M111" s="24"/>
    </row>
    <row r="112" spans="1:13" ht="20.100000000000001" customHeight="1" x14ac:dyDescent="0.2">
      <c r="A112" s="9" t="str">
        <f ca="1">IFERROR(_xludf.AGGREGATE(15,6,ROW('Wash Sale Tracker'!$K$18:$K$498)/(('Wash Sale Tracker'!$K$18:$K$498="Yes")*(ROW('Wash Sale Tracker'!$K$18:$K$498)&gt;A111)),1),"")</f>
        <v/>
      </c>
      <c r="B112" s="69" t="str">
        <f ca="1">IF($A112="","",INDEX('Wash Sale Tracker'!$A:$A,$A112))</f>
        <v/>
      </c>
      <c r="C112" s="30" t="str">
        <f ca="1">IF($A112="","",INDEX('Wash Sale Tracker'!$L:$L,$A112))</f>
        <v/>
      </c>
      <c r="D112" s="69" t="str">
        <f ca="1">IF($A112="","",INDEX('Wash Sale Tracker'!$E:$E,$A112))</f>
        <v/>
      </c>
      <c r="E112" s="51" t="str">
        <f ca="1">IF($A112="","",ABS(INDEX('Wash Sale Tracker'!$J:$J,$A112)))</f>
        <v/>
      </c>
      <c r="F112" s="51" t="str">
        <f ca="1">IF($A112="","",INDEX('Wash Sale Tracker'!$O:$O,$A112))</f>
        <v/>
      </c>
      <c r="G112" s="51" t="str">
        <f ca="1">IF($A112="","",INDEX('Wash Sale Tracker'!$T:$T,$A112))</f>
        <v/>
      </c>
      <c r="H112" s="63" t="str">
        <f ca="1">IF($A112="","",INDEX('Wash Sale Tracker'!$S:$S,$A112))</f>
        <v/>
      </c>
      <c r="I112" s="63" t="str">
        <f ca="1">IF($A112="","",INDEX('Wash Sale Tracker'!$X:$X,$A112))</f>
        <v/>
      </c>
      <c r="J112" s="25"/>
      <c r="K112" s="24"/>
      <c r="L112" s="74"/>
      <c r="M112" s="24"/>
    </row>
    <row r="113" spans="1:13" ht="20.100000000000001" customHeight="1" x14ac:dyDescent="0.2">
      <c r="A113" s="9" t="str">
        <f ca="1">IFERROR(_xludf.AGGREGATE(15,6,ROW('Wash Sale Tracker'!$K$18:$K$498)/(('Wash Sale Tracker'!$K$18:$K$498="Yes")*(ROW('Wash Sale Tracker'!$K$18:$K$498)&gt;A112)),1),"")</f>
        <v/>
      </c>
      <c r="B113" s="69" t="str">
        <f ca="1">IF($A113="","",INDEX('Wash Sale Tracker'!$A:$A,$A113))</f>
        <v/>
      </c>
      <c r="C113" s="30" t="str">
        <f ca="1">IF($A113="","",INDEX('Wash Sale Tracker'!$L:$L,$A113))</f>
        <v/>
      </c>
      <c r="D113" s="69" t="str">
        <f ca="1">IF($A113="","",INDEX('Wash Sale Tracker'!$E:$E,$A113))</f>
        <v/>
      </c>
      <c r="E113" s="51" t="str">
        <f ca="1">IF($A113="","",ABS(INDEX('Wash Sale Tracker'!$J:$J,$A113)))</f>
        <v/>
      </c>
      <c r="F113" s="51" t="str">
        <f ca="1">IF($A113="","",INDEX('Wash Sale Tracker'!$O:$O,$A113))</f>
        <v/>
      </c>
      <c r="G113" s="51" t="str">
        <f ca="1">IF($A113="","",INDEX('Wash Sale Tracker'!$T:$T,$A113))</f>
        <v/>
      </c>
      <c r="H113" s="63" t="str">
        <f ca="1">IF($A113="","",INDEX('Wash Sale Tracker'!$S:$S,$A113))</f>
        <v/>
      </c>
      <c r="I113" s="63" t="str">
        <f ca="1">IF($A113="","",INDEX('Wash Sale Tracker'!$X:$X,$A113))</f>
        <v/>
      </c>
      <c r="J113" s="25"/>
      <c r="K113" s="24"/>
      <c r="L113" s="74"/>
      <c r="M113" s="24"/>
    </row>
    <row r="114" spans="1:13" ht="20.100000000000001" customHeight="1" x14ac:dyDescent="0.2">
      <c r="A114" s="9" t="str">
        <f ca="1">IFERROR(_xludf.AGGREGATE(15,6,ROW('Wash Sale Tracker'!$K$18:$K$498)/(('Wash Sale Tracker'!$K$18:$K$498="Yes")*(ROW('Wash Sale Tracker'!$K$18:$K$498)&gt;A113)),1),"")</f>
        <v/>
      </c>
      <c r="B114" s="69" t="str">
        <f ca="1">IF($A114="","",INDEX('Wash Sale Tracker'!$A:$A,$A114))</f>
        <v/>
      </c>
      <c r="C114" s="30" t="str">
        <f ca="1">IF($A114="","",INDEX('Wash Sale Tracker'!$L:$L,$A114))</f>
        <v/>
      </c>
      <c r="D114" s="69" t="str">
        <f ca="1">IF($A114="","",INDEX('Wash Sale Tracker'!$E:$E,$A114))</f>
        <v/>
      </c>
      <c r="E114" s="51" t="str">
        <f ca="1">IF($A114="","",ABS(INDEX('Wash Sale Tracker'!$J:$J,$A114)))</f>
        <v/>
      </c>
      <c r="F114" s="51" t="str">
        <f ca="1">IF($A114="","",INDEX('Wash Sale Tracker'!$O:$O,$A114))</f>
        <v/>
      </c>
      <c r="G114" s="51" t="str">
        <f ca="1">IF($A114="","",INDEX('Wash Sale Tracker'!$T:$T,$A114))</f>
        <v/>
      </c>
      <c r="H114" s="63" t="str">
        <f ca="1">IF($A114="","",INDEX('Wash Sale Tracker'!$S:$S,$A114))</f>
        <v/>
      </c>
      <c r="I114" s="63" t="str">
        <f ca="1">IF($A114="","",INDEX('Wash Sale Tracker'!$X:$X,$A114))</f>
        <v/>
      </c>
      <c r="J114" s="25"/>
      <c r="K114" s="24"/>
      <c r="L114" s="74"/>
      <c r="M114" s="24"/>
    </row>
    <row r="115" spans="1:13" ht="20.100000000000001" customHeight="1" x14ac:dyDescent="0.2">
      <c r="A115" s="9" t="str">
        <f ca="1">IFERROR(_xludf.AGGREGATE(15,6,ROW('Wash Sale Tracker'!$K$18:$K$498)/(('Wash Sale Tracker'!$K$18:$K$498="Yes")*(ROW('Wash Sale Tracker'!$K$18:$K$498)&gt;A114)),1),"")</f>
        <v/>
      </c>
      <c r="B115" s="69" t="str">
        <f ca="1">IF($A115="","",INDEX('Wash Sale Tracker'!$A:$A,$A115))</f>
        <v/>
      </c>
      <c r="C115" s="30" t="str">
        <f ca="1">IF($A115="","",INDEX('Wash Sale Tracker'!$L:$L,$A115))</f>
        <v/>
      </c>
      <c r="D115" s="69" t="str">
        <f ca="1">IF($A115="","",INDEX('Wash Sale Tracker'!$E:$E,$A115))</f>
        <v/>
      </c>
      <c r="E115" s="51" t="str">
        <f ca="1">IF($A115="","",ABS(INDEX('Wash Sale Tracker'!$J:$J,$A115)))</f>
        <v/>
      </c>
      <c r="F115" s="51" t="str">
        <f ca="1">IF($A115="","",INDEX('Wash Sale Tracker'!$O:$O,$A115))</f>
        <v/>
      </c>
      <c r="G115" s="51" t="str">
        <f ca="1">IF($A115="","",INDEX('Wash Sale Tracker'!$T:$T,$A115))</f>
        <v/>
      </c>
      <c r="H115" s="63" t="str">
        <f ca="1">IF($A115="","",INDEX('Wash Sale Tracker'!$S:$S,$A115))</f>
        <v/>
      </c>
      <c r="I115" s="63" t="str">
        <f ca="1">IF($A115="","",INDEX('Wash Sale Tracker'!$X:$X,$A115))</f>
        <v/>
      </c>
      <c r="J115" s="25"/>
      <c r="K115" s="24"/>
      <c r="L115" s="74"/>
      <c r="M115" s="24"/>
    </row>
    <row r="116" spans="1:13" ht="20.100000000000001" customHeight="1" x14ac:dyDescent="0.2">
      <c r="A116" s="9" t="str">
        <f ca="1">IFERROR(_xludf.AGGREGATE(15,6,ROW('Wash Sale Tracker'!$K$18:$K$498)/(('Wash Sale Tracker'!$K$18:$K$498="Yes")*(ROW('Wash Sale Tracker'!$K$18:$K$498)&gt;A115)),1),"")</f>
        <v/>
      </c>
      <c r="B116" s="69" t="str">
        <f ca="1">IF($A116="","",INDEX('Wash Sale Tracker'!$A:$A,$A116))</f>
        <v/>
      </c>
      <c r="C116" s="30" t="str">
        <f ca="1">IF($A116="","",INDEX('Wash Sale Tracker'!$L:$L,$A116))</f>
        <v/>
      </c>
      <c r="D116" s="69" t="str">
        <f ca="1">IF($A116="","",INDEX('Wash Sale Tracker'!$E:$E,$A116))</f>
        <v/>
      </c>
      <c r="E116" s="51" t="str">
        <f ca="1">IF($A116="","",ABS(INDEX('Wash Sale Tracker'!$J:$J,$A116)))</f>
        <v/>
      </c>
      <c r="F116" s="51" t="str">
        <f ca="1">IF($A116="","",INDEX('Wash Sale Tracker'!$O:$O,$A116))</f>
        <v/>
      </c>
      <c r="G116" s="51" t="str">
        <f ca="1">IF($A116="","",INDEX('Wash Sale Tracker'!$T:$T,$A116))</f>
        <v/>
      </c>
      <c r="H116" s="63" t="str">
        <f ca="1">IF($A116="","",INDEX('Wash Sale Tracker'!$S:$S,$A116))</f>
        <v/>
      </c>
      <c r="I116" s="63" t="str">
        <f ca="1">IF($A116="","",INDEX('Wash Sale Tracker'!$X:$X,$A116))</f>
        <v/>
      </c>
      <c r="J116" s="25"/>
      <c r="K116" s="24"/>
      <c r="L116" s="74"/>
      <c r="M116" s="24"/>
    </row>
    <row r="117" spans="1:13" ht="20.100000000000001" customHeight="1" x14ac:dyDescent="0.2">
      <c r="A117" s="9" t="str">
        <f ca="1">IFERROR(_xludf.AGGREGATE(15,6,ROW('Wash Sale Tracker'!$K$18:$K$498)/(('Wash Sale Tracker'!$K$18:$K$498="Yes")*(ROW('Wash Sale Tracker'!$K$18:$K$498)&gt;A116)),1),"")</f>
        <v/>
      </c>
      <c r="B117" s="69" t="str">
        <f ca="1">IF($A117="","",INDEX('Wash Sale Tracker'!$A:$A,$A117))</f>
        <v/>
      </c>
      <c r="C117" s="30" t="str">
        <f ca="1">IF($A117="","",INDEX('Wash Sale Tracker'!$L:$L,$A117))</f>
        <v/>
      </c>
      <c r="D117" s="69" t="str">
        <f ca="1">IF($A117="","",INDEX('Wash Sale Tracker'!$E:$E,$A117))</f>
        <v/>
      </c>
      <c r="E117" s="51" t="str">
        <f ca="1">IF($A117="","",ABS(INDEX('Wash Sale Tracker'!$J:$J,$A117)))</f>
        <v/>
      </c>
      <c r="F117" s="51" t="str">
        <f ca="1">IF($A117="","",INDEX('Wash Sale Tracker'!$O:$O,$A117))</f>
        <v/>
      </c>
      <c r="G117" s="51" t="str">
        <f ca="1">IF($A117="","",INDEX('Wash Sale Tracker'!$T:$T,$A117))</f>
        <v/>
      </c>
      <c r="H117" s="63" t="str">
        <f ca="1">IF($A117="","",INDEX('Wash Sale Tracker'!$S:$S,$A117))</f>
        <v/>
      </c>
      <c r="I117" s="63" t="str">
        <f ca="1">IF($A117="","",INDEX('Wash Sale Tracker'!$X:$X,$A117))</f>
        <v/>
      </c>
      <c r="J117" s="25"/>
      <c r="K117" s="24"/>
      <c r="L117" s="74"/>
      <c r="M117" s="24"/>
    </row>
    <row r="118" spans="1:13" ht="20.100000000000001" customHeight="1" x14ac:dyDescent="0.2">
      <c r="A118" s="9" t="str">
        <f ca="1">IFERROR(_xludf.AGGREGATE(15,6,ROW('Wash Sale Tracker'!$K$18:$K$498)/(('Wash Sale Tracker'!$K$18:$K$498="Yes")*(ROW('Wash Sale Tracker'!$K$18:$K$498)&gt;A117)),1),"")</f>
        <v/>
      </c>
      <c r="B118" s="69" t="str">
        <f ca="1">IF($A118="","",INDEX('Wash Sale Tracker'!$A:$A,$A118))</f>
        <v/>
      </c>
      <c r="C118" s="30" t="str">
        <f ca="1">IF($A118="","",INDEX('Wash Sale Tracker'!$L:$L,$A118))</f>
        <v/>
      </c>
      <c r="D118" s="69" t="str">
        <f ca="1">IF($A118="","",INDEX('Wash Sale Tracker'!$E:$E,$A118))</f>
        <v/>
      </c>
      <c r="E118" s="51" t="str">
        <f ca="1">IF($A118="","",ABS(INDEX('Wash Sale Tracker'!$J:$J,$A118)))</f>
        <v/>
      </c>
      <c r="F118" s="51" t="str">
        <f ca="1">IF($A118="","",INDEX('Wash Sale Tracker'!$O:$O,$A118))</f>
        <v/>
      </c>
      <c r="G118" s="51" t="str">
        <f ca="1">IF($A118="","",INDEX('Wash Sale Tracker'!$T:$T,$A118))</f>
        <v/>
      </c>
      <c r="H118" s="63" t="str">
        <f ca="1">IF($A118="","",INDEX('Wash Sale Tracker'!$S:$S,$A118))</f>
        <v/>
      </c>
      <c r="I118" s="63" t="str">
        <f ca="1">IF($A118="","",INDEX('Wash Sale Tracker'!$X:$X,$A118))</f>
        <v/>
      </c>
      <c r="J118" s="25"/>
      <c r="K118" s="24"/>
      <c r="L118" s="74"/>
      <c r="M118" s="24"/>
    </row>
    <row r="119" spans="1:13" ht="20.100000000000001" customHeight="1" x14ac:dyDescent="0.2">
      <c r="A119" s="9" t="str">
        <f ca="1">IFERROR(_xludf.AGGREGATE(15,6,ROW('Wash Sale Tracker'!$K$18:$K$498)/(('Wash Sale Tracker'!$K$18:$K$498="Yes")*(ROW('Wash Sale Tracker'!$K$18:$K$498)&gt;A118)),1),"")</f>
        <v/>
      </c>
      <c r="B119" s="69" t="str">
        <f ca="1">IF($A119="","",INDEX('Wash Sale Tracker'!$A:$A,$A119))</f>
        <v/>
      </c>
      <c r="C119" s="30" t="str">
        <f ca="1">IF($A119="","",INDEX('Wash Sale Tracker'!$L:$L,$A119))</f>
        <v/>
      </c>
      <c r="D119" s="69" t="str">
        <f ca="1">IF($A119="","",INDEX('Wash Sale Tracker'!$E:$E,$A119))</f>
        <v/>
      </c>
      <c r="E119" s="51" t="str">
        <f ca="1">IF($A119="","",ABS(INDEX('Wash Sale Tracker'!$J:$J,$A119)))</f>
        <v/>
      </c>
      <c r="F119" s="51" t="str">
        <f ca="1">IF($A119="","",INDEX('Wash Sale Tracker'!$O:$O,$A119))</f>
        <v/>
      </c>
      <c r="G119" s="51" t="str">
        <f ca="1">IF($A119="","",INDEX('Wash Sale Tracker'!$T:$T,$A119))</f>
        <v/>
      </c>
      <c r="H119" s="63" t="str">
        <f ca="1">IF($A119="","",INDEX('Wash Sale Tracker'!$S:$S,$A119))</f>
        <v/>
      </c>
      <c r="I119" s="63" t="str">
        <f ca="1">IF($A119="","",INDEX('Wash Sale Tracker'!$X:$X,$A119))</f>
        <v/>
      </c>
      <c r="J119" s="25"/>
      <c r="K119" s="24"/>
      <c r="L119" s="74"/>
      <c r="M119" s="24"/>
    </row>
    <row r="120" spans="1:13" ht="20.100000000000001" customHeight="1" x14ac:dyDescent="0.2">
      <c r="A120" s="9" t="str">
        <f ca="1">IFERROR(_xludf.AGGREGATE(15,6,ROW('Wash Sale Tracker'!$K$18:$K$498)/(('Wash Sale Tracker'!$K$18:$K$498="Yes")*(ROW('Wash Sale Tracker'!$K$18:$K$498)&gt;A119)),1),"")</f>
        <v/>
      </c>
      <c r="B120" s="69" t="str">
        <f ca="1">IF($A120="","",INDEX('Wash Sale Tracker'!$A:$A,$A120))</f>
        <v/>
      </c>
      <c r="C120" s="30" t="str">
        <f ca="1">IF($A120="","",INDEX('Wash Sale Tracker'!$L:$L,$A120))</f>
        <v/>
      </c>
      <c r="D120" s="69" t="str">
        <f ca="1">IF($A120="","",INDEX('Wash Sale Tracker'!$E:$E,$A120))</f>
        <v/>
      </c>
      <c r="E120" s="51" t="str">
        <f ca="1">IF($A120="","",ABS(INDEX('Wash Sale Tracker'!$J:$J,$A120)))</f>
        <v/>
      </c>
      <c r="F120" s="51" t="str">
        <f ca="1">IF($A120="","",INDEX('Wash Sale Tracker'!$O:$O,$A120))</f>
        <v/>
      </c>
      <c r="G120" s="51" t="str">
        <f ca="1">IF($A120="","",INDEX('Wash Sale Tracker'!$T:$T,$A120))</f>
        <v/>
      </c>
      <c r="H120" s="63" t="str">
        <f ca="1">IF($A120="","",INDEX('Wash Sale Tracker'!$S:$S,$A120))</f>
        <v/>
      </c>
      <c r="I120" s="63" t="str">
        <f ca="1">IF($A120="","",INDEX('Wash Sale Tracker'!$X:$X,$A120))</f>
        <v/>
      </c>
      <c r="J120" s="25"/>
      <c r="K120" s="24"/>
      <c r="L120" s="74"/>
      <c r="M120" s="24"/>
    </row>
    <row r="121" spans="1:13" ht="20.100000000000001" customHeight="1" x14ac:dyDescent="0.2">
      <c r="A121" s="9" t="str">
        <f ca="1">IFERROR(_xludf.AGGREGATE(15,6,ROW('Wash Sale Tracker'!$K$18:$K$498)/(('Wash Sale Tracker'!$K$18:$K$498="Yes")*(ROW('Wash Sale Tracker'!$K$18:$K$498)&gt;A120)),1),"")</f>
        <v/>
      </c>
      <c r="B121" s="69" t="str">
        <f ca="1">IF($A121="","",INDEX('Wash Sale Tracker'!$A:$A,$A121))</f>
        <v/>
      </c>
      <c r="C121" s="30" t="str">
        <f ca="1">IF($A121="","",INDEX('Wash Sale Tracker'!$L:$L,$A121))</f>
        <v/>
      </c>
      <c r="D121" s="69" t="str">
        <f ca="1">IF($A121="","",INDEX('Wash Sale Tracker'!$E:$E,$A121))</f>
        <v/>
      </c>
      <c r="E121" s="51" t="str">
        <f ca="1">IF($A121="","",ABS(INDEX('Wash Sale Tracker'!$J:$J,$A121)))</f>
        <v/>
      </c>
      <c r="F121" s="51" t="str">
        <f ca="1">IF($A121="","",INDEX('Wash Sale Tracker'!$O:$O,$A121))</f>
        <v/>
      </c>
      <c r="G121" s="51" t="str">
        <f ca="1">IF($A121="","",INDEX('Wash Sale Tracker'!$T:$T,$A121))</f>
        <v/>
      </c>
      <c r="H121" s="63" t="str">
        <f ca="1">IF($A121="","",INDEX('Wash Sale Tracker'!$S:$S,$A121))</f>
        <v/>
      </c>
      <c r="I121" s="63" t="str">
        <f ca="1">IF($A121="","",INDEX('Wash Sale Tracker'!$X:$X,$A121))</f>
        <v/>
      </c>
      <c r="J121" s="25"/>
      <c r="K121" s="24"/>
      <c r="L121" s="74"/>
      <c r="M121" s="24"/>
    </row>
    <row r="122" spans="1:13" ht="20.100000000000001" customHeight="1" x14ac:dyDescent="0.2">
      <c r="A122" s="9" t="str">
        <f ca="1">IFERROR(_xludf.AGGREGATE(15,6,ROW('Wash Sale Tracker'!$K$18:$K$498)/(('Wash Sale Tracker'!$K$18:$K$498="Yes")*(ROW('Wash Sale Tracker'!$K$18:$K$498)&gt;A121)),1),"")</f>
        <v/>
      </c>
      <c r="B122" s="69" t="str">
        <f ca="1">IF($A122="","",INDEX('Wash Sale Tracker'!$A:$A,$A122))</f>
        <v/>
      </c>
      <c r="C122" s="30" t="str">
        <f ca="1">IF($A122="","",INDEX('Wash Sale Tracker'!$L:$L,$A122))</f>
        <v/>
      </c>
      <c r="D122" s="69" t="str">
        <f ca="1">IF($A122="","",INDEX('Wash Sale Tracker'!$E:$E,$A122))</f>
        <v/>
      </c>
      <c r="E122" s="51" t="str">
        <f ca="1">IF($A122="","",ABS(INDEX('Wash Sale Tracker'!$J:$J,$A122)))</f>
        <v/>
      </c>
      <c r="F122" s="51" t="str">
        <f ca="1">IF($A122="","",INDEX('Wash Sale Tracker'!$O:$O,$A122))</f>
        <v/>
      </c>
      <c r="G122" s="51" t="str">
        <f ca="1">IF($A122="","",INDEX('Wash Sale Tracker'!$T:$T,$A122))</f>
        <v/>
      </c>
      <c r="H122" s="63" t="str">
        <f ca="1">IF($A122="","",INDEX('Wash Sale Tracker'!$S:$S,$A122))</f>
        <v/>
      </c>
      <c r="I122" s="63" t="str">
        <f ca="1">IF($A122="","",INDEX('Wash Sale Tracker'!$X:$X,$A122))</f>
        <v/>
      </c>
      <c r="J122" s="25"/>
      <c r="K122" s="24"/>
      <c r="L122" s="74"/>
      <c r="M122" s="24"/>
    </row>
    <row r="123" spans="1:13" ht="20.100000000000001" customHeight="1" x14ac:dyDescent="0.2">
      <c r="A123" s="9" t="str">
        <f ca="1">IFERROR(_xludf.AGGREGATE(15,6,ROW('Wash Sale Tracker'!$K$18:$K$498)/(('Wash Sale Tracker'!$K$18:$K$498="Yes")*(ROW('Wash Sale Tracker'!$K$18:$K$498)&gt;A122)),1),"")</f>
        <v/>
      </c>
      <c r="B123" s="69" t="str">
        <f ca="1">IF($A123="","",INDEX('Wash Sale Tracker'!$A:$A,$A123))</f>
        <v/>
      </c>
      <c r="C123" s="30" t="str">
        <f ca="1">IF($A123="","",INDEX('Wash Sale Tracker'!$L:$L,$A123))</f>
        <v/>
      </c>
      <c r="D123" s="69" t="str">
        <f ca="1">IF($A123="","",INDEX('Wash Sale Tracker'!$E:$E,$A123))</f>
        <v/>
      </c>
      <c r="E123" s="51" t="str">
        <f ca="1">IF($A123="","",ABS(INDEX('Wash Sale Tracker'!$J:$J,$A123)))</f>
        <v/>
      </c>
      <c r="F123" s="51" t="str">
        <f ca="1">IF($A123="","",INDEX('Wash Sale Tracker'!$O:$O,$A123))</f>
        <v/>
      </c>
      <c r="G123" s="51" t="str">
        <f ca="1">IF($A123="","",INDEX('Wash Sale Tracker'!$T:$T,$A123))</f>
        <v/>
      </c>
      <c r="H123" s="63" t="str">
        <f ca="1">IF($A123="","",INDEX('Wash Sale Tracker'!$S:$S,$A123))</f>
        <v/>
      </c>
      <c r="I123" s="63" t="str">
        <f ca="1">IF($A123="","",INDEX('Wash Sale Tracker'!$X:$X,$A123))</f>
        <v/>
      </c>
      <c r="J123" s="25"/>
      <c r="K123" s="24"/>
      <c r="L123" s="74"/>
      <c r="M123" s="24"/>
    </row>
    <row r="124" spans="1:13" ht="20.100000000000001" customHeight="1" x14ac:dyDescent="0.2">
      <c r="A124" s="9" t="str">
        <f ca="1">IFERROR(_xludf.AGGREGATE(15,6,ROW('Wash Sale Tracker'!$K$18:$K$498)/(('Wash Sale Tracker'!$K$18:$K$498="Yes")*(ROW('Wash Sale Tracker'!$K$18:$K$498)&gt;A123)),1),"")</f>
        <v/>
      </c>
      <c r="B124" s="69" t="str">
        <f ca="1">IF($A124="","",INDEX('Wash Sale Tracker'!$A:$A,$A124))</f>
        <v/>
      </c>
      <c r="C124" s="30" t="str">
        <f ca="1">IF($A124="","",INDEX('Wash Sale Tracker'!$L:$L,$A124))</f>
        <v/>
      </c>
      <c r="D124" s="69" t="str">
        <f ca="1">IF($A124="","",INDEX('Wash Sale Tracker'!$E:$E,$A124))</f>
        <v/>
      </c>
      <c r="E124" s="51" t="str">
        <f ca="1">IF($A124="","",ABS(INDEX('Wash Sale Tracker'!$J:$J,$A124)))</f>
        <v/>
      </c>
      <c r="F124" s="51" t="str">
        <f ca="1">IF($A124="","",INDEX('Wash Sale Tracker'!$O:$O,$A124))</f>
        <v/>
      </c>
      <c r="G124" s="51" t="str">
        <f ca="1">IF($A124="","",INDEX('Wash Sale Tracker'!$T:$T,$A124))</f>
        <v/>
      </c>
      <c r="H124" s="63" t="str">
        <f ca="1">IF($A124="","",INDEX('Wash Sale Tracker'!$S:$S,$A124))</f>
        <v/>
      </c>
      <c r="I124" s="63" t="str">
        <f ca="1">IF($A124="","",INDEX('Wash Sale Tracker'!$X:$X,$A124))</f>
        <v/>
      </c>
      <c r="J124" s="25"/>
      <c r="K124" s="24"/>
      <c r="L124" s="74"/>
      <c r="M124" s="24"/>
    </row>
    <row r="125" spans="1:13" ht="20.100000000000001" customHeight="1" x14ac:dyDescent="0.2">
      <c r="A125" s="9" t="str">
        <f ca="1">IFERROR(_xludf.AGGREGATE(15,6,ROW('Wash Sale Tracker'!$K$18:$K$498)/(('Wash Sale Tracker'!$K$18:$K$498="Yes")*(ROW('Wash Sale Tracker'!$K$18:$K$498)&gt;A124)),1),"")</f>
        <v/>
      </c>
      <c r="B125" s="69" t="str">
        <f ca="1">IF($A125="","",INDEX('Wash Sale Tracker'!$A:$A,$A125))</f>
        <v/>
      </c>
      <c r="C125" s="30" t="str">
        <f ca="1">IF($A125="","",INDEX('Wash Sale Tracker'!$L:$L,$A125))</f>
        <v/>
      </c>
      <c r="D125" s="69" t="str">
        <f ca="1">IF($A125="","",INDEX('Wash Sale Tracker'!$E:$E,$A125))</f>
        <v/>
      </c>
      <c r="E125" s="51" t="str">
        <f ca="1">IF($A125="","",ABS(INDEX('Wash Sale Tracker'!$J:$J,$A125)))</f>
        <v/>
      </c>
      <c r="F125" s="51" t="str">
        <f ca="1">IF($A125="","",INDEX('Wash Sale Tracker'!$O:$O,$A125))</f>
        <v/>
      </c>
      <c r="G125" s="51" t="str">
        <f ca="1">IF($A125="","",INDEX('Wash Sale Tracker'!$T:$T,$A125))</f>
        <v/>
      </c>
      <c r="H125" s="63" t="str">
        <f ca="1">IF($A125="","",INDEX('Wash Sale Tracker'!$S:$S,$A125))</f>
        <v/>
      </c>
      <c r="I125" s="63" t="str">
        <f ca="1">IF($A125="","",INDEX('Wash Sale Tracker'!$X:$X,$A125))</f>
        <v/>
      </c>
      <c r="J125" s="25"/>
      <c r="K125" s="24"/>
      <c r="L125" s="74"/>
      <c r="M125" s="24"/>
    </row>
    <row r="126" spans="1:13" ht="20.100000000000001" customHeight="1" x14ac:dyDescent="0.2">
      <c r="A126" s="9" t="str">
        <f ca="1">IFERROR(_xludf.AGGREGATE(15,6,ROW('Wash Sale Tracker'!$K$18:$K$498)/(('Wash Sale Tracker'!$K$18:$K$498="Yes")*(ROW('Wash Sale Tracker'!$K$18:$K$498)&gt;A125)),1),"")</f>
        <v/>
      </c>
      <c r="B126" s="69" t="str">
        <f ca="1">IF($A126="","",INDEX('Wash Sale Tracker'!$A:$A,$A126))</f>
        <v/>
      </c>
      <c r="C126" s="30" t="str">
        <f ca="1">IF($A126="","",INDEX('Wash Sale Tracker'!$L:$L,$A126))</f>
        <v/>
      </c>
      <c r="D126" s="69" t="str">
        <f ca="1">IF($A126="","",INDEX('Wash Sale Tracker'!$E:$E,$A126))</f>
        <v/>
      </c>
      <c r="E126" s="51" t="str">
        <f ca="1">IF($A126="","",ABS(INDEX('Wash Sale Tracker'!$J:$J,$A126)))</f>
        <v/>
      </c>
      <c r="F126" s="51" t="str">
        <f ca="1">IF($A126="","",INDEX('Wash Sale Tracker'!$O:$O,$A126))</f>
        <v/>
      </c>
      <c r="G126" s="51" t="str">
        <f ca="1">IF($A126="","",INDEX('Wash Sale Tracker'!$T:$T,$A126))</f>
        <v/>
      </c>
      <c r="H126" s="63" t="str">
        <f ca="1">IF($A126="","",INDEX('Wash Sale Tracker'!$S:$S,$A126))</f>
        <v/>
      </c>
      <c r="I126" s="63" t="str">
        <f ca="1">IF($A126="","",INDEX('Wash Sale Tracker'!$X:$X,$A126))</f>
        <v/>
      </c>
      <c r="J126" s="25"/>
      <c r="K126" s="24"/>
      <c r="L126" s="74"/>
      <c r="M126" s="24"/>
    </row>
    <row r="127" spans="1:13" ht="20.100000000000001" customHeight="1" x14ac:dyDescent="0.2">
      <c r="A127" s="9" t="str">
        <f ca="1">IFERROR(_xludf.AGGREGATE(15,6,ROW('Wash Sale Tracker'!$K$18:$K$498)/(('Wash Sale Tracker'!$K$18:$K$498="Yes")*(ROW('Wash Sale Tracker'!$K$18:$K$498)&gt;A126)),1),"")</f>
        <v/>
      </c>
      <c r="B127" s="69" t="str">
        <f ca="1">IF($A127="","",INDEX('Wash Sale Tracker'!$A:$A,$A127))</f>
        <v/>
      </c>
      <c r="C127" s="30" t="str">
        <f ca="1">IF($A127="","",INDEX('Wash Sale Tracker'!$L:$L,$A127))</f>
        <v/>
      </c>
      <c r="D127" s="69" t="str">
        <f ca="1">IF($A127="","",INDEX('Wash Sale Tracker'!$E:$E,$A127))</f>
        <v/>
      </c>
      <c r="E127" s="51" t="str">
        <f ca="1">IF($A127="","",ABS(INDEX('Wash Sale Tracker'!$J:$J,$A127)))</f>
        <v/>
      </c>
      <c r="F127" s="51" t="str">
        <f ca="1">IF($A127="","",INDEX('Wash Sale Tracker'!$O:$O,$A127))</f>
        <v/>
      </c>
      <c r="G127" s="51" t="str">
        <f ca="1">IF($A127="","",INDEX('Wash Sale Tracker'!$T:$T,$A127))</f>
        <v/>
      </c>
      <c r="H127" s="63" t="str">
        <f ca="1">IF($A127="","",INDEX('Wash Sale Tracker'!$S:$S,$A127))</f>
        <v/>
      </c>
      <c r="I127" s="63" t="str">
        <f ca="1">IF($A127="","",INDEX('Wash Sale Tracker'!$X:$X,$A127))</f>
        <v/>
      </c>
      <c r="J127" s="25"/>
      <c r="K127" s="24"/>
      <c r="L127" s="74"/>
      <c r="M127" s="24"/>
    </row>
    <row r="128" spans="1:13" ht="20.100000000000001" customHeight="1" x14ac:dyDescent="0.2">
      <c r="A128" s="9" t="str">
        <f ca="1">IFERROR(_xludf.AGGREGATE(15,6,ROW('Wash Sale Tracker'!$K$18:$K$498)/(('Wash Sale Tracker'!$K$18:$K$498="Yes")*(ROW('Wash Sale Tracker'!$K$18:$K$498)&gt;A127)),1),"")</f>
        <v/>
      </c>
      <c r="B128" s="69" t="str">
        <f ca="1">IF($A128="","",INDEX('Wash Sale Tracker'!$A:$A,$A128))</f>
        <v/>
      </c>
      <c r="C128" s="30" t="str">
        <f ca="1">IF($A128="","",INDEX('Wash Sale Tracker'!$L:$L,$A128))</f>
        <v/>
      </c>
      <c r="D128" s="69" t="str">
        <f ca="1">IF($A128="","",INDEX('Wash Sale Tracker'!$E:$E,$A128))</f>
        <v/>
      </c>
      <c r="E128" s="51" t="str">
        <f ca="1">IF($A128="","",ABS(INDEX('Wash Sale Tracker'!$J:$J,$A128)))</f>
        <v/>
      </c>
      <c r="F128" s="51" t="str">
        <f ca="1">IF($A128="","",INDEX('Wash Sale Tracker'!$O:$O,$A128))</f>
        <v/>
      </c>
      <c r="G128" s="51" t="str">
        <f ca="1">IF($A128="","",INDEX('Wash Sale Tracker'!$T:$T,$A128))</f>
        <v/>
      </c>
      <c r="H128" s="63" t="str">
        <f ca="1">IF($A128="","",INDEX('Wash Sale Tracker'!$S:$S,$A128))</f>
        <v/>
      </c>
      <c r="I128" s="63" t="str">
        <f ca="1">IF($A128="","",INDEX('Wash Sale Tracker'!$X:$X,$A128))</f>
        <v/>
      </c>
      <c r="J128" s="25"/>
      <c r="K128" s="24"/>
      <c r="L128" s="74"/>
      <c r="M128" s="24"/>
    </row>
    <row r="129" spans="1:13" ht="20.100000000000001" customHeight="1" x14ac:dyDescent="0.2">
      <c r="A129" s="9" t="str">
        <f ca="1">IFERROR(_xludf.AGGREGATE(15,6,ROW('Wash Sale Tracker'!$K$18:$K$498)/(('Wash Sale Tracker'!$K$18:$K$498="Yes")*(ROW('Wash Sale Tracker'!$K$18:$K$498)&gt;A128)),1),"")</f>
        <v/>
      </c>
      <c r="B129" s="69" t="str">
        <f ca="1">IF($A129="","",INDEX('Wash Sale Tracker'!$A:$A,$A129))</f>
        <v/>
      </c>
      <c r="C129" s="30" t="str">
        <f ca="1">IF($A129="","",INDEX('Wash Sale Tracker'!$L:$L,$A129))</f>
        <v/>
      </c>
      <c r="D129" s="69" t="str">
        <f ca="1">IF($A129="","",INDEX('Wash Sale Tracker'!$E:$E,$A129))</f>
        <v/>
      </c>
      <c r="E129" s="51" t="str">
        <f ca="1">IF($A129="","",ABS(INDEX('Wash Sale Tracker'!$J:$J,$A129)))</f>
        <v/>
      </c>
      <c r="F129" s="51" t="str">
        <f ca="1">IF($A129="","",INDEX('Wash Sale Tracker'!$O:$O,$A129))</f>
        <v/>
      </c>
      <c r="G129" s="51" t="str">
        <f ca="1">IF($A129="","",INDEX('Wash Sale Tracker'!$T:$T,$A129))</f>
        <v/>
      </c>
      <c r="H129" s="63" t="str">
        <f ca="1">IF($A129="","",INDEX('Wash Sale Tracker'!$S:$S,$A129))</f>
        <v/>
      </c>
      <c r="I129" s="63" t="str">
        <f ca="1">IF($A129="","",INDEX('Wash Sale Tracker'!$X:$X,$A129))</f>
        <v/>
      </c>
      <c r="J129" s="25"/>
      <c r="K129" s="24"/>
      <c r="L129" s="74"/>
      <c r="M129" s="24"/>
    </row>
    <row r="130" spans="1:13" ht="20.100000000000001" customHeight="1" x14ac:dyDescent="0.2">
      <c r="A130" s="9" t="str">
        <f ca="1">IFERROR(_xludf.AGGREGATE(15,6,ROW('Wash Sale Tracker'!$K$18:$K$498)/(('Wash Sale Tracker'!$K$18:$K$498="Yes")*(ROW('Wash Sale Tracker'!$K$18:$K$498)&gt;A129)),1),"")</f>
        <v/>
      </c>
      <c r="B130" s="69" t="str">
        <f ca="1">IF($A130="","",INDEX('Wash Sale Tracker'!$A:$A,$A130))</f>
        <v/>
      </c>
      <c r="C130" s="30" t="str">
        <f ca="1">IF($A130="","",INDEX('Wash Sale Tracker'!$L:$L,$A130))</f>
        <v/>
      </c>
      <c r="D130" s="69" t="str">
        <f ca="1">IF($A130="","",INDEX('Wash Sale Tracker'!$E:$E,$A130))</f>
        <v/>
      </c>
      <c r="E130" s="51" t="str">
        <f ca="1">IF($A130="","",ABS(INDEX('Wash Sale Tracker'!$J:$J,$A130)))</f>
        <v/>
      </c>
      <c r="F130" s="51" t="str">
        <f ca="1">IF($A130="","",INDEX('Wash Sale Tracker'!$O:$O,$A130))</f>
        <v/>
      </c>
      <c r="G130" s="51" t="str">
        <f ca="1">IF($A130="","",INDEX('Wash Sale Tracker'!$T:$T,$A130))</f>
        <v/>
      </c>
      <c r="H130" s="63" t="str">
        <f ca="1">IF($A130="","",INDEX('Wash Sale Tracker'!$S:$S,$A130))</f>
        <v/>
      </c>
      <c r="I130" s="63" t="str">
        <f ca="1">IF($A130="","",INDEX('Wash Sale Tracker'!$X:$X,$A130))</f>
        <v/>
      </c>
      <c r="J130" s="25"/>
      <c r="K130" s="24"/>
      <c r="L130" s="74"/>
      <c r="M130" s="24"/>
    </row>
    <row r="131" spans="1:13" ht="20.100000000000001" customHeight="1" x14ac:dyDescent="0.2">
      <c r="A131" s="9" t="str">
        <f ca="1">IFERROR(_xludf.AGGREGATE(15,6,ROW('Wash Sale Tracker'!$K$18:$K$498)/(('Wash Sale Tracker'!$K$18:$K$498="Yes")*(ROW('Wash Sale Tracker'!$K$18:$K$498)&gt;A130)),1),"")</f>
        <v/>
      </c>
      <c r="B131" s="69" t="str">
        <f ca="1">IF($A131="","",INDEX('Wash Sale Tracker'!$A:$A,$A131))</f>
        <v/>
      </c>
      <c r="C131" s="30" t="str">
        <f ca="1">IF($A131="","",INDEX('Wash Sale Tracker'!$L:$L,$A131))</f>
        <v/>
      </c>
      <c r="D131" s="69" t="str">
        <f ca="1">IF($A131="","",INDEX('Wash Sale Tracker'!$E:$E,$A131))</f>
        <v/>
      </c>
      <c r="E131" s="51" t="str">
        <f ca="1">IF($A131="","",ABS(INDEX('Wash Sale Tracker'!$J:$J,$A131)))</f>
        <v/>
      </c>
      <c r="F131" s="51" t="str">
        <f ca="1">IF($A131="","",INDEX('Wash Sale Tracker'!$O:$O,$A131))</f>
        <v/>
      </c>
      <c r="G131" s="51" t="str">
        <f ca="1">IF($A131="","",INDEX('Wash Sale Tracker'!$T:$T,$A131))</f>
        <v/>
      </c>
      <c r="H131" s="63" t="str">
        <f ca="1">IF($A131="","",INDEX('Wash Sale Tracker'!$S:$S,$A131))</f>
        <v/>
      </c>
      <c r="I131" s="63" t="str">
        <f ca="1">IF($A131="","",INDEX('Wash Sale Tracker'!$X:$X,$A131))</f>
        <v/>
      </c>
      <c r="J131" s="25"/>
      <c r="K131" s="24"/>
      <c r="L131" s="74"/>
      <c r="M131" s="24"/>
    </row>
    <row r="132" spans="1:13" ht="20.100000000000001" customHeight="1" x14ac:dyDescent="0.2">
      <c r="A132" s="9" t="str">
        <f ca="1">IFERROR(_xludf.AGGREGATE(15,6,ROW('Wash Sale Tracker'!$K$18:$K$498)/(('Wash Sale Tracker'!$K$18:$K$498="Yes")*(ROW('Wash Sale Tracker'!$K$18:$K$498)&gt;A131)),1),"")</f>
        <v/>
      </c>
      <c r="B132" s="69" t="str">
        <f ca="1">IF($A132="","",INDEX('Wash Sale Tracker'!$A:$A,$A132))</f>
        <v/>
      </c>
      <c r="C132" s="30" t="str">
        <f ca="1">IF($A132="","",INDEX('Wash Sale Tracker'!$L:$L,$A132))</f>
        <v/>
      </c>
      <c r="D132" s="69" t="str">
        <f ca="1">IF($A132="","",INDEX('Wash Sale Tracker'!$E:$E,$A132))</f>
        <v/>
      </c>
      <c r="E132" s="51" t="str">
        <f ca="1">IF($A132="","",ABS(INDEX('Wash Sale Tracker'!$J:$J,$A132)))</f>
        <v/>
      </c>
      <c r="F132" s="51" t="str">
        <f ca="1">IF($A132="","",INDEX('Wash Sale Tracker'!$O:$O,$A132))</f>
        <v/>
      </c>
      <c r="G132" s="51" t="str">
        <f ca="1">IF($A132="","",INDEX('Wash Sale Tracker'!$T:$T,$A132))</f>
        <v/>
      </c>
      <c r="H132" s="63" t="str">
        <f ca="1">IF($A132="","",INDEX('Wash Sale Tracker'!$S:$S,$A132))</f>
        <v/>
      </c>
      <c r="I132" s="63" t="str">
        <f ca="1">IF($A132="","",INDEX('Wash Sale Tracker'!$X:$X,$A132))</f>
        <v/>
      </c>
      <c r="J132" s="25"/>
      <c r="K132" s="24"/>
      <c r="L132" s="74"/>
      <c r="M132" s="24"/>
    </row>
    <row r="133" spans="1:13" ht="20.100000000000001" customHeight="1" x14ac:dyDescent="0.2">
      <c r="A133" s="9" t="str">
        <f ca="1">IFERROR(_xludf.AGGREGATE(15,6,ROW('Wash Sale Tracker'!$K$18:$K$498)/(('Wash Sale Tracker'!$K$18:$K$498="Yes")*(ROW('Wash Sale Tracker'!$K$18:$K$498)&gt;A132)),1),"")</f>
        <v/>
      </c>
      <c r="B133" s="69" t="str">
        <f ca="1">IF($A133="","",INDEX('Wash Sale Tracker'!$A:$A,$A133))</f>
        <v/>
      </c>
      <c r="C133" s="30" t="str">
        <f ca="1">IF($A133="","",INDEX('Wash Sale Tracker'!$L:$L,$A133))</f>
        <v/>
      </c>
      <c r="D133" s="69" t="str">
        <f ca="1">IF($A133="","",INDEX('Wash Sale Tracker'!$E:$E,$A133))</f>
        <v/>
      </c>
      <c r="E133" s="51" t="str">
        <f ca="1">IF($A133="","",ABS(INDEX('Wash Sale Tracker'!$J:$J,$A133)))</f>
        <v/>
      </c>
      <c r="F133" s="51" t="str">
        <f ca="1">IF($A133="","",INDEX('Wash Sale Tracker'!$O:$O,$A133))</f>
        <v/>
      </c>
      <c r="G133" s="51" t="str">
        <f ca="1">IF($A133="","",INDEX('Wash Sale Tracker'!$T:$T,$A133))</f>
        <v/>
      </c>
      <c r="H133" s="63" t="str">
        <f ca="1">IF($A133="","",INDEX('Wash Sale Tracker'!$S:$S,$A133))</f>
        <v/>
      </c>
      <c r="I133" s="63" t="str">
        <f ca="1">IF($A133="","",INDEX('Wash Sale Tracker'!$X:$X,$A133))</f>
        <v/>
      </c>
      <c r="J133" s="25"/>
      <c r="K133" s="24"/>
      <c r="L133" s="74"/>
      <c r="M133" s="24"/>
    </row>
    <row r="134" spans="1:13" ht="20.100000000000001" customHeight="1" x14ac:dyDescent="0.2">
      <c r="A134" s="9" t="str">
        <f ca="1">IFERROR(_xludf.AGGREGATE(15,6,ROW('Wash Sale Tracker'!$K$18:$K$498)/(('Wash Sale Tracker'!$K$18:$K$498="Yes")*(ROW('Wash Sale Tracker'!$K$18:$K$498)&gt;A133)),1),"")</f>
        <v/>
      </c>
      <c r="B134" s="69" t="str">
        <f ca="1">IF($A134="","",INDEX('Wash Sale Tracker'!$A:$A,$A134))</f>
        <v/>
      </c>
      <c r="C134" s="30" t="str">
        <f ca="1">IF($A134="","",INDEX('Wash Sale Tracker'!$L:$L,$A134))</f>
        <v/>
      </c>
      <c r="D134" s="69" t="str">
        <f ca="1">IF($A134="","",INDEX('Wash Sale Tracker'!$E:$E,$A134))</f>
        <v/>
      </c>
      <c r="E134" s="51" t="str">
        <f ca="1">IF($A134="","",ABS(INDEX('Wash Sale Tracker'!$J:$J,$A134)))</f>
        <v/>
      </c>
      <c r="F134" s="51" t="str">
        <f ca="1">IF($A134="","",INDEX('Wash Sale Tracker'!$O:$O,$A134))</f>
        <v/>
      </c>
      <c r="G134" s="51" t="str">
        <f ca="1">IF($A134="","",INDEX('Wash Sale Tracker'!$T:$T,$A134))</f>
        <v/>
      </c>
      <c r="H134" s="63" t="str">
        <f ca="1">IF($A134="","",INDEX('Wash Sale Tracker'!$S:$S,$A134))</f>
        <v/>
      </c>
      <c r="I134" s="63" t="str">
        <f ca="1">IF($A134="","",INDEX('Wash Sale Tracker'!$X:$X,$A134))</f>
        <v/>
      </c>
      <c r="J134" s="25"/>
      <c r="K134" s="24"/>
      <c r="L134" s="74"/>
      <c r="M134" s="24"/>
    </row>
    <row r="135" spans="1:13" ht="20.100000000000001" customHeight="1" x14ac:dyDescent="0.2">
      <c r="A135" s="9" t="str">
        <f ca="1">IFERROR(_xludf.AGGREGATE(15,6,ROW('Wash Sale Tracker'!$K$18:$K$498)/(('Wash Sale Tracker'!$K$18:$K$498="Yes")*(ROW('Wash Sale Tracker'!$K$18:$K$498)&gt;A134)),1),"")</f>
        <v/>
      </c>
      <c r="B135" s="69" t="str">
        <f ca="1">IF($A135="","",INDEX('Wash Sale Tracker'!$A:$A,$A135))</f>
        <v/>
      </c>
      <c r="C135" s="30" t="str">
        <f ca="1">IF($A135="","",INDEX('Wash Sale Tracker'!$L:$L,$A135))</f>
        <v/>
      </c>
      <c r="D135" s="69" t="str">
        <f ca="1">IF($A135="","",INDEX('Wash Sale Tracker'!$E:$E,$A135))</f>
        <v/>
      </c>
      <c r="E135" s="51" t="str">
        <f ca="1">IF($A135="","",ABS(INDEX('Wash Sale Tracker'!$J:$J,$A135)))</f>
        <v/>
      </c>
      <c r="F135" s="51" t="str">
        <f ca="1">IF($A135="","",INDEX('Wash Sale Tracker'!$O:$O,$A135))</f>
        <v/>
      </c>
      <c r="G135" s="51" t="str">
        <f ca="1">IF($A135="","",INDEX('Wash Sale Tracker'!$T:$T,$A135))</f>
        <v/>
      </c>
      <c r="H135" s="63" t="str">
        <f ca="1">IF($A135="","",INDEX('Wash Sale Tracker'!$S:$S,$A135))</f>
        <v/>
      </c>
      <c r="I135" s="63" t="str">
        <f ca="1">IF($A135="","",INDEX('Wash Sale Tracker'!$X:$X,$A135))</f>
        <v/>
      </c>
      <c r="J135" s="25"/>
      <c r="K135" s="24"/>
      <c r="L135" s="74"/>
      <c r="M135" s="24"/>
    </row>
    <row r="136" spans="1:13" ht="20.100000000000001" customHeight="1" x14ac:dyDescent="0.2">
      <c r="A136" s="9" t="str">
        <f ca="1">IFERROR(_xludf.AGGREGATE(15,6,ROW('Wash Sale Tracker'!$K$18:$K$498)/(('Wash Sale Tracker'!$K$18:$K$498="Yes")*(ROW('Wash Sale Tracker'!$K$18:$K$498)&gt;A135)),1),"")</f>
        <v/>
      </c>
      <c r="B136" s="69" t="str">
        <f ca="1">IF($A136="","",INDEX('Wash Sale Tracker'!$A:$A,$A136))</f>
        <v/>
      </c>
      <c r="C136" s="30" t="str">
        <f ca="1">IF($A136="","",INDEX('Wash Sale Tracker'!$L:$L,$A136))</f>
        <v/>
      </c>
      <c r="D136" s="69" t="str">
        <f ca="1">IF($A136="","",INDEX('Wash Sale Tracker'!$E:$E,$A136))</f>
        <v/>
      </c>
      <c r="E136" s="51" t="str">
        <f ca="1">IF($A136="","",ABS(INDEX('Wash Sale Tracker'!$J:$J,$A136)))</f>
        <v/>
      </c>
      <c r="F136" s="51" t="str">
        <f ca="1">IF($A136="","",INDEX('Wash Sale Tracker'!$O:$O,$A136))</f>
        <v/>
      </c>
      <c r="G136" s="51" t="str">
        <f ca="1">IF($A136="","",INDEX('Wash Sale Tracker'!$T:$T,$A136))</f>
        <v/>
      </c>
      <c r="H136" s="63" t="str">
        <f ca="1">IF($A136="","",INDEX('Wash Sale Tracker'!$S:$S,$A136))</f>
        <v/>
      </c>
      <c r="I136" s="63" t="str">
        <f ca="1">IF($A136="","",INDEX('Wash Sale Tracker'!$X:$X,$A136))</f>
        <v/>
      </c>
      <c r="J136" s="25"/>
      <c r="K136" s="24"/>
      <c r="L136" s="74"/>
      <c r="M136" s="24"/>
    </row>
    <row r="137" spans="1:13" ht="20.100000000000001" customHeight="1" x14ac:dyDescent="0.2">
      <c r="A137" s="9" t="str">
        <f ca="1">IFERROR(_xludf.AGGREGATE(15,6,ROW('Wash Sale Tracker'!$K$18:$K$498)/(('Wash Sale Tracker'!$K$18:$K$498="Yes")*(ROW('Wash Sale Tracker'!$K$18:$K$498)&gt;A136)),1),"")</f>
        <v/>
      </c>
      <c r="B137" s="69" t="str">
        <f ca="1">IF($A137="","",INDEX('Wash Sale Tracker'!$A:$A,$A137))</f>
        <v/>
      </c>
      <c r="C137" s="30" t="str">
        <f ca="1">IF($A137="","",INDEX('Wash Sale Tracker'!$L:$L,$A137))</f>
        <v/>
      </c>
      <c r="D137" s="69" t="str">
        <f ca="1">IF($A137="","",INDEX('Wash Sale Tracker'!$E:$E,$A137))</f>
        <v/>
      </c>
      <c r="E137" s="51" t="str">
        <f ca="1">IF($A137="","",ABS(INDEX('Wash Sale Tracker'!$J:$J,$A137)))</f>
        <v/>
      </c>
      <c r="F137" s="51" t="str">
        <f ca="1">IF($A137="","",INDEX('Wash Sale Tracker'!$O:$O,$A137))</f>
        <v/>
      </c>
      <c r="G137" s="51" t="str">
        <f ca="1">IF($A137="","",INDEX('Wash Sale Tracker'!$T:$T,$A137))</f>
        <v/>
      </c>
      <c r="H137" s="63" t="str">
        <f ca="1">IF($A137="","",INDEX('Wash Sale Tracker'!$S:$S,$A137))</f>
        <v/>
      </c>
      <c r="I137" s="63" t="str">
        <f ca="1">IF($A137="","",INDEX('Wash Sale Tracker'!$X:$X,$A137))</f>
        <v/>
      </c>
      <c r="J137" s="25"/>
      <c r="K137" s="24"/>
      <c r="L137" s="74"/>
      <c r="M137" s="24"/>
    </row>
    <row r="138" spans="1:13" ht="20.100000000000001" customHeight="1" x14ac:dyDescent="0.2">
      <c r="A138" s="9" t="str">
        <f ca="1">IFERROR(_xludf.AGGREGATE(15,6,ROW('Wash Sale Tracker'!$K$18:$K$498)/(('Wash Sale Tracker'!$K$18:$K$498="Yes")*(ROW('Wash Sale Tracker'!$K$18:$K$498)&gt;A137)),1),"")</f>
        <v/>
      </c>
      <c r="B138" s="69" t="str">
        <f ca="1">IF($A138="","",INDEX('Wash Sale Tracker'!$A:$A,$A138))</f>
        <v/>
      </c>
      <c r="C138" s="30" t="str">
        <f ca="1">IF($A138="","",INDEX('Wash Sale Tracker'!$L:$L,$A138))</f>
        <v/>
      </c>
      <c r="D138" s="69" t="str">
        <f ca="1">IF($A138="","",INDEX('Wash Sale Tracker'!$E:$E,$A138))</f>
        <v/>
      </c>
      <c r="E138" s="51" t="str">
        <f ca="1">IF($A138="","",ABS(INDEX('Wash Sale Tracker'!$J:$J,$A138)))</f>
        <v/>
      </c>
      <c r="F138" s="51" t="str">
        <f ca="1">IF($A138="","",INDEX('Wash Sale Tracker'!$O:$O,$A138))</f>
        <v/>
      </c>
      <c r="G138" s="51" t="str">
        <f ca="1">IF($A138="","",INDEX('Wash Sale Tracker'!$T:$T,$A138))</f>
        <v/>
      </c>
      <c r="H138" s="63" t="str">
        <f ca="1">IF($A138="","",INDEX('Wash Sale Tracker'!$S:$S,$A138))</f>
        <v/>
      </c>
      <c r="I138" s="63" t="str">
        <f ca="1">IF($A138="","",INDEX('Wash Sale Tracker'!$X:$X,$A138))</f>
        <v/>
      </c>
      <c r="J138" s="25"/>
      <c r="K138" s="24"/>
      <c r="L138" s="74"/>
      <c r="M138" s="24"/>
    </row>
    <row r="139" spans="1:13" ht="20.100000000000001" customHeight="1" x14ac:dyDescent="0.2">
      <c r="A139" s="9" t="str">
        <f ca="1">IFERROR(_xludf.AGGREGATE(15,6,ROW('Wash Sale Tracker'!$K$18:$K$498)/(('Wash Sale Tracker'!$K$18:$K$498="Yes")*(ROW('Wash Sale Tracker'!$K$18:$K$498)&gt;A138)),1),"")</f>
        <v/>
      </c>
      <c r="B139" s="69" t="str">
        <f ca="1">IF($A139="","",INDEX('Wash Sale Tracker'!$A:$A,$A139))</f>
        <v/>
      </c>
      <c r="C139" s="30" t="str">
        <f ca="1">IF($A139="","",INDEX('Wash Sale Tracker'!$L:$L,$A139))</f>
        <v/>
      </c>
      <c r="D139" s="69" t="str">
        <f ca="1">IF($A139="","",INDEX('Wash Sale Tracker'!$E:$E,$A139))</f>
        <v/>
      </c>
      <c r="E139" s="51" t="str">
        <f ca="1">IF($A139="","",ABS(INDEX('Wash Sale Tracker'!$J:$J,$A139)))</f>
        <v/>
      </c>
      <c r="F139" s="51" t="str">
        <f ca="1">IF($A139="","",INDEX('Wash Sale Tracker'!$O:$O,$A139))</f>
        <v/>
      </c>
      <c r="G139" s="51" t="str">
        <f ca="1">IF($A139="","",INDEX('Wash Sale Tracker'!$T:$T,$A139))</f>
        <v/>
      </c>
      <c r="H139" s="63" t="str">
        <f ca="1">IF($A139="","",INDEX('Wash Sale Tracker'!$S:$S,$A139))</f>
        <v/>
      </c>
      <c r="I139" s="63" t="str">
        <f ca="1">IF($A139="","",INDEX('Wash Sale Tracker'!$X:$X,$A139))</f>
        <v/>
      </c>
      <c r="J139" s="25"/>
      <c r="K139" s="24"/>
      <c r="L139" s="74"/>
      <c r="M139" s="24"/>
    </row>
    <row r="140" spans="1:13" ht="20.100000000000001" customHeight="1" x14ac:dyDescent="0.2">
      <c r="A140" s="9" t="str">
        <f ca="1">IFERROR(_xludf.AGGREGATE(15,6,ROW('Wash Sale Tracker'!$K$18:$K$498)/(('Wash Sale Tracker'!$K$18:$K$498="Yes")*(ROW('Wash Sale Tracker'!$K$18:$K$498)&gt;A139)),1),"")</f>
        <v/>
      </c>
      <c r="B140" s="69" t="str">
        <f ca="1">IF($A140="","",INDEX('Wash Sale Tracker'!$A:$A,$A140))</f>
        <v/>
      </c>
      <c r="C140" s="30" t="str">
        <f ca="1">IF($A140="","",INDEX('Wash Sale Tracker'!$L:$L,$A140))</f>
        <v/>
      </c>
      <c r="D140" s="69" t="str">
        <f ca="1">IF($A140="","",INDEX('Wash Sale Tracker'!$E:$E,$A140))</f>
        <v/>
      </c>
      <c r="E140" s="51" t="str">
        <f ca="1">IF($A140="","",ABS(INDEX('Wash Sale Tracker'!$J:$J,$A140)))</f>
        <v/>
      </c>
      <c r="F140" s="51" t="str">
        <f ca="1">IF($A140="","",INDEX('Wash Sale Tracker'!$O:$O,$A140))</f>
        <v/>
      </c>
      <c r="G140" s="51" t="str">
        <f ca="1">IF($A140="","",INDEX('Wash Sale Tracker'!$T:$T,$A140))</f>
        <v/>
      </c>
      <c r="H140" s="63" t="str">
        <f ca="1">IF($A140="","",INDEX('Wash Sale Tracker'!$S:$S,$A140))</f>
        <v/>
      </c>
      <c r="I140" s="63" t="str">
        <f ca="1">IF($A140="","",INDEX('Wash Sale Tracker'!$X:$X,$A140))</f>
        <v/>
      </c>
      <c r="J140" s="25"/>
      <c r="K140" s="24"/>
      <c r="L140" s="74"/>
      <c r="M140" s="24"/>
    </row>
    <row r="141" spans="1:13" ht="20.100000000000001" customHeight="1" x14ac:dyDescent="0.2">
      <c r="A141" s="9" t="str">
        <f ca="1">IFERROR(_xludf.AGGREGATE(15,6,ROW('Wash Sale Tracker'!$K$18:$K$498)/(('Wash Sale Tracker'!$K$18:$K$498="Yes")*(ROW('Wash Sale Tracker'!$K$18:$K$498)&gt;A140)),1),"")</f>
        <v/>
      </c>
      <c r="B141" s="69" t="str">
        <f ca="1">IF($A141="","",INDEX('Wash Sale Tracker'!$A:$A,$A141))</f>
        <v/>
      </c>
      <c r="C141" s="30" t="str">
        <f ca="1">IF($A141="","",INDEX('Wash Sale Tracker'!$L:$L,$A141))</f>
        <v/>
      </c>
      <c r="D141" s="69" t="str">
        <f ca="1">IF($A141="","",INDEX('Wash Sale Tracker'!$E:$E,$A141))</f>
        <v/>
      </c>
      <c r="E141" s="51" t="str">
        <f ca="1">IF($A141="","",ABS(INDEX('Wash Sale Tracker'!$J:$J,$A141)))</f>
        <v/>
      </c>
      <c r="F141" s="51" t="str">
        <f ca="1">IF($A141="","",INDEX('Wash Sale Tracker'!$O:$O,$A141))</f>
        <v/>
      </c>
      <c r="G141" s="51" t="str">
        <f ca="1">IF($A141="","",INDEX('Wash Sale Tracker'!$T:$T,$A141))</f>
        <v/>
      </c>
      <c r="H141" s="63" t="str">
        <f ca="1">IF($A141="","",INDEX('Wash Sale Tracker'!$S:$S,$A141))</f>
        <v/>
      </c>
      <c r="I141" s="63" t="str">
        <f ca="1">IF($A141="","",INDEX('Wash Sale Tracker'!$X:$X,$A141))</f>
        <v/>
      </c>
      <c r="J141" s="25"/>
      <c r="K141" s="24"/>
      <c r="L141" s="74"/>
      <c r="M141" s="24"/>
    </row>
    <row r="142" spans="1:13" ht="20.100000000000001" customHeight="1" x14ac:dyDescent="0.2">
      <c r="A142" s="9" t="str">
        <f ca="1">IFERROR(_xludf.AGGREGATE(15,6,ROW('Wash Sale Tracker'!$K$18:$K$498)/(('Wash Sale Tracker'!$K$18:$K$498="Yes")*(ROW('Wash Sale Tracker'!$K$18:$K$498)&gt;A141)),1),"")</f>
        <v/>
      </c>
      <c r="B142" s="69" t="str">
        <f ca="1">IF($A142="","",INDEX('Wash Sale Tracker'!$A:$A,$A142))</f>
        <v/>
      </c>
      <c r="C142" s="30" t="str">
        <f ca="1">IF($A142="","",INDEX('Wash Sale Tracker'!$L:$L,$A142))</f>
        <v/>
      </c>
      <c r="D142" s="69" t="str">
        <f ca="1">IF($A142="","",INDEX('Wash Sale Tracker'!$E:$E,$A142))</f>
        <v/>
      </c>
      <c r="E142" s="51" t="str">
        <f ca="1">IF($A142="","",ABS(INDEX('Wash Sale Tracker'!$J:$J,$A142)))</f>
        <v/>
      </c>
      <c r="F142" s="51" t="str">
        <f ca="1">IF($A142="","",INDEX('Wash Sale Tracker'!$O:$O,$A142))</f>
        <v/>
      </c>
      <c r="G142" s="51" t="str">
        <f ca="1">IF($A142="","",INDEX('Wash Sale Tracker'!$T:$T,$A142))</f>
        <v/>
      </c>
      <c r="H142" s="63" t="str">
        <f ca="1">IF($A142="","",INDEX('Wash Sale Tracker'!$S:$S,$A142))</f>
        <v/>
      </c>
      <c r="I142" s="63" t="str">
        <f ca="1">IF($A142="","",INDEX('Wash Sale Tracker'!$X:$X,$A142))</f>
        <v/>
      </c>
      <c r="J142" s="25"/>
      <c r="K142" s="24"/>
      <c r="L142" s="74"/>
      <c r="M142" s="24"/>
    </row>
    <row r="143" spans="1:13" ht="20.100000000000001" customHeight="1" x14ac:dyDescent="0.2">
      <c r="A143" s="9" t="str">
        <f ca="1">IFERROR(_xludf.AGGREGATE(15,6,ROW('Wash Sale Tracker'!$K$18:$K$498)/(('Wash Sale Tracker'!$K$18:$K$498="Yes")*(ROW('Wash Sale Tracker'!$K$18:$K$498)&gt;A142)),1),"")</f>
        <v/>
      </c>
      <c r="B143" s="69" t="str">
        <f ca="1">IF($A143="","",INDEX('Wash Sale Tracker'!$A:$A,$A143))</f>
        <v/>
      </c>
      <c r="C143" s="30" t="str">
        <f ca="1">IF($A143="","",INDEX('Wash Sale Tracker'!$L:$L,$A143))</f>
        <v/>
      </c>
      <c r="D143" s="69" t="str">
        <f ca="1">IF($A143="","",INDEX('Wash Sale Tracker'!$E:$E,$A143))</f>
        <v/>
      </c>
      <c r="E143" s="51" t="str">
        <f ca="1">IF($A143="","",ABS(INDEX('Wash Sale Tracker'!$J:$J,$A143)))</f>
        <v/>
      </c>
      <c r="F143" s="51" t="str">
        <f ca="1">IF($A143="","",INDEX('Wash Sale Tracker'!$O:$O,$A143))</f>
        <v/>
      </c>
      <c r="G143" s="51" t="str">
        <f ca="1">IF($A143="","",INDEX('Wash Sale Tracker'!$T:$T,$A143))</f>
        <v/>
      </c>
      <c r="H143" s="63" t="str">
        <f ca="1">IF($A143="","",INDEX('Wash Sale Tracker'!$S:$S,$A143))</f>
        <v/>
      </c>
      <c r="I143" s="63" t="str">
        <f ca="1">IF($A143="","",INDEX('Wash Sale Tracker'!$X:$X,$A143))</f>
        <v/>
      </c>
      <c r="J143" s="25"/>
      <c r="K143" s="24"/>
      <c r="L143" s="74"/>
      <c r="M143" s="24"/>
    </row>
    <row r="144" spans="1:13" ht="20.100000000000001" customHeight="1" x14ac:dyDescent="0.2">
      <c r="A144" s="9" t="str">
        <f ca="1">IFERROR(_xludf.AGGREGATE(15,6,ROW('Wash Sale Tracker'!$K$18:$K$498)/(('Wash Sale Tracker'!$K$18:$K$498="Yes")*(ROW('Wash Sale Tracker'!$K$18:$K$498)&gt;A143)),1),"")</f>
        <v/>
      </c>
      <c r="B144" s="69" t="str">
        <f ca="1">IF($A144="","",INDEX('Wash Sale Tracker'!$A:$A,$A144))</f>
        <v/>
      </c>
      <c r="C144" s="30" t="str">
        <f ca="1">IF($A144="","",INDEX('Wash Sale Tracker'!$L:$L,$A144))</f>
        <v/>
      </c>
      <c r="D144" s="69" t="str">
        <f ca="1">IF($A144="","",INDEX('Wash Sale Tracker'!$E:$E,$A144))</f>
        <v/>
      </c>
      <c r="E144" s="51" t="str">
        <f ca="1">IF($A144="","",ABS(INDEX('Wash Sale Tracker'!$J:$J,$A144)))</f>
        <v/>
      </c>
      <c r="F144" s="51" t="str">
        <f ca="1">IF($A144="","",INDEX('Wash Sale Tracker'!$O:$O,$A144))</f>
        <v/>
      </c>
      <c r="G144" s="51" t="str">
        <f ca="1">IF($A144="","",INDEX('Wash Sale Tracker'!$T:$T,$A144))</f>
        <v/>
      </c>
      <c r="H144" s="63" t="str">
        <f ca="1">IF($A144="","",INDEX('Wash Sale Tracker'!$S:$S,$A144))</f>
        <v/>
      </c>
      <c r="I144" s="63" t="str">
        <f ca="1">IF($A144="","",INDEX('Wash Sale Tracker'!$X:$X,$A144))</f>
        <v/>
      </c>
      <c r="J144" s="25"/>
      <c r="K144" s="24"/>
      <c r="L144" s="74"/>
      <c r="M144" s="24"/>
    </row>
    <row r="145" spans="1:13" ht="20.100000000000001" customHeight="1" x14ac:dyDescent="0.2">
      <c r="A145" s="9" t="str">
        <f ca="1">IFERROR(_xludf.AGGREGATE(15,6,ROW('Wash Sale Tracker'!$K$18:$K$498)/(('Wash Sale Tracker'!$K$18:$K$498="Yes")*(ROW('Wash Sale Tracker'!$K$18:$K$498)&gt;A144)),1),"")</f>
        <v/>
      </c>
      <c r="B145" s="69" t="str">
        <f ca="1">IF($A145="","",INDEX('Wash Sale Tracker'!$A:$A,$A145))</f>
        <v/>
      </c>
      <c r="C145" s="30" t="str">
        <f ca="1">IF($A145="","",INDEX('Wash Sale Tracker'!$L:$L,$A145))</f>
        <v/>
      </c>
      <c r="D145" s="69" t="str">
        <f ca="1">IF($A145="","",INDEX('Wash Sale Tracker'!$E:$E,$A145))</f>
        <v/>
      </c>
      <c r="E145" s="51" t="str">
        <f ca="1">IF($A145="","",ABS(INDEX('Wash Sale Tracker'!$J:$J,$A145)))</f>
        <v/>
      </c>
      <c r="F145" s="51" t="str">
        <f ca="1">IF($A145="","",INDEX('Wash Sale Tracker'!$O:$O,$A145))</f>
        <v/>
      </c>
      <c r="G145" s="51" t="str">
        <f ca="1">IF($A145="","",INDEX('Wash Sale Tracker'!$T:$T,$A145))</f>
        <v/>
      </c>
      <c r="H145" s="63" t="str">
        <f ca="1">IF($A145="","",INDEX('Wash Sale Tracker'!$S:$S,$A145))</f>
        <v/>
      </c>
      <c r="I145" s="63" t="str">
        <f ca="1">IF($A145="","",INDEX('Wash Sale Tracker'!$X:$X,$A145))</f>
        <v/>
      </c>
      <c r="J145" s="25"/>
      <c r="K145" s="24"/>
      <c r="L145" s="74"/>
      <c r="M145" s="24"/>
    </row>
    <row r="146" spans="1:13" ht="20.100000000000001" customHeight="1" x14ac:dyDescent="0.2">
      <c r="A146" s="9" t="str">
        <f ca="1">IFERROR(_xludf.AGGREGATE(15,6,ROW('Wash Sale Tracker'!$K$18:$K$498)/(('Wash Sale Tracker'!$K$18:$K$498="Yes")*(ROW('Wash Sale Tracker'!$K$18:$K$498)&gt;A145)),1),"")</f>
        <v/>
      </c>
      <c r="B146" s="69" t="str">
        <f ca="1">IF($A146="","",INDEX('Wash Sale Tracker'!$A:$A,$A146))</f>
        <v/>
      </c>
      <c r="C146" s="30" t="str">
        <f ca="1">IF($A146="","",INDEX('Wash Sale Tracker'!$L:$L,$A146))</f>
        <v/>
      </c>
      <c r="D146" s="69" t="str">
        <f ca="1">IF($A146="","",INDEX('Wash Sale Tracker'!$E:$E,$A146))</f>
        <v/>
      </c>
      <c r="E146" s="51" t="str">
        <f ca="1">IF($A146="","",ABS(INDEX('Wash Sale Tracker'!$J:$J,$A146)))</f>
        <v/>
      </c>
      <c r="F146" s="51" t="str">
        <f ca="1">IF($A146="","",INDEX('Wash Sale Tracker'!$O:$O,$A146))</f>
        <v/>
      </c>
      <c r="G146" s="51" t="str">
        <f ca="1">IF($A146="","",INDEX('Wash Sale Tracker'!$T:$T,$A146))</f>
        <v/>
      </c>
      <c r="H146" s="63" t="str">
        <f ca="1">IF($A146="","",INDEX('Wash Sale Tracker'!$S:$S,$A146))</f>
        <v/>
      </c>
      <c r="I146" s="63" t="str">
        <f ca="1">IF($A146="","",INDEX('Wash Sale Tracker'!$X:$X,$A146))</f>
        <v/>
      </c>
      <c r="J146" s="25"/>
      <c r="K146" s="24"/>
      <c r="L146" s="74"/>
      <c r="M146" s="24"/>
    </row>
    <row r="147" spans="1:13" ht="20.100000000000001" customHeight="1" x14ac:dyDescent="0.2">
      <c r="A147" s="9" t="str">
        <f ca="1">IFERROR(_xludf.AGGREGATE(15,6,ROW('Wash Sale Tracker'!$K$18:$K$498)/(('Wash Sale Tracker'!$K$18:$K$498="Yes")*(ROW('Wash Sale Tracker'!$K$18:$K$498)&gt;A146)),1),"")</f>
        <v/>
      </c>
      <c r="B147" s="69" t="str">
        <f ca="1">IF($A147="","",INDEX('Wash Sale Tracker'!$A:$A,$A147))</f>
        <v/>
      </c>
      <c r="C147" s="30" t="str">
        <f ca="1">IF($A147="","",INDEX('Wash Sale Tracker'!$L:$L,$A147))</f>
        <v/>
      </c>
      <c r="D147" s="69" t="str">
        <f ca="1">IF($A147="","",INDEX('Wash Sale Tracker'!$E:$E,$A147))</f>
        <v/>
      </c>
      <c r="E147" s="51" t="str">
        <f ca="1">IF($A147="","",ABS(INDEX('Wash Sale Tracker'!$J:$J,$A147)))</f>
        <v/>
      </c>
      <c r="F147" s="51" t="str">
        <f ca="1">IF($A147="","",INDEX('Wash Sale Tracker'!$O:$O,$A147))</f>
        <v/>
      </c>
      <c r="G147" s="51" t="str">
        <f ca="1">IF($A147="","",INDEX('Wash Sale Tracker'!$T:$T,$A147))</f>
        <v/>
      </c>
      <c r="H147" s="63" t="str">
        <f ca="1">IF($A147="","",INDEX('Wash Sale Tracker'!$S:$S,$A147))</f>
        <v/>
      </c>
      <c r="I147" s="63" t="str">
        <f ca="1">IF($A147="","",INDEX('Wash Sale Tracker'!$X:$X,$A147))</f>
        <v/>
      </c>
      <c r="J147" s="25"/>
      <c r="K147" s="24"/>
      <c r="L147" s="74"/>
      <c r="M147" s="24"/>
    </row>
    <row r="148" spans="1:13" ht="20.100000000000001" customHeight="1" x14ac:dyDescent="0.2">
      <c r="A148" s="9" t="str">
        <f ca="1">IFERROR(_xludf.AGGREGATE(15,6,ROW('Wash Sale Tracker'!$K$18:$K$498)/(('Wash Sale Tracker'!$K$18:$K$498="Yes")*(ROW('Wash Sale Tracker'!$K$18:$K$498)&gt;A147)),1),"")</f>
        <v/>
      </c>
      <c r="B148" s="69" t="str">
        <f ca="1">IF($A148="","",INDEX('Wash Sale Tracker'!$A:$A,$A148))</f>
        <v/>
      </c>
      <c r="C148" s="30" t="str">
        <f ca="1">IF($A148="","",INDEX('Wash Sale Tracker'!$L:$L,$A148))</f>
        <v/>
      </c>
      <c r="D148" s="69" t="str">
        <f ca="1">IF($A148="","",INDEX('Wash Sale Tracker'!$E:$E,$A148))</f>
        <v/>
      </c>
      <c r="E148" s="51" t="str">
        <f ca="1">IF($A148="","",ABS(INDEX('Wash Sale Tracker'!$J:$J,$A148)))</f>
        <v/>
      </c>
      <c r="F148" s="51" t="str">
        <f ca="1">IF($A148="","",INDEX('Wash Sale Tracker'!$O:$O,$A148))</f>
        <v/>
      </c>
      <c r="G148" s="51" t="str">
        <f ca="1">IF($A148="","",INDEX('Wash Sale Tracker'!$T:$T,$A148))</f>
        <v/>
      </c>
      <c r="H148" s="63" t="str">
        <f ca="1">IF($A148="","",INDEX('Wash Sale Tracker'!$S:$S,$A148))</f>
        <v/>
      </c>
      <c r="I148" s="63" t="str">
        <f ca="1">IF($A148="","",INDEX('Wash Sale Tracker'!$X:$X,$A148))</f>
        <v/>
      </c>
      <c r="J148" s="25"/>
      <c r="K148" s="24"/>
      <c r="L148" s="74"/>
      <c r="M148" s="24"/>
    </row>
    <row r="149" spans="1:13" ht="20.100000000000001" customHeight="1" x14ac:dyDescent="0.2">
      <c r="A149" s="9" t="str">
        <f ca="1">IFERROR(_xludf.AGGREGATE(15,6,ROW('Wash Sale Tracker'!$K$18:$K$498)/(('Wash Sale Tracker'!$K$18:$K$498="Yes")*(ROW('Wash Sale Tracker'!$K$18:$K$498)&gt;A148)),1),"")</f>
        <v/>
      </c>
      <c r="B149" s="69" t="str">
        <f ca="1">IF($A149="","",INDEX('Wash Sale Tracker'!$A:$A,$A149))</f>
        <v/>
      </c>
      <c r="C149" s="30" t="str">
        <f ca="1">IF($A149="","",INDEX('Wash Sale Tracker'!$L:$L,$A149))</f>
        <v/>
      </c>
      <c r="D149" s="69" t="str">
        <f ca="1">IF($A149="","",INDEX('Wash Sale Tracker'!$E:$E,$A149))</f>
        <v/>
      </c>
      <c r="E149" s="51" t="str">
        <f ca="1">IF($A149="","",ABS(INDEX('Wash Sale Tracker'!$J:$J,$A149)))</f>
        <v/>
      </c>
      <c r="F149" s="51" t="str">
        <f ca="1">IF($A149="","",INDEX('Wash Sale Tracker'!$O:$O,$A149))</f>
        <v/>
      </c>
      <c r="G149" s="51" t="str">
        <f ca="1">IF($A149="","",INDEX('Wash Sale Tracker'!$T:$T,$A149))</f>
        <v/>
      </c>
      <c r="H149" s="63" t="str">
        <f ca="1">IF($A149="","",INDEX('Wash Sale Tracker'!$S:$S,$A149))</f>
        <v/>
      </c>
      <c r="I149" s="63" t="str">
        <f ca="1">IF($A149="","",INDEX('Wash Sale Tracker'!$X:$X,$A149))</f>
        <v/>
      </c>
      <c r="J149" s="25"/>
      <c r="K149" s="24"/>
      <c r="L149" s="74"/>
      <c r="M149" s="24"/>
    </row>
    <row r="150" spans="1:13" ht="20.100000000000001" customHeight="1" x14ac:dyDescent="0.2">
      <c r="A150" s="9" t="str">
        <f ca="1">IFERROR(_xludf.AGGREGATE(15,6,ROW('Wash Sale Tracker'!$K$18:$K$498)/(('Wash Sale Tracker'!$K$18:$K$498="Yes")*(ROW('Wash Sale Tracker'!$K$18:$K$498)&gt;A149)),1),"")</f>
        <v/>
      </c>
      <c r="B150" s="69" t="str">
        <f ca="1">IF($A150="","",INDEX('Wash Sale Tracker'!$A:$A,$A150))</f>
        <v/>
      </c>
      <c r="C150" s="30" t="str">
        <f ca="1">IF($A150="","",INDEX('Wash Sale Tracker'!$L:$L,$A150))</f>
        <v/>
      </c>
      <c r="D150" s="69" t="str">
        <f ca="1">IF($A150="","",INDEX('Wash Sale Tracker'!$E:$E,$A150))</f>
        <v/>
      </c>
      <c r="E150" s="51" t="str">
        <f ca="1">IF($A150="","",ABS(INDEX('Wash Sale Tracker'!$J:$J,$A150)))</f>
        <v/>
      </c>
      <c r="F150" s="51" t="str">
        <f ca="1">IF($A150="","",INDEX('Wash Sale Tracker'!$O:$O,$A150))</f>
        <v/>
      </c>
      <c r="G150" s="51" t="str">
        <f ca="1">IF($A150="","",INDEX('Wash Sale Tracker'!$T:$T,$A150))</f>
        <v/>
      </c>
      <c r="H150" s="63" t="str">
        <f ca="1">IF($A150="","",INDEX('Wash Sale Tracker'!$S:$S,$A150))</f>
        <v/>
      </c>
      <c r="I150" s="63" t="str">
        <f ca="1">IF($A150="","",INDEX('Wash Sale Tracker'!$X:$X,$A150))</f>
        <v/>
      </c>
      <c r="J150" s="25"/>
      <c r="K150" s="24"/>
      <c r="L150" s="74"/>
      <c r="M150" s="24"/>
    </row>
    <row r="151" spans="1:13" ht="20.100000000000001" customHeight="1" x14ac:dyDescent="0.2">
      <c r="A151" s="9" t="str">
        <f ca="1">IFERROR(_xludf.AGGREGATE(15,6,ROW('Wash Sale Tracker'!$K$18:$K$498)/(('Wash Sale Tracker'!$K$18:$K$498="Yes")*(ROW('Wash Sale Tracker'!$K$18:$K$498)&gt;A150)),1),"")</f>
        <v/>
      </c>
      <c r="B151" s="69" t="str">
        <f ca="1">IF($A151="","",INDEX('Wash Sale Tracker'!$A:$A,$A151))</f>
        <v/>
      </c>
      <c r="C151" s="30" t="str">
        <f ca="1">IF($A151="","",INDEX('Wash Sale Tracker'!$L:$L,$A151))</f>
        <v/>
      </c>
      <c r="D151" s="69" t="str">
        <f ca="1">IF($A151="","",INDEX('Wash Sale Tracker'!$E:$E,$A151))</f>
        <v/>
      </c>
      <c r="E151" s="51" t="str">
        <f ca="1">IF($A151="","",ABS(INDEX('Wash Sale Tracker'!$J:$J,$A151)))</f>
        <v/>
      </c>
      <c r="F151" s="51" t="str">
        <f ca="1">IF($A151="","",INDEX('Wash Sale Tracker'!$O:$O,$A151))</f>
        <v/>
      </c>
      <c r="G151" s="51" t="str">
        <f ca="1">IF($A151="","",INDEX('Wash Sale Tracker'!$T:$T,$A151))</f>
        <v/>
      </c>
      <c r="H151" s="63" t="str">
        <f ca="1">IF($A151="","",INDEX('Wash Sale Tracker'!$S:$S,$A151))</f>
        <v/>
      </c>
      <c r="I151" s="63" t="str">
        <f ca="1">IF($A151="","",INDEX('Wash Sale Tracker'!$X:$X,$A151))</f>
        <v/>
      </c>
      <c r="J151" s="25"/>
      <c r="K151" s="24"/>
      <c r="L151" s="74"/>
      <c r="M151" s="24"/>
    </row>
    <row r="152" spans="1:13" ht="20.100000000000001" customHeight="1" x14ac:dyDescent="0.2">
      <c r="A152" s="9" t="str">
        <f ca="1">IFERROR(_xludf.AGGREGATE(15,6,ROW('Wash Sale Tracker'!$K$18:$K$498)/(('Wash Sale Tracker'!$K$18:$K$498="Yes")*(ROW('Wash Sale Tracker'!$K$18:$K$498)&gt;A151)),1),"")</f>
        <v/>
      </c>
      <c r="B152" s="69" t="str">
        <f ca="1">IF($A152="","",INDEX('Wash Sale Tracker'!$A:$A,$A152))</f>
        <v/>
      </c>
      <c r="C152" s="30" t="str">
        <f ca="1">IF($A152="","",INDEX('Wash Sale Tracker'!$L:$L,$A152))</f>
        <v/>
      </c>
      <c r="D152" s="69" t="str">
        <f ca="1">IF($A152="","",INDEX('Wash Sale Tracker'!$E:$E,$A152))</f>
        <v/>
      </c>
      <c r="E152" s="51" t="str">
        <f ca="1">IF($A152="","",ABS(INDEX('Wash Sale Tracker'!$J:$J,$A152)))</f>
        <v/>
      </c>
      <c r="F152" s="51" t="str">
        <f ca="1">IF($A152="","",INDEX('Wash Sale Tracker'!$O:$O,$A152))</f>
        <v/>
      </c>
      <c r="G152" s="51" t="str">
        <f ca="1">IF($A152="","",INDEX('Wash Sale Tracker'!$T:$T,$A152))</f>
        <v/>
      </c>
      <c r="H152" s="63" t="str">
        <f ca="1">IF($A152="","",INDEX('Wash Sale Tracker'!$S:$S,$A152))</f>
        <v/>
      </c>
      <c r="I152" s="63" t="str">
        <f ca="1">IF($A152="","",INDEX('Wash Sale Tracker'!$X:$X,$A152))</f>
        <v/>
      </c>
      <c r="J152" s="25"/>
      <c r="K152" s="24"/>
      <c r="L152" s="74"/>
      <c r="M152" s="24"/>
    </row>
    <row r="153" spans="1:13" ht="20.100000000000001" customHeight="1" x14ac:dyDescent="0.2">
      <c r="A153" s="9" t="str">
        <f ca="1">IFERROR(_xludf.AGGREGATE(15,6,ROW('Wash Sale Tracker'!$K$18:$K$498)/(('Wash Sale Tracker'!$K$18:$K$498="Yes")*(ROW('Wash Sale Tracker'!$K$18:$K$498)&gt;A152)),1),"")</f>
        <v/>
      </c>
      <c r="B153" s="69" t="str">
        <f ca="1">IF($A153="","",INDEX('Wash Sale Tracker'!$A:$A,$A153))</f>
        <v/>
      </c>
      <c r="C153" s="30" t="str">
        <f ca="1">IF($A153="","",INDEX('Wash Sale Tracker'!$L:$L,$A153))</f>
        <v/>
      </c>
      <c r="D153" s="69" t="str">
        <f ca="1">IF($A153="","",INDEX('Wash Sale Tracker'!$E:$E,$A153))</f>
        <v/>
      </c>
      <c r="E153" s="51" t="str">
        <f ca="1">IF($A153="","",ABS(INDEX('Wash Sale Tracker'!$J:$J,$A153)))</f>
        <v/>
      </c>
      <c r="F153" s="51" t="str">
        <f ca="1">IF($A153="","",INDEX('Wash Sale Tracker'!$O:$O,$A153))</f>
        <v/>
      </c>
      <c r="G153" s="51" t="str">
        <f ca="1">IF($A153="","",INDEX('Wash Sale Tracker'!$T:$T,$A153))</f>
        <v/>
      </c>
      <c r="H153" s="63" t="str">
        <f ca="1">IF($A153="","",INDEX('Wash Sale Tracker'!$S:$S,$A153))</f>
        <v/>
      </c>
      <c r="I153" s="63" t="str">
        <f ca="1">IF($A153="","",INDEX('Wash Sale Tracker'!$X:$X,$A153))</f>
        <v/>
      </c>
      <c r="J153" s="25"/>
      <c r="K153" s="24"/>
      <c r="L153" s="74"/>
      <c r="M153" s="24"/>
    </row>
    <row r="154" spans="1:13" ht="20.100000000000001" customHeight="1" x14ac:dyDescent="0.2">
      <c r="A154" s="9" t="str">
        <f ca="1">IFERROR(_xludf.AGGREGATE(15,6,ROW('Wash Sale Tracker'!$K$18:$K$498)/(('Wash Sale Tracker'!$K$18:$K$498="Yes")*(ROW('Wash Sale Tracker'!$K$18:$K$498)&gt;A153)),1),"")</f>
        <v/>
      </c>
      <c r="B154" s="69" t="str">
        <f ca="1">IF($A154="","",INDEX('Wash Sale Tracker'!$A:$A,$A154))</f>
        <v/>
      </c>
      <c r="C154" s="30" t="str">
        <f ca="1">IF($A154="","",INDEX('Wash Sale Tracker'!$L:$L,$A154))</f>
        <v/>
      </c>
      <c r="D154" s="69" t="str">
        <f ca="1">IF($A154="","",INDEX('Wash Sale Tracker'!$E:$E,$A154))</f>
        <v/>
      </c>
      <c r="E154" s="51" t="str">
        <f ca="1">IF($A154="","",ABS(INDEX('Wash Sale Tracker'!$J:$J,$A154)))</f>
        <v/>
      </c>
      <c r="F154" s="51" t="str">
        <f ca="1">IF($A154="","",INDEX('Wash Sale Tracker'!$O:$O,$A154))</f>
        <v/>
      </c>
      <c r="G154" s="51" t="str">
        <f ca="1">IF($A154="","",INDEX('Wash Sale Tracker'!$T:$T,$A154))</f>
        <v/>
      </c>
      <c r="H154" s="63" t="str">
        <f ca="1">IF($A154="","",INDEX('Wash Sale Tracker'!$S:$S,$A154))</f>
        <v/>
      </c>
      <c r="I154" s="63" t="str">
        <f ca="1">IF($A154="","",INDEX('Wash Sale Tracker'!$X:$X,$A154))</f>
        <v/>
      </c>
      <c r="J154" s="25"/>
      <c r="K154" s="24"/>
      <c r="L154" s="74"/>
      <c r="M154" s="24"/>
    </row>
    <row r="155" spans="1:13" ht="20.100000000000001" customHeight="1" x14ac:dyDescent="0.2">
      <c r="A155" s="9" t="str">
        <f ca="1">IFERROR(_xludf.AGGREGATE(15,6,ROW('Wash Sale Tracker'!$K$18:$K$498)/(('Wash Sale Tracker'!$K$18:$K$498="Yes")*(ROW('Wash Sale Tracker'!$K$18:$K$498)&gt;A154)),1),"")</f>
        <v/>
      </c>
      <c r="B155" s="69" t="str">
        <f ca="1">IF($A155="","",INDEX('Wash Sale Tracker'!$A:$A,$A155))</f>
        <v/>
      </c>
      <c r="C155" s="30" t="str">
        <f ca="1">IF($A155="","",INDEX('Wash Sale Tracker'!$L:$L,$A155))</f>
        <v/>
      </c>
      <c r="D155" s="69" t="str">
        <f ca="1">IF($A155="","",INDEX('Wash Sale Tracker'!$E:$E,$A155))</f>
        <v/>
      </c>
      <c r="E155" s="51" t="str">
        <f ca="1">IF($A155="","",ABS(INDEX('Wash Sale Tracker'!$J:$J,$A155)))</f>
        <v/>
      </c>
      <c r="F155" s="51" t="str">
        <f ca="1">IF($A155="","",INDEX('Wash Sale Tracker'!$O:$O,$A155))</f>
        <v/>
      </c>
      <c r="G155" s="51" t="str">
        <f ca="1">IF($A155="","",INDEX('Wash Sale Tracker'!$T:$T,$A155))</f>
        <v/>
      </c>
      <c r="H155" s="63" t="str">
        <f ca="1">IF($A155="","",INDEX('Wash Sale Tracker'!$S:$S,$A155))</f>
        <v/>
      </c>
      <c r="I155" s="63" t="str">
        <f ca="1">IF($A155="","",INDEX('Wash Sale Tracker'!$X:$X,$A155))</f>
        <v/>
      </c>
      <c r="J155" s="25"/>
      <c r="K155" s="24"/>
      <c r="L155" s="74"/>
      <c r="M155" s="24"/>
    </row>
    <row r="156" spans="1:13" ht="20.100000000000001" customHeight="1" x14ac:dyDescent="0.2">
      <c r="A156" s="9" t="str">
        <f ca="1">IFERROR(_xludf.AGGREGATE(15,6,ROW('Wash Sale Tracker'!$K$18:$K$498)/(('Wash Sale Tracker'!$K$18:$K$498="Yes")*(ROW('Wash Sale Tracker'!$K$18:$K$498)&gt;A155)),1),"")</f>
        <v/>
      </c>
      <c r="B156" s="69" t="str">
        <f ca="1">IF($A156="","",INDEX('Wash Sale Tracker'!$A:$A,$A156))</f>
        <v/>
      </c>
      <c r="C156" s="30" t="str">
        <f ca="1">IF($A156="","",INDEX('Wash Sale Tracker'!$L:$L,$A156))</f>
        <v/>
      </c>
      <c r="D156" s="69" t="str">
        <f ca="1">IF($A156="","",INDEX('Wash Sale Tracker'!$E:$E,$A156))</f>
        <v/>
      </c>
      <c r="E156" s="51" t="str">
        <f ca="1">IF($A156="","",ABS(INDEX('Wash Sale Tracker'!$J:$J,$A156)))</f>
        <v/>
      </c>
      <c r="F156" s="51" t="str">
        <f ca="1">IF($A156="","",INDEX('Wash Sale Tracker'!$O:$O,$A156))</f>
        <v/>
      </c>
      <c r="G156" s="51" t="str">
        <f ca="1">IF($A156="","",INDEX('Wash Sale Tracker'!$T:$T,$A156))</f>
        <v/>
      </c>
      <c r="H156" s="63" t="str">
        <f ca="1">IF($A156="","",INDEX('Wash Sale Tracker'!$S:$S,$A156))</f>
        <v/>
      </c>
      <c r="I156" s="63" t="str">
        <f ca="1">IF($A156="","",INDEX('Wash Sale Tracker'!$X:$X,$A156))</f>
        <v/>
      </c>
      <c r="J156" s="25"/>
      <c r="K156" s="24"/>
      <c r="L156" s="74"/>
      <c r="M156" s="24"/>
    </row>
    <row r="157" spans="1:13" ht="20.100000000000001" customHeight="1" x14ac:dyDescent="0.2">
      <c r="A157" s="9" t="str">
        <f ca="1">IFERROR(_xludf.AGGREGATE(15,6,ROW('Wash Sale Tracker'!$K$18:$K$498)/(('Wash Sale Tracker'!$K$18:$K$498="Yes")*(ROW('Wash Sale Tracker'!$K$18:$K$498)&gt;A156)),1),"")</f>
        <v/>
      </c>
      <c r="B157" s="69" t="str">
        <f ca="1">IF($A157="","",INDEX('Wash Sale Tracker'!$A:$A,$A157))</f>
        <v/>
      </c>
      <c r="C157" s="30" t="str">
        <f ca="1">IF($A157="","",INDEX('Wash Sale Tracker'!$L:$L,$A157))</f>
        <v/>
      </c>
      <c r="D157" s="69" t="str">
        <f ca="1">IF($A157="","",INDEX('Wash Sale Tracker'!$E:$E,$A157))</f>
        <v/>
      </c>
      <c r="E157" s="51" t="str">
        <f ca="1">IF($A157="","",ABS(INDEX('Wash Sale Tracker'!$J:$J,$A157)))</f>
        <v/>
      </c>
      <c r="F157" s="51" t="str">
        <f ca="1">IF($A157="","",INDEX('Wash Sale Tracker'!$O:$O,$A157))</f>
        <v/>
      </c>
      <c r="G157" s="51" t="str">
        <f ca="1">IF($A157="","",INDEX('Wash Sale Tracker'!$T:$T,$A157))</f>
        <v/>
      </c>
      <c r="H157" s="63" t="str">
        <f ca="1">IF($A157="","",INDEX('Wash Sale Tracker'!$S:$S,$A157))</f>
        <v/>
      </c>
      <c r="I157" s="63" t="str">
        <f ca="1">IF($A157="","",INDEX('Wash Sale Tracker'!$X:$X,$A157))</f>
        <v/>
      </c>
      <c r="J157" s="25"/>
      <c r="K157" s="24"/>
      <c r="L157" s="74"/>
      <c r="M157" s="24"/>
    </row>
    <row r="158" spans="1:13" ht="20.100000000000001" customHeight="1" x14ac:dyDescent="0.2">
      <c r="A158" s="9" t="str">
        <f ca="1">IFERROR(_xludf.AGGREGATE(15,6,ROW('Wash Sale Tracker'!$K$18:$K$498)/(('Wash Sale Tracker'!$K$18:$K$498="Yes")*(ROW('Wash Sale Tracker'!$K$18:$K$498)&gt;A157)),1),"")</f>
        <v/>
      </c>
      <c r="B158" s="69" t="str">
        <f ca="1">IF($A158="","",INDEX('Wash Sale Tracker'!$A:$A,$A158))</f>
        <v/>
      </c>
      <c r="C158" s="30" t="str">
        <f ca="1">IF($A158="","",INDEX('Wash Sale Tracker'!$L:$L,$A158))</f>
        <v/>
      </c>
      <c r="D158" s="69" t="str">
        <f ca="1">IF($A158="","",INDEX('Wash Sale Tracker'!$E:$E,$A158))</f>
        <v/>
      </c>
      <c r="E158" s="51" t="str">
        <f ca="1">IF($A158="","",ABS(INDEX('Wash Sale Tracker'!$J:$J,$A158)))</f>
        <v/>
      </c>
      <c r="F158" s="51" t="str">
        <f ca="1">IF($A158="","",INDEX('Wash Sale Tracker'!$O:$O,$A158))</f>
        <v/>
      </c>
      <c r="G158" s="51" t="str">
        <f ca="1">IF($A158="","",INDEX('Wash Sale Tracker'!$T:$T,$A158))</f>
        <v/>
      </c>
      <c r="H158" s="63" t="str">
        <f ca="1">IF($A158="","",INDEX('Wash Sale Tracker'!$S:$S,$A158))</f>
        <v/>
      </c>
      <c r="I158" s="63" t="str">
        <f ca="1">IF($A158="","",INDEX('Wash Sale Tracker'!$X:$X,$A158))</f>
        <v/>
      </c>
      <c r="J158" s="25"/>
      <c r="K158" s="24"/>
      <c r="L158" s="74"/>
      <c r="M158" s="24"/>
    </row>
    <row r="159" spans="1:13" ht="20.100000000000001" customHeight="1" x14ac:dyDescent="0.2">
      <c r="A159" s="9" t="str">
        <f ca="1">IFERROR(_xludf.AGGREGATE(15,6,ROW('Wash Sale Tracker'!$K$18:$K$498)/(('Wash Sale Tracker'!$K$18:$K$498="Yes")*(ROW('Wash Sale Tracker'!$K$18:$K$498)&gt;A158)),1),"")</f>
        <v/>
      </c>
      <c r="B159" s="69" t="str">
        <f ca="1">IF($A159="","",INDEX('Wash Sale Tracker'!$A:$A,$A159))</f>
        <v/>
      </c>
      <c r="C159" s="30" t="str">
        <f ca="1">IF($A159="","",INDEX('Wash Sale Tracker'!$L:$L,$A159))</f>
        <v/>
      </c>
      <c r="D159" s="69" t="str">
        <f ca="1">IF($A159="","",INDEX('Wash Sale Tracker'!$E:$E,$A159))</f>
        <v/>
      </c>
      <c r="E159" s="51" t="str">
        <f ca="1">IF($A159="","",ABS(INDEX('Wash Sale Tracker'!$J:$J,$A159)))</f>
        <v/>
      </c>
      <c r="F159" s="51" t="str">
        <f ca="1">IF($A159="","",INDEX('Wash Sale Tracker'!$O:$O,$A159))</f>
        <v/>
      </c>
      <c r="G159" s="51" t="str">
        <f ca="1">IF($A159="","",INDEX('Wash Sale Tracker'!$T:$T,$A159))</f>
        <v/>
      </c>
      <c r="H159" s="63" t="str">
        <f ca="1">IF($A159="","",INDEX('Wash Sale Tracker'!$S:$S,$A159))</f>
        <v/>
      </c>
      <c r="I159" s="63" t="str">
        <f ca="1">IF($A159="","",INDEX('Wash Sale Tracker'!$X:$X,$A159))</f>
        <v/>
      </c>
      <c r="J159" s="25"/>
      <c r="K159" s="24"/>
      <c r="L159" s="74"/>
      <c r="M159" s="24"/>
    </row>
    <row r="160" spans="1:13" ht="20.100000000000001" customHeight="1" x14ac:dyDescent="0.2">
      <c r="A160" s="9" t="str">
        <f ca="1">IFERROR(_xludf.AGGREGATE(15,6,ROW('Wash Sale Tracker'!$K$18:$K$498)/(('Wash Sale Tracker'!$K$18:$K$498="Yes")*(ROW('Wash Sale Tracker'!$K$18:$K$498)&gt;A159)),1),"")</f>
        <v/>
      </c>
      <c r="B160" s="69" t="str">
        <f ca="1">IF($A160="","",INDEX('Wash Sale Tracker'!$A:$A,$A160))</f>
        <v/>
      </c>
      <c r="C160" s="30" t="str">
        <f ca="1">IF($A160="","",INDEX('Wash Sale Tracker'!$L:$L,$A160))</f>
        <v/>
      </c>
      <c r="D160" s="69" t="str">
        <f ca="1">IF($A160="","",INDEX('Wash Sale Tracker'!$E:$E,$A160))</f>
        <v/>
      </c>
      <c r="E160" s="51" t="str">
        <f ca="1">IF($A160="","",ABS(INDEX('Wash Sale Tracker'!$J:$J,$A160)))</f>
        <v/>
      </c>
      <c r="F160" s="51" t="str">
        <f ca="1">IF($A160="","",INDEX('Wash Sale Tracker'!$O:$O,$A160))</f>
        <v/>
      </c>
      <c r="G160" s="51" t="str">
        <f ca="1">IF($A160="","",INDEX('Wash Sale Tracker'!$T:$T,$A160))</f>
        <v/>
      </c>
      <c r="H160" s="63" t="str">
        <f ca="1">IF($A160="","",INDEX('Wash Sale Tracker'!$S:$S,$A160))</f>
        <v/>
      </c>
      <c r="I160" s="63" t="str">
        <f ca="1">IF($A160="","",INDEX('Wash Sale Tracker'!$X:$X,$A160))</f>
        <v/>
      </c>
      <c r="J160" s="25"/>
      <c r="K160" s="24"/>
      <c r="L160" s="74"/>
      <c r="M160" s="24"/>
    </row>
    <row r="161" spans="1:13" ht="20.100000000000001" customHeight="1" x14ac:dyDescent="0.2">
      <c r="A161" s="9" t="str">
        <f ca="1">IFERROR(_xludf.AGGREGATE(15,6,ROW('Wash Sale Tracker'!$K$18:$K$498)/(('Wash Sale Tracker'!$K$18:$K$498="Yes")*(ROW('Wash Sale Tracker'!$K$18:$K$498)&gt;A160)),1),"")</f>
        <v/>
      </c>
      <c r="B161" s="69" t="str">
        <f ca="1">IF($A161="","",INDEX('Wash Sale Tracker'!$A:$A,$A161))</f>
        <v/>
      </c>
      <c r="C161" s="30" t="str">
        <f ca="1">IF($A161="","",INDEX('Wash Sale Tracker'!$L:$L,$A161))</f>
        <v/>
      </c>
      <c r="D161" s="69" t="str">
        <f ca="1">IF($A161="","",INDEX('Wash Sale Tracker'!$E:$E,$A161))</f>
        <v/>
      </c>
      <c r="E161" s="51" t="str">
        <f ca="1">IF($A161="","",ABS(INDEX('Wash Sale Tracker'!$J:$J,$A161)))</f>
        <v/>
      </c>
      <c r="F161" s="51" t="str">
        <f ca="1">IF($A161="","",INDEX('Wash Sale Tracker'!$O:$O,$A161))</f>
        <v/>
      </c>
      <c r="G161" s="51" t="str">
        <f ca="1">IF($A161="","",INDEX('Wash Sale Tracker'!$T:$T,$A161))</f>
        <v/>
      </c>
      <c r="H161" s="63" t="str">
        <f ca="1">IF($A161="","",INDEX('Wash Sale Tracker'!$S:$S,$A161))</f>
        <v/>
      </c>
      <c r="I161" s="63" t="str">
        <f ca="1">IF($A161="","",INDEX('Wash Sale Tracker'!$X:$X,$A161))</f>
        <v/>
      </c>
      <c r="J161" s="25"/>
      <c r="K161" s="24"/>
      <c r="L161" s="74"/>
      <c r="M161" s="24"/>
    </row>
    <row r="162" spans="1:13" ht="20.100000000000001" customHeight="1" x14ac:dyDescent="0.2">
      <c r="A162" s="9" t="str">
        <f ca="1">IFERROR(_xludf.AGGREGATE(15,6,ROW('Wash Sale Tracker'!$K$18:$K$498)/(('Wash Sale Tracker'!$K$18:$K$498="Yes")*(ROW('Wash Sale Tracker'!$K$18:$K$498)&gt;A161)),1),"")</f>
        <v/>
      </c>
      <c r="B162" s="69" t="str">
        <f ca="1">IF($A162="","",INDEX('Wash Sale Tracker'!$A:$A,$A162))</f>
        <v/>
      </c>
      <c r="C162" s="30" t="str">
        <f ca="1">IF($A162="","",INDEX('Wash Sale Tracker'!$L:$L,$A162))</f>
        <v/>
      </c>
      <c r="D162" s="69" t="str">
        <f ca="1">IF($A162="","",INDEX('Wash Sale Tracker'!$E:$E,$A162))</f>
        <v/>
      </c>
      <c r="E162" s="51" t="str">
        <f ca="1">IF($A162="","",ABS(INDEX('Wash Sale Tracker'!$J:$J,$A162)))</f>
        <v/>
      </c>
      <c r="F162" s="51" t="str">
        <f ca="1">IF($A162="","",INDEX('Wash Sale Tracker'!$O:$O,$A162))</f>
        <v/>
      </c>
      <c r="G162" s="51" t="str">
        <f ca="1">IF($A162="","",INDEX('Wash Sale Tracker'!$T:$T,$A162))</f>
        <v/>
      </c>
      <c r="H162" s="63" t="str">
        <f ca="1">IF($A162="","",INDEX('Wash Sale Tracker'!$S:$S,$A162))</f>
        <v/>
      </c>
      <c r="I162" s="63" t="str">
        <f ca="1">IF($A162="","",INDEX('Wash Sale Tracker'!$X:$X,$A162))</f>
        <v/>
      </c>
      <c r="J162" s="25"/>
      <c r="K162" s="24"/>
      <c r="L162" s="74"/>
      <c r="M162" s="24"/>
    </row>
    <row r="163" spans="1:13" ht="20.100000000000001" customHeight="1" x14ac:dyDescent="0.2">
      <c r="A163" s="9" t="str">
        <f ca="1">IFERROR(_xludf.AGGREGATE(15,6,ROW('Wash Sale Tracker'!$K$18:$K$498)/(('Wash Sale Tracker'!$K$18:$K$498="Yes")*(ROW('Wash Sale Tracker'!$K$18:$K$498)&gt;A162)),1),"")</f>
        <v/>
      </c>
      <c r="B163" s="69" t="str">
        <f ca="1">IF($A163="","",INDEX('Wash Sale Tracker'!$A:$A,$A163))</f>
        <v/>
      </c>
      <c r="C163" s="30" t="str">
        <f ca="1">IF($A163="","",INDEX('Wash Sale Tracker'!$L:$L,$A163))</f>
        <v/>
      </c>
      <c r="D163" s="69" t="str">
        <f ca="1">IF($A163="","",INDEX('Wash Sale Tracker'!$E:$E,$A163))</f>
        <v/>
      </c>
      <c r="E163" s="51" t="str">
        <f ca="1">IF($A163="","",ABS(INDEX('Wash Sale Tracker'!$J:$J,$A163)))</f>
        <v/>
      </c>
      <c r="F163" s="51" t="str">
        <f ca="1">IF($A163="","",INDEX('Wash Sale Tracker'!$O:$O,$A163))</f>
        <v/>
      </c>
      <c r="G163" s="51" t="str">
        <f ca="1">IF($A163="","",INDEX('Wash Sale Tracker'!$T:$T,$A163))</f>
        <v/>
      </c>
      <c r="H163" s="63" t="str">
        <f ca="1">IF($A163="","",INDEX('Wash Sale Tracker'!$S:$S,$A163))</f>
        <v/>
      </c>
      <c r="I163" s="63" t="str">
        <f ca="1">IF($A163="","",INDEX('Wash Sale Tracker'!$X:$X,$A163))</f>
        <v/>
      </c>
      <c r="J163" s="25"/>
      <c r="K163" s="24"/>
      <c r="L163" s="74"/>
      <c r="M163" s="24"/>
    </row>
    <row r="164" spans="1:13" ht="20.100000000000001" customHeight="1" x14ac:dyDescent="0.2">
      <c r="A164" s="9" t="str">
        <f ca="1">IFERROR(_xludf.AGGREGATE(15,6,ROW('Wash Sale Tracker'!$K$18:$K$498)/(('Wash Sale Tracker'!$K$18:$K$498="Yes")*(ROW('Wash Sale Tracker'!$K$18:$K$498)&gt;A163)),1),"")</f>
        <v/>
      </c>
      <c r="B164" s="69" t="str">
        <f ca="1">IF($A164="","",INDEX('Wash Sale Tracker'!$A:$A,$A164))</f>
        <v/>
      </c>
      <c r="C164" s="30" t="str">
        <f ca="1">IF($A164="","",INDEX('Wash Sale Tracker'!$L:$L,$A164))</f>
        <v/>
      </c>
      <c r="D164" s="69" t="str">
        <f ca="1">IF($A164="","",INDEX('Wash Sale Tracker'!$E:$E,$A164))</f>
        <v/>
      </c>
      <c r="E164" s="51" t="str">
        <f ca="1">IF($A164="","",ABS(INDEX('Wash Sale Tracker'!$J:$J,$A164)))</f>
        <v/>
      </c>
      <c r="F164" s="51" t="str">
        <f ca="1">IF($A164="","",INDEX('Wash Sale Tracker'!$O:$O,$A164))</f>
        <v/>
      </c>
      <c r="G164" s="51" t="str">
        <f ca="1">IF($A164="","",INDEX('Wash Sale Tracker'!$T:$T,$A164))</f>
        <v/>
      </c>
      <c r="H164" s="63" t="str">
        <f ca="1">IF($A164="","",INDEX('Wash Sale Tracker'!$S:$S,$A164))</f>
        <v/>
      </c>
      <c r="I164" s="63" t="str">
        <f ca="1">IF($A164="","",INDEX('Wash Sale Tracker'!$X:$X,$A164))</f>
        <v/>
      </c>
      <c r="J164" s="25"/>
      <c r="K164" s="24"/>
      <c r="L164" s="74"/>
      <c r="M164" s="24"/>
    </row>
    <row r="165" spans="1:13" ht="20.100000000000001" customHeight="1" x14ac:dyDescent="0.2">
      <c r="A165" s="9" t="str">
        <f ca="1">IFERROR(_xludf.AGGREGATE(15,6,ROW('Wash Sale Tracker'!$K$18:$K$498)/(('Wash Sale Tracker'!$K$18:$K$498="Yes")*(ROW('Wash Sale Tracker'!$K$18:$K$498)&gt;A164)),1),"")</f>
        <v/>
      </c>
      <c r="B165" s="69" t="str">
        <f ca="1">IF($A165="","",INDEX('Wash Sale Tracker'!$A:$A,$A165))</f>
        <v/>
      </c>
      <c r="C165" s="30" t="str">
        <f ca="1">IF($A165="","",INDEX('Wash Sale Tracker'!$L:$L,$A165))</f>
        <v/>
      </c>
      <c r="D165" s="69" t="str">
        <f ca="1">IF($A165="","",INDEX('Wash Sale Tracker'!$E:$E,$A165))</f>
        <v/>
      </c>
      <c r="E165" s="51" t="str">
        <f ca="1">IF($A165="","",ABS(INDEX('Wash Sale Tracker'!$J:$J,$A165)))</f>
        <v/>
      </c>
      <c r="F165" s="51" t="str">
        <f ca="1">IF($A165="","",INDEX('Wash Sale Tracker'!$O:$O,$A165))</f>
        <v/>
      </c>
      <c r="G165" s="51" t="str">
        <f ca="1">IF($A165="","",INDEX('Wash Sale Tracker'!$T:$T,$A165))</f>
        <v/>
      </c>
      <c r="H165" s="63" t="str">
        <f ca="1">IF($A165="","",INDEX('Wash Sale Tracker'!$S:$S,$A165))</f>
        <v/>
      </c>
      <c r="I165" s="63" t="str">
        <f ca="1">IF($A165="","",INDEX('Wash Sale Tracker'!$X:$X,$A165))</f>
        <v/>
      </c>
      <c r="J165" s="25"/>
      <c r="K165" s="24"/>
      <c r="L165" s="74"/>
      <c r="M165" s="24"/>
    </row>
    <row r="166" spans="1:13" ht="20.100000000000001" customHeight="1" x14ac:dyDescent="0.2">
      <c r="A166" s="9" t="str">
        <f ca="1">IFERROR(_xludf.AGGREGATE(15,6,ROW('Wash Sale Tracker'!$K$18:$K$498)/(('Wash Sale Tracker'!$K$18:$K$498="Yes")*(ROW('Wash Sale Tracker'!$K$18:$K$498)&gt;A165)),1),"")</f>
        <v/>
      </c>
      <c r="B166" s="69" t="str">
        <f ca="1">IF($A166="","",INDEX('Wash Sale Tracker'!$A:$A,$A166))</f>
        <v/>
      </c>
      <c r="C166" s="30" t="str">
        <f ca="1">IF($A166="","",INDEX('Wash Sale Tracker'!$L:$L,$A166))</f>
        <v/>
      </c>
      <c r="D166" s="69" t="str">
        <f ca="1">IF($A166="","",INDEX('Wash Sale Tracker'!$E:$E,$A166))</f>
        <v/>
      </c>
      <c r="E166" s="51" t="str">
        <f ca="1">IF($A166="","",ABS(INDEX('Wash Sale Tracker'!$J:$J,$A166)))</f>
        <v/>
      </c>
      <c r="F166" s="51" t="str">
        <f ca="1">IF($A166="","",INDEX('Wash Sale Tracker'!$O:$O,$A166))</f>
        <v/>
      </c>
      <c r="G166" s="51" t="str">
        <f ca="1">IF($A166="","",INDEX('Wash Sale Tracker'!$T:$T,$A166))</f>
        <v/>
      </c>
      <c r="H166" s="63" t="str">
        <f ca="1">IF($A166="","",INDEX('Wash Sale Tracker'!$S:$S,$A166))</f>
        <v/>
      </c>
      <c r="I166" s="63" t="str">
        <f ca="1">IF($A166="","",INDEX('Wash Sale Tracker'!$X:$X,$A166))</f>
        <v/>
      </c>
      <c r="J166" s="25"/>
      <c r="K166" s="24"/>
      <c r="L166" s="74"/>
      <c r="M166" s="24"/>
    </row>
    <row r="167" spans="1:13" ht="20.100000000000001" customHeight="1" x14ac:dyDescent="0.2">
      <c r="A167" s="9" t="str">
        <f ca="1">IFERROR(_xludf.AGGREGATE(15,6,ROW('Wash Sale Tracker'!$K$18:$K$498)/(('Wash Sale Tracker'!$K$18:$K$498="Yes")*(ROW('Wash Sale Tracker'!$K$18:$K$498)&gt;A166)),1),"")</f>
        <v/>
      </c>
      <c r="B167" s="69" t="str">
        <f ca="1">IF($A167="","",INDEX('Wash Sale Tracker'!$A:$A,$A167))</f>
        <v/>
      </c>
      <c r="C167" s="30" t="str">
        <f ca="1">IF($A167="","",INDEX('Wash Sale Tracker'!$L:$L,$A167))</f>
        <v/>
      </c>
      <c r="D167" s="69" t="str">
        <f ca="1">IF($A167="","",INDEX('Wash Sale Tracker'!$E:$E,$A167))</f>
        <v/>
      </c>
      <c r="E167" s="51" t="str">
        <f ca="1">IF($A167="","",ABS(INDEX('Wash Sale Tracker'!$J:$J,$A167)))</f>
        <v/>
      </c>
      <c r="F167" s="51" t="str">
        <f ca="1">IF($A167="","",INDEX('Wash Sale Tracker'!$O:$O,$A167))</f>
        <v/>
      </c>
      <c r="G167" s="51" t="str">
        <f ca="1">IF($A167="","",INDEX('Wash Sale Tracker'!$T:$T,$A167))</f>
        <v/>
      </c>
      <c r="H167" s="63" t="str">
        <f ca="1">IF($A167="","",INDEX('Wash Sale Tracker'!$S:$S,$A167))</f>
        <v/>
      </c>
      <c r="I167" s="63" t="str">
        <f ca="1">IF($A167="","",INDEX('Wash Sale Tracker'!$X:$X,$A167))</f>
        <v/>
      </c>
      <c r="J167" s="25"/>
      <c r="K167" s="24"/>
      <c r="L167" s="74"/>
      <c r="M167" s="24"/>
    </row>
    <row r="168" spans="1:13" ht="20.100000000000001" customHeight="1" x14ac:dyDescent="0.2">
      <c r="A168" s="9" t="str">
        <f ca="1">IFERROR(_xludf.AGGREGATE(15,6,ROW('Wash Sale Tracker'!$K$18:$K$498)/(('Wash Sale Tracker'!$K$18:$K$498="Yes")*(ROW('Wash Sale Tracker'!$K$18:$K$498)&gt;A167)),1),"")</f>
        <v/>
      </c>
      <c r="B168" s="69" t="str">
        <f ca="1">IF($A168="","",INDEX('Wash Sale Tracker'!$A:$A,$A168))</f>
        <v/>
      </c>
      <c r="C168" s="30" t="str">
        <f ca="1">IF($A168="","",INDEX('Wash Sale Tracker'!$L:$L,$A168))</f>
        <v/>
      </c>
      <c r="D168" s="69" t="str">
        <f ca="1">IF($A168="","",INDEX('Wash Sale Tracker'!$E:$E,$A168))</f>
        <v/>
      </c>
      <c r="E168" s="51" t="str">
        <f ca="1">IF($A168="","",ABS(INDEX('Wash Sale Tracker'!$J:$J,$A168)))</f>
        <v/>
      </c>
      <c r="F168" s="51" t="str">
        <f ca="1">IF($A168="","",INDEX('Wash Sale Tracker'!$O:$O,$A168))</f>
        <v/>
      </c>
      <c r="G168" s="51" t="str">
        <f ca="1">IF($A168="","",INDEX('Wash Sale Tracker'!$T:$T,$A168))</f>
        <v/>
      </c>
      <c r="H168" s="63" t="str">
        <f ca="1">IF($A168="","",INDEX('Wash Sale Tracker'!$S:$S,$A168))</f>
        <v/>
      </c>
      <c r="I168" s="63" t="str">
        <f ca="1">IF($A168="","",INDEX('Wash Sale Tracker'!$X:$X,$A168))</f>
        <v/>
      </c>
      <c r="J168" s="25"/>
      <c r="K168" s="24"/>
      <c r="L168" s="74"/>
      <c r="M168" s="24"/>
    </row>
    <row r="169" spans="1:13" ht="20.100000000000001" customHeight="1" x14ac:dyDescent="0.2">
      <c r="A169" s="9" t="str">
        <f ca="1">IFERROR(_xludf.AGGREGATE(15,6,ROW('Wash Sale Tracker'!$K$18:$K$498)/(('Wash Sale Tracker'!$K$18:$K$498="Yes")*(ROW('Wash Sale Tracker'!$K$18:$K$498)&gt;A168)),1),"")</f>
        <v/>
      </c>
      <c r="B169" s="69" t="str">
        <f ca="1">IF($A169="","",INDEX('Wash Sale Tracker'!$A:$A,$A169))</f>
        <v/>
      </c>
      <c r="C169" s="30" t="str">
        <f ca="1">IF($A169="","",INDEX('Wash Sale Tracker'!$L:$L,$A169))</f>
        <v/>
      </c>
      <c r="D169" s="69" t="str">
        <f ca="1">IF($A169="","",INDEX('Wash Sale Tracker'!$E:$E,$A169))</f>
        <v/>
      </c>
      <c r="E169" s="51" t="str">
        <f ca="1">IF($A169="","",ABS(INDEX('Wash Sale Tracker'!$J:$J,$A169)))</f>
        <v/>
      </c>
      <c r="F169" s="51" t="str">
        <f ca="1">IF($A169="","",INDEX('Wash Sale Tracker'!$O:$O,$A169))</f>
        <v/>
      </c>
      <c r="G169" s="51" t="str">
        <f ca="1">IF($A169="","",INDEX('Wash Sale Tracker'!$T:$T,$A169))</f>
        <v/>
      </c>
      <c r="H169" s="63" t="str">
        <f ca="1">IF($A169="","",INDEX('Wash Sale Tracker'!$S:$S,$A169))</f>
        <v/>
      </c>
      <c r="I169" s="63" t="str">
        <f ca="1">IF($A169="","",INDEX('Wash Sale Tracker'!$X:$X,$A169))</f>
        <v/>
      </c>
      <c r="J169" s="25"/>
      <c r="K169" s="24"/>
      <c r="L169" s="74"/>
      <c r="M169" s="24"/>
    </row>
    <row r="170" spans="1:13" ht="20.100000000000001" customHeight="1" x14ac:dyDescent="0.2">
      <c r="A170" s="9" t="str">
        <f ca="1">IFERROR(_xludf.AGGREGATE(15,6,ROW('Wash Sale Tracker'!$K$18:$K$498)/(('Wash Sale Tracker'!$K$18:$K$498="Yes")*(ROW('Wash Sale Tracker'!$K$18:$K$498)&gt;A169)),1),"")</f>
        <v/>
      </c>
      <c r="B170" s="69" t="str">
        <f ca="1">IF($A170="","",INDEX('Wash Sale Tracker'!$A:$A,$A170))</f>
        <v/>
      </c>
      <c r="C170" s="30" t="str">
        <f ca="1">IF($A170="","",INDEX('Wash Sale Tracker'!$L:$L,$A170))</f>
        <v/>
      </c>
      <c r="D170" s="69" t="str">
        <f ca="1">IF($A170="","",INDEX('Wash Sale Tracker'!$E:$E,$A170))</f>
        <v/>
      </c>
      <c r="E170" s="51" t="str">
        <f ca="1">IF($A170="","",ABS(INDEX('Wash Sale Tracker'!$J:$J,$A170)))</f>
        <v/>
      </c>
      <c r="F170" s="51" t="str">
        <f ca="1">IF($A170="","",INDEX('Wash Sale Tracker'!$O:$O,$A170))</f>
        <v/>
      </c>
      <c r="G170" s="51" t="str">
        <f ca="1">IF($A170="","",INDEX('Wash Sale Tracker'!$T:$T,$A170))</f>
        <v/>
      </c>
      <c r="H170" s="63" t="str">
        <f ca="1">IF($A170="","",INDEX('Wash Sale Tracker'!$S:$S,$A170))</f>
        <v/>
      </c>
      <c r="I170" s="63" t="str">
        <f ca="1">IF($A170="","",INDEX('Wash Sale Tracker'!$X:$X,$A170))</f>
        <v/>
      </c>
      <c r="J170" s="25"/>
      <c r="K170" s="24"/>
      <c r="L170" s="74"/>
      <c r="M170" s="24"/>
    </row>
    <row r="171" spans="1:13" ht="20.100000000000001" customHeight="1" x14ac:dyDescent="0.2">
      <c r="A171" s="9" t="str">
        <f ca="1">IFERROR(_xludf.AGGREGATE(15,6,ROW('Wash Sale Tracker'!$K$18:$K$498)/(('Wash Sale Tracker'!$K$18:$K$498="Yes")*(ROW('Wash Sale Tracker'!$K$18:$K$498)&gt;A170)),1),"")</f>
        <v/>
      </c>
      <c r="B171" s="69" t="str">
        <f ca="1">IF($A171="","",INDEX('Wash Sale Tracker'!$A:$A,$A171))</f>
        <v/>
      </c>
      <c r="C171" s="30" t="str">
        <f ca="1">IF($A171="","",INDEX('Wash Sale Tracker'!$L:$L,$A171))</f>
        <v/>
      </c>
      <c r="D171" s="69" t="str">
        <f ca="1">IF($A171="","",INDEX('Wash Sale Tracker'!$E:$E,$A171))</f>
        <v/>
      </c>
      <c r="E171" s="51" t="str">
        <f ca="1">IF($A171="","",ABS(INDEX('Wash Sale Tracker'!$J:$J,$A171)))</f>
        <v/>
      </c>
      <c r="F171" s="51" t="str">
        <f ca="1">IF($A171="","",INDEX('Wash Sale Tracker'!$O:$O,$A171))</f>
        <v/>
      </c>
      <c r="G171" s="51" t="str">
        <f ca="1">IF($A171="","",INDEX('Wash Sale Tracker'!$T:$T,$A171))</f>
        <v/>
      </c>
      <c r="H171" s="63" t="str">
        <f ca="1">IF($A171="","",INDEX('Wash Sale Tracker'!$S:$S,$A171))</f>
        <v/>
      </c>
      <c r="I171" s="63" t="str">
        <f ca="1">IF($A171="","",INDEX('Wash Sale Tracker'!$X:$X,$A171))</f>
        <v/>
      </c>
      <c r="J171" s="25"/>
      <c r="K171" s="24"/>
      <c r="L171" s="74"/>
      <c r="M171" s="24"/>
    </row>
    <row r="172" spans="1:13" ht="20.100000000000001" customHeight="1" x14ac:dyDescent="0.2">
      <c r="A172" s="9" t="str">
        <f ca="1">IFERROR(_xludf.AGGREGATE(15,6,ROW('Wash Sale Tracker'!$K$18:$K$498)/(('Wash Sale Tracker'!$K$18:$K$498="Yes")*(ROW('Wash Sale Tracker'!$K$18:$K$498)&gt;A171)),1),"")</f>
        <v/>
      </c>
      <c r="B172" s="69" t="str">
        <f ca="1">IF($A172="","",INDEX('Wash Sale Tracker'!$A:$A,$A172))</f>
        <v/>
      </c>
      <c r="C172" s="30" t="str">
        <f ca="1">IF($A172="","",INDEX('Wash Sale Tracker'!$L:$L,$A172))</f>
        <v/>
      </c>
      <c r="D172" s="69" t="str">
        <f ca="1">IF($A172="","",INDEX('Wash Sale Tracker'!$E:$E,$A172))</f>
        <v/>
      </c>
      <c r="E172" s="51" t="str">
        <f ca="1">IF($A172="","",ABS(INDEX('Wash Sale Tracker'!$J:$J,$A172)))</f>
        <v/>
      </c>
      <c r="F172" s="51" t="str">
        <f ca="1">IF($A172="","",INDEX('Wash Sale Tracker'!$O:$O,$A172))</f>
        <v/>
      </c>
      <c r="G172" s="51" t="str">
        <f ca="1">IF($A172="","",INDEX('Wash Sale Tracker'!$T:$T,$A172))</f>
        <v/>
      </c>
      <c r="H172" s="63" t="str">
        <f ca="1">IF($A172="","",INDEX('Wash Sale Tracker'!$S:$S,$A172))</f>
        <v/>
      </c>
      <c r="I172" s="63" t="str">
        <f ca="1">IF($A172="","",INDEX('Wash Sale Tracker'!$X:$X,$A172))</f>
        <v/>
      </c>
      <c r="J172" s="25"/>
      <c r="K172" s="24"/>
      <c r="L172" s="74"/>
      <c r="M172" s="24"/>
    </row>
    <row r="173" spans="1:13" ht="20.100000000000001" customHeight="1" x14ac:dyDescent="0.2">
      <c r="A173" s="9" t="str">
        <f ca="1">IFERROR(_xludf.AGGREGATE(15,6,ROW('Wash Sale Tracker'!$K$18:$K$498)/(('Wash Sale Tracker'!$K$18:$K$498="Yes")*(ROW('Wash Sale Tracker'!$K$18:$K$498)&gt;A172)),1),"")</f>
        <v/>
      </c>
      <c r="B173" s="69" t="str">
        <f ca="1">IF($A173="","",INDEX('Wash Sale Tracker'!$A:$A,$A173))</f>
        <v/>
      </c>
      <c r="C173" s="30" t="str">
        <f ca="1">IF($A173="","",INDEX('Wash Sale Tracker'!$L:$L,$A173))</f>
        <v/>
      </c>
      <c r="D173" s="69" t="str">
        <f ca="1">IF($A173="","",INDEX('Wash Sale Tracker'!$E:$E,$A173))</f>
        <v/>
      </c>
      <c r="E173" s="51" t="str">
        <f ca="1">IF($A173="","",ABS(INDEX('Wash Sale Tracker'!$J:$J,$A173)))</f>
        <v/>
      </c>
      <c r="F173" s="51" t="str">
        <f ca="1">IF($A173="","",INDEX('Wash Sale Tracker'!$O:$O,$A173))</f>
        <v/>
      </c>
      <c r="G173" s="51" t="str">
        <f ca="1">IF($A173="","",INDEX('Wash Sale Tracker'!$T:$T,$A173))</f>
        <v/>
      </c>
      <c r="H173" s="63" t="str">
        <f ca="1">IF($A173="","",INDEX('Wash Sale Tracker'!$S:$S,$A173))</f>
        <v/>
      </c>
      <c r="I173" s="63" t="str">
        <f ca="1">IF($A173="","",INDEX('Wash Sale Tracker'!$X:$X,$A173))</f>
        <v/>
      </c>
      <c r="J173" s="25"/>
      <c r="K173" s="24"/>
      <c r="L173" s="74"/>
      <c r="M173" s="24"/>
    </row>
    <row r="174" spans="1:13" ht="20.100000000000001" customHeight="1" x14ac:dyDescent="0.2">
      <c r="A174" s="9" t="str">
        <f ca="1">IFERROR(_xludf.AGGREGATE(15,6,ROW('Wash Sale Tracker'!$K$18:$K$498)/(('Wash Sale Tracker'!$K$18:$K$498="Yes")*(ROW('Wash Sale Tracker'!$K$18:$K$498)&gt;A173)),1),"")</f>
        <v/>
      </c>
      <c r="B174" s="69" t="str">
        <f ca="1">IF($A174="","",INDEX('Wash Sale Tracker'!$A:$A,$A174))</f>
        <v/>
      </c>
      <c r="C174" s="30" t="str">
        <f ca="1">IF($A174="","",INDEX('Wash Sale Tracker'!$L:$L,$A174))</f>
        <v/>
      </c>
      <c r="D174" s="69" t="str">
        <f ca="1">IF($A174="","",INDEX('Wash Sale Tracker'!$E:$E,$A174))</f>
        <v/>
      </c>
      <c r="E174" s="51" t="str">
        <f ca="1">IF($A174="","",ABS(INDEX('Wash Sale Tracker'!$J:$J,$A174)))</f>
        <v/>
      </c>
      <c r="F174" s="51" t="str">
        <f ca="1">IF($A174="","",INDEX('Wash Sale Tracker'!$O:$O,$A174))</f>
        <v/>
      </c>
      <c r="G174" s="51" t="str">
        <f ca="1">IF($A174="","",INDEX('Wash Sale Tracker'!$T:$T,$A174))</f>
        <v/>
      </c>
      <c r="H174" s="63" t="str">
        <f ca="1">IF($A174="","",INDEX('Wash Sale Tracker'!$S:$S,$A174))</f>
        <v/>
      </c>
      <c r="I174" s="63" t="str">
        <f ca="1">IF($A174="","",INDEX('Wash Sale Tracker'!$X:$X,$A174))</f>
        <v/>
      </c>
      <c r="J174" s="25"/>
      <c r="K174" s="24"/>
      <c r="L174" s="74"/>
      <c r="M174" s="24"/>
    </row>
    <row r="175" spans="1:13" ht="20.100000000000001" customHeight="1" x14ac:dyDescent="0.2">
      <c r="A175" s="9" t="str">
        <f ca="1">IFERROR(_xludf.AGGREGATE(15,6,ROW('Wash Sale Tracker'!$K$18:$K$498)/(('Wash Sale Tracker'!$K$18:$K$498="Yes")*(ROW('Wash Sale Tracker'!$K$18:$K$498)&gt;A174)),1),"")</f>
        <v/>
      </c>
      <c r="B175" s="69" t="str">
        <f ca="1">IF($A175="","",INDEX('Wash Sale Tracker'!$A:$A,$A175))</f>
        <v/>
      </c>
      <c r="C175" s="30" t="str">
        <f ca="1">IF($A175="","",INDEX('Wash Sale Tracker'!$L:$L,$A175))</f>
        <v/>
      </c>
      <c r="D175" s="69" t="str">
        <f ca="1">IF($A175="","",INDEX('Wash Sale Tracker'!$E:$E,$A175))</f>
        <v/>
      </c>
      <c r="E175" s="51" t="str">
        <f ca="1">IF($A175="","",ABS(INDEX('Wash Sale Tracker'!$J:$J,$A175)))</f>
        <v/>
      </c>
      <c r="F175" s="51" t="str">
        <f ca="1">IF($A175="","",INDEX('Wash Sale Tracker'!$O:$O,$A175))</f>
        <v/>
      </c>
      <c r="G175" s="51" t="str">
        <f ca="1">IF($A175="","",INDEX('Wash Sale Tracker'!$T:$T,$A175))</f>
        <v/>
      </c>
      <c r="H175" s="63" t="str">
        <f ca="1">IF($A175="","",INDEX('Wash Sale Tracker'!$S:$S,$A175))</f>
        <v/>
      </c>
      <c r="I175" s="63" t="str">
        <f ca="1">IF($A175="","",INDEX('Wash Sale Tracker'!$X:$X,$A175))</f>
        <v/>
      </c>
      <c r="J175" s="25"/>
      <c r="K175" s="24"/>
      <c r="L175" s="74"/>
      <c r="M175" s="24"/>
    </row>
    <row r="176" spans="1:13" ht="20.100000000000001" customHeight="1" x14ac:dyDescent="0.2">
      <c r="A176" s="9" t="str">
        <f ca="1">IFERROR(_xludf.AGGREGATE(15,6,ROW('Wash Sale Tracker'!$K$18:$K$498)/(('Wash Sale Tracker'!$K$18:$K$498="Yes")*(ROW('Wash Sale Tracker'!$K$18:$K$498)&gt;A175)),1),"")</f>
        <v/>
      </c>
      <c r="B176" s="69" t="str">
        <f ca="1">IF($A176="","",INDEX('Wash Sale Tracker'!$A:$A,$A176))</f>
        <v/>
      </c>
      <c r="C176" s="30" t="str">
        <f ca="1">IF($A176="","",INDEX('Wash Sale Tracker'!$L:$L,$A176))</f>
        <v/>
      </c>
      <c r="D176" s="69" t="str">
        <f ca="1">IF($A176="","",INDEX('Wash Sale Tracker'!$E:$E,$A176))</f>
        <v/>
      </c>
      <c r="E176" s="51" t="str">
        <f ca="1">IF($A176="","",ABS(INDEX('Wash Sale Tracker'!$J:$J,$A176)))</f>
        <v/>
      </c>
      <c r="F176" s="51" t="str">
        <f ca="1">IF($A176="","",INDEX('Wash Sale Tracker'!$O:$O,$A176))</f>
        <v/>
      </c>
      <c r="G176" s="51" t="str">
        <f ca="1">IF($A176="","",INDEX('Wash Sale Tracker'!$T:$T,$A176))</f>
        <v/>
      </c>
      <c r="H176" s="63" t="str">
        <f ca="1">IF($A176="","",INDEX('Wash Sale Tracker'!$S:$S,$A176))</f>
        <v/>
      </c>
      <c r="I176" s="63" t="str">
        <f ca="1">IF($A176="","",INDEX('Wash Sale Tracker'!$X:$X,$A176))</f>
        <v/>
      </c>
      <c r="J176" s="25"/>
      <c r="K176" s="24"/>
      <c r="L176" s="74"/>
      <c r="M176" s="24"/>
    </row>
    <row r="177" spans="1:13" ht="20.100000000000001" customHeight="1" x14ac:dyDescent="0.2">
      <c r="A177" s="9" t="str">
        <f ca="1">IFERROR(_xludf.AGGREGATE(15,6,ROW('Wash Sale Tracker'!$K$18:$K$498)/(('Wash Sale Tracker'!$K$18:$K$498="Yes")*(ROW('Wash Sale Tracker'!$K$18:$K$498)&gt;A176)),1),"")</f>
        <v/>
      </c>
      <c r="B177" s="69" t="str">
        <f ca="1">IF($A177="","",INDEX('Wash Sale Tracker'!$A:$A,$A177))</f>
        <v/>
      </c>
      <c r="C177" s="30" t="str">
        <f ca="1">IF($A177="","",INDEX('Wash Sale Tracker'!$L:$L,$A177))</f>
        <v/>
      </c>
      <c r="D177" s="69" t="str">
        <f ca="1">IF($A177="","",INDEX('Wash Sale Tracker'!$E:$E,$A177))</f>
        <v/>
      </c>
      <c r="E177" s="51" t="str">
        <f ca="1">IF($A177="","",ABS(INDEX('Wash Sale Tracker'!$J:$J,$A177)))</f>
        <v/>
      </c>
      <c r="F177" s="51" t="str">
        <f ca="1">IF($A177="","",INDEX('Wash Sale Tracker'!$O:$O,$A177))</f>
        <v/>
      </c>
      <c r="G177" s="51" t="str">
        <f ca="1">IF($A177="","",INDEX('Wash Sale Tracker'!$T:$T,$A177))</f>
        <v/>
      </c>
      <c r="H177" s="63" t="str">
        <f ca="1">IF($A177="","",INDEX('Wash Sale Tracker'!$S:$S,$A177))</f>
        <v/>
      </c>
      <c r="I177" s="63" t="str">
        <f ca="1">IF($A177="","",INDEX('Wash Sale Tracker'!$X:$X,$A177))</f>
        <v/>
      </c>
      <c r="J177" s="25"/>
      <c r="K177" s="24"/>
      <c r="L177" s="74"/>
      <c r="M177" s="24"/>
    </row>
    <row r="178" spans="1:13" ht="20.100000000000001" customHeight="1" x14ac:dyDescent="0.2">
      <c r="A178" s="9" t="str">
        <f ca="1">IFERROR(_xludf.AGGREGATE(15,6,ROW('Wash Sale Tracker'!$K$18:$K$498)/(('Wash Sale Tracker'!$K$18:$K$498="Yes")*(ROW('Wash Sale Tracker'!$K$18:$K$498)&gt;A177)),1),"")</f>
        <v/>
      </c>
      <c r="B178" s="69" t="str">
        <f ca="1">IF($A178="","",INDEX('Wash Sale Tracker'!$A:$A,$A178))</f>
        <v/>
      </c>
      <c r="C178" s="30" t="str">
        <f ca="1">IF($A178="","",INDEX('Wash Sale Tracker'!$L:$L,$A178))</f>
        <v/>
      </c>
      <c r="D178" s="69" t="str">
        <f ca="1">IF($A178="","",INDEX('Wash Sale Tracker'!$E:$E,$A178))</f>
        <v/>
      </c>
      <c r="E178" s="51" t="str">
        <f ca="1">IF($A178="","",ABS(INDEX('Wash Sale Tracker'!$J:$J,$A178)))</f>
        <v/>
      </c>
      <c r="F178" s="51" t="str">
        <f ca="1">IF($A178="","",INDEX('Wash Sale Tracker'!$O:$O,$A178))</f>
        <v/>
      </c>
      <c r="G178" s="51" t="str">
        <f ca="1">IF($A178="","",INDEX('Wash Sale Tracker'!$T:$T,$A178))</f>
        <v/>
      </c>
      <c r="H178" s="63" t="str">
        <f ca="1">IF($A178="","",INDEX('Wash Sale Tracker'!$S:$S,$A178))</f>
        <v/>
      </c>
      <c r="I178" s="63" t="str">
        <f ca="1">IF($A178="","",INDEX('Wash Sale Tracker'!$X:$X,$A178))</f>
        <v/>
      </c>
      <c r="J178" s="25"/>
      <c r="K178" s="24"/>
      <c r="L178" s="74"/>
      <c r="M178" s="24"/>
    </row>
    <row r="179" spans="1:13" ht="20.100000000000001" customHeight="1" x14ac:dyDescent="0.2">
      <c r="A179" s="9" t="str">
        <f ca="1">IFERROR(_xludf.AGGREGATE(15,6,ROW('Wash Sale Tracker'!$K$18:$K$498)/(('Wash Sale Tracker'!$K$18:$K$498="Yes")*(ROW('Wash Sale Tracker'!$K$18:$K$498)&gt;A178)),1),"")</f>
        <v/>
      </c>
      <c r="B179" s="69" t="str">
        <f ca="1">IF($A179="","",INDEX('Wash Sale Tracker'!$A:$A,$A179))</f>
        <v/>
      </c>
      <c r="C179" s="30" t="str">
        <f ca="1">IF($A179="","",INDEX('Wash Sale Tracker'!$L:$L,$A179))</f>
        <v/>
      </c>
      <c r="D179" s="69" t="str">
        <f ca="1">IF($A179="","",INDEX('Wash Sale Tracker'!$E:$E,$A179))</f>
        <v/>
      </c>
      <c r="E179" s="51" t="str">
        <f ca="1">IF($A179="","",ABS(INDEX('Wash Sale Tracker'!$J:$J,$A179)))</f>
        <v/>
      </c>
      <c r="F179" s="51" t="str">
        <f ca="1">IF($A179="","",INDEX('Wash Sale Tracker'!$O:$O,$A179))</f>
        <v/>
      </c>
      <c r="G179" s="51" t="str">
        <f ca="1">IF($A179="","",INDEX('Wash Sale Tracker'!$T:$T,$A179))</f>
        <v/>
      </c>
      <c r="H179" s="63" t="str">
        <f ca="1">IF($A179="","",INDEX('Wash Sale Tracker'!$S:$S,$A179))</f>
        <v/>
      </c>
      <c r="I179" s="63" t="str">
        <f ca="1">IF($A179="","",INDEX('Wash Sale Tracker'!$X:$X,$A179))</f>
        <v/>
      </c>
      <c r="J179" s="25"/>
      <c r="K179" s="24"/>
      <c r="L179" s="74"/>
      <c r="M179" s="24"/>
    </row>
    <row r="180" spans="1:13" ht="20.100000000000001" customHeight="1" x14ac:dyDescent="0.2">
      <c r="A180" s="9" t="str">
        <f ca="1">IFERROR(_xludf.AGGREGATE(15,6,ROW('Wash Sale Tracker'!$K$18:$K$498)/(('Wash Sale Tracker'!$K$18:$K$498="Yes")*(ROW('Wash Sale Tracker'!$K$18:$K$498)&gt;A179)),1),"")</f>
        <v/>
      </c>
      <c r="B180" s="69" t="str">
        <f ca="1">IF($A180="","",INDEX('Wash Sale Tracker'!$A:$A,$A180))</f>
        <v/>
      </c>
      <c r="C180" s="30" t="str">
        <f ca="1">IF($A180="","",INDEX('Wash Sale Tracker'!$L:$L,$A180))</f>
        <v/>
      </c>
      <c r="D180" s="69" t="str">
        <f ca="1">IF($A180="","",INDEX('Wash Sale Tracker'!$E:$E,$A180))</f>
        <v/>
      </c>
      <c r="E180" s="51" t="str">
        <f ca="1">IF($A180="","",ABS(INDEX('Wash Sale Tracker'!$J:$J,$A180)))</f>
        <v/>
      </c>
      <c r="F180" s="51" t="str">
        <f ca="1">IF($A180="","",INDEX('Wash Sale Tracker'!$O:$O,$A180))</f>
        <v/>
      </c>
      <c r="G180" s="51" t="str">
        <f ca="1">IF($A180="","",INDEX('Wash Sale Tracker'!$T:$T,$A180))</f>
        <v/>
      </c>
      <c r="H180" s="63" t="str">
        <f ca="1">IF($A180="","",INDEX('Wash Sale Tracker'!$S:$S,$A180))</f>
        <v/>
      </c>
      <c r="I180" s="63" t="str">
        <f ca="1">IF($A180="","",INDEX('Wash Sale Tracker'!$X:$X,$A180))</f>
        <v/>
      </c>
      <c r="J180" s="25"/>
      <c r="K180" s="24"/>
      <c r="L180" s="74"/>
      <c r="M180" s="24"/>
    </row>
    <row r="181" spans="1:13" ht="20.100000000000001" customHeight="1" x14ac:dyDescent="0.2">
      <c r="A181" s="9" t="str">
        <f ca="1">IFERROR(_xludf.AGGREGATE(15,6,ROW('Wash Sale Tracker'!$K$18:$K$498)/(('Wash Sale Tracker'!$K$18:$K$498="Yes")*(ROW('Wash Sale Tracker'!$K$18:$K$498)&gt;A180)),1),"")</f>
        <v/>
      </c>
      <c r="B181" s="69" t="str">
        <f ca="1">IF($A181="","",INDEX('Wash Sale Tracker'!$A:$A,$A181))</f>
        <v/>
      </c>
      <c r="C181" s="30" t="str">
        <f ca="1">IF($A181="","",INDEX('Wash Sale Tracker'!$L:$L,$A181))</f>
        <v/>
      </c>
      <c r="D181" s="69" t="str">
        <f ca="1">IF($A181="","",INDEX('Wash Sale Tracker'!$E:$E,$A181))</f>
        <v/>
      </c>
      <c r="E181" s="51" t="str">
        <f ca="1">IF($A181="","",ABS(INDEX('Wash Sale Tracker'!$J:$J,$A181)))</f>
        <v/>
      </c>
      <c r="F181" s="51" t="str">
        <f ca="1">IF($A181="","",INDEX('Wash Sale Tracker'!$O:$O,$A181))</f>
        <v/>
      </c>
      <c r="G181" s="51" t="str">
        <f ca="1">IF($A181="","",INDEX('Wash Sale Tracker'!$T:$T,$A181))</f>
        <v/>
      </c>
      <c r="H181" s="63" t="str">
        <f ca="1">IF($A181="","",INDEX('Wash Sale Tracker'!$S:$S,$A181))</f>
        <v/>
      </c>
      <c r="I181" s="63" t="str">
        <f ca="1">IF($A181="","",INDEX('Wash Sale Tracker'!$X:$X,$A181))</f>
        <v/>
      </c>
      <c r="J181" s="25"/>
      <c r="K181" s="24"/>
      <c r="L181" s="74"/>
      <c r="M181" s="24"/>
    </row>
    <row r="182" spans="1:13" ht="20.100000000000001" customHeight="1" x14ac:dyDescent="0.2">
      <c r="A182" s="9" t="str">
        <f ca="1">IFERROR(_xludf.AGGREGATE(15,6,ROW('Wash Sale Tracker'!$K$18:$K$498)/(('Wash Sale Tracker'!$K$18:$K$498="Yes")*(ROW('Wash Sale Tracker'!$K$18:$K$498)&gt;A181)),1),"")</f>
        <v/>
      </c>
      <c r="B182" s="69" t="str">
        <f ca="1">IF($A182="","",INDEX('Wash Sale Tracker'!$A:$A,$A182))</f>
        <v/>
      </c>
      <c r="C182" s="30" t="str">
        <f ca="1">IF($A182="","",INDEX('Wash Sale Tracker'!$L:$L,$A182))</f>
        <v/>
      </c>
      <c r="D182" s="69" t="str">
        <f ca="1">IF($A182="","",INDEX('Wash Sale Tracker'!$E:$E,$A182))</f>
        <v/>
      </c>
      <c r="E182" s="51" t="str">
        <f ca="1">IF($A182="","",ABS(INDEX('Wash Sale Tracker'!$J:$J,$A182)))</f>
        <v/>
      </c>
      <c r="F182" s="51" t="str">
        <f ca="1">IF($A182="","",INDEX('Wash Sale Tracker'!$O:$O,$A182))</f>
        <v/>
      </c>
      <c r="G182" s="51" t="str">
        <f ca="1">IF($A182="","",INDEX('Wash Sale Tracker'!$T:$T,$A182))</f>
        <v/>
      </c>
      <c r="H182" s="63" t="str">
        <f ca="1">IF($A182="","",INDEX('Wash Sale Tracker'!$S:$S,$A182))</f>
        <v/>
      </c>
      <c r="I182" s="63" t="str">
        <f ca="1">IF($A182="","",INDEX('Wash Sale Tracker'!$X:$X,$A182))</f>
        <v/>
      </c>
      <c r="J182" s="25"/>
      <c r="K182" s="24"/>
      <c r="L182" s="74"/>
      <c r="M182" s="24"/>
    </row>
    <row r="183" spans="1:13" ht="20.100000000000001" customHeight="1" x14ac:dyDescent="0.2">
      <c r="A183" s="9" t="str">
        <f ca="1">IFERROR(_xludf.AGGREGATE(15,6,ROW('Wash Sale Tracker'!$K$18:$K$498)/(('Wash Sale Tracker'!$K$18:$K$498="Yes")*(ROW('Wash Sale Tracker'!$K$18:$K$498)&gt;A182)),1),"")</f>
        <v/>
      </c>
      <c r="B183" s="69" t="str">
        <f ca="1">IF($A183="","",INDEX('Wash Sale Tracker'!$A:$A,$A183))</f>
        <v/>
      </c>
      <c r="C183" s="30" t="str">
        <f ca="1">IF($A183="","",INDEX('Wash Sale Tracker'!$L:$L,$A183))</f>
        <v/>
      </c>
      <c r="D183" s="69" t="str">
        <f ca="1">IF($A183="","",INDEX('Wash Sale Tracker'!$E:$E,$A183))</f>
        <v/>
      </c>
      <c r="E183" s="51" t="str">
        <f ca="1">IF($A183="","",ABS(INDEX('Wash Sale Tracker'!$J:$J,$A183)))</f>
        <v/>
      </c>
      <c r="F183" s="51" t="str">
        <f ca="1">IF($A183="","",INDEX('Wash Sale Tracker'!$O:$O,$A183))</f>
        <v/>
      </c>
      <c r="G183" s="51" t="str">
        <f ca="1">IF($A183="","",INDEX('Wash Sale Tracker'!$T:$T,$A183))</f>
        <v/>
      </c>
      <c r="H183" s="63" t="str">
        <f ca="1">IF($A183="","",INDEX('Wash Sale Tracker'!$S:$S,$A183))</f>
        <v/>
      </c>
      <c r="I183" s="63" t="str">
        <f ca="1">IF($A183="","",INDEX('Wash Sale Tracker'!$X:$X,$A183))</f>
        <v/>
      </c>
      <c r="J183" s="25"/>
      <c r="K183" s="24"/>
      <c r="L183" s="74"/>
      <c r="M183" s="24"/>
    </row>
    <row r="184" spans="1:13" ht="20.100000000000001" customHeight="1" x14ac:dyDescent="0.2">
      <c r="A184" s="9" t="str">
        <f ca="1">IFERROR(_xludf.AGGREGATE(15,6,ROW('Wash Sale Tracker'!$K$18:$K$498)/(('Wash Sale Tracker'!$K$18:$K$498="Yes")*(ROW('Wash Sale Tracker'!$K$18:$K$498)&gt;A183)),1),"")</f>
        <v/>
      </c>
      <c r="B184" s="69" t="str">
        <f ca="1">IF($A184="","",INDEX('Wash Sale Tracker'!$A:$A,$A184))</f>
        <v/>
      </c>
      <c r="C184" s="30" t="str">
        <f ca="1">IF($A184="","",INDEX('Wash Sale Tracker'!$L:$L,$A184))</f>
        <v/>
      </c>
      <c r="D184" s="69" t="str">
        <f ca="1">IF($A184="","",INDEX('Wash Sale Tracker'!$E:$E,$A184))</f>
        <v/>
      </c>
      <c r="E184" s="51" t="str">
        <f ca="1">IF($A184="","",ABS(INDEX('Wash Sale Tracker'!$J:$J,$A184)))</f>
        <v/>
      </c>
      <c r="F184" s="51" t="str">
        <f ca="1">IF($A184="","",INDEX('Wash Sale Tracker'!$O:$O,$A184))</f>
        <v/>
      </c>
      <c r="G184" s="51" t="str">
        <f ca="1">IF($A184="","",INDEX('Wash Sale Tracker'!$T:$T,$A184))</f>
        <v/>
      </c>
      <c r="H184" s="63" t="str">
        <f ca="1">IF($A184="","",INDEX('Wash Sale Tracker'!$S:$S,$A184))</f>
        <v/>
      </c>
      <c r="I184" s="63" t="str">
        <f ca="1">IF($A184="","",INDEX('Wash Sale Tracker'!$X:$X,$A184))</f>
        <v/>
      </c>
      <c r="J184" s="25"/>
      <c r="K184" s="24"/>
      <c r="L184" s="74"/>
      <c r="M184" s="24"/>
    </row>
    <row r="185" spans="1:13" ht="20.100000000000001" customHeight="1" x14ac:dyDescent="0.2">
      <c r="A185" s="9" t="str">
        <f ca="1">IFERROR(_xludf.AGGREGATE(15,6,ROW('Wash Sale Tracker'!$K$18:$K$498)/(('Wash Sale Tracker'!$K$18:$K$498="Yes")*(ROW('Wash Sale Tracker'!$K$18:$K$498)&gt;A184)),1),"")</f>
        <v/>
      </c>
      <c r="B185" s="69" t="str">
        <f ca="1">IF($A185="","",INDEX('Wash Sale Tracker'!$A:$A,$A185))</f>
        <v/>
      </c>
      <c r="C185" s="30" t="str">
        <f ca="1">IF($A185="","",INDEX('Wash Sale Tracker'!$L:$L,$A185))</f>
        <v/>
      </c>
      <c r="D185" s="69" t="str">
        <f ca="1">IF($A185="","",INDEX('Wash Sale Tracker'!$E:$E,$A185))</f>
        <v/>
      </c>
      <c r="E185" s="51" t="str">
        <f ca="1">IF($A185="","",ABS(INDEX('Wash Sale Tracker'!$J:$J,$A185)))</f>
        <v/>
      </c>
      <c r="F185" s="51" t="str">
        <f ca="1">IF($A185="","",INDEX('Wash Sale Tracker'!$O:$O,$A185))</f>
        <v/>
      </c>
      <c r="G185" s="51" t="str">
        <f ca="1">IF($A185="","",INDEX('Wash Sale Tracker'!$T:$T,$A185))</f>
        <v/>
      </c>
      <c r="H185" s="63" t="str">
        <f ca="1">IF($A185="","",INDEX('Wash Sale Tracker'!$S:$S,$A185))</f>
        <v/>
      </c>
      <c r="I185" s="63" t="str">
        <f ca="1">IF($A185="","",INDEX('Wash Sale Tracker'!$X:$X,$A185))</f>
        <v/>
      </c>
      <c r="J185" s="25"/>
      <c r="K185" s="24"/>
      <c r="L185" s="74"/>
      <c r="M185" s="24"/>
    </row>
    <row r="186" spans="1:13" ht="20.100000000000001" customHeight="1" x14ac:dyDescent="0.2">
      <c r="A186" s="9" t="str">
        <f ca="1">IFERROR(_xludf.AGGREGATE(15,6,ROW('Wash Sale Tracker'!$K$18:$K$498)/(('Wash Sale Tracker'!$K$18:$K$498="Yes")*(ROW('Wash Sale Tracker'!$K$18:$K$498)&gt;A185)),1),"")</f>
        <v/>
      </c>
      <c r="B186" s="69" t="str">
        <f ca="1">IF($A186="","",INDEX('Wash Sale Tracker'!$A:$A,$A186))</f>
        <v/>
      </c>
      <c r="C186" s="30" t="str">
        <f ca="1">IF($A186="","",INDEX('Wash Sale Tracker'!$L:$L,$A186))</f>
        <v/>
      </c>
      <c r="D186" s="69" t="str">
        <f ca="1">IF($A186="","",INDEX('Wash Sale Tracker'!$E:$E,$A186))</f>
        <v/>
      </c>
      <c r="E186" s="51" t="str">
        <f ca="1">IF($A186="","",ABS(INDEX('Wash Sale Tracker'!$J:$J,$A186)))</f>
        <v/>
      </c>
      <c r="F186" s="51" t="str">
        <f ca="1">IF($A186="","",INDEX('Wash Sale Tracker'!$O:$O,$A186))</f>
        <v/>
      </c>
      <c r="G186" s="51" t="str">
        <f ca="1">IF($A186="","",INDEX('Wash Sale Tracker'!$T:$T,$A186))</f>
        <v/>
      </c>
      <c r="H186" s="63" t="str">
        <f ca="1">IF($A186="","",INDEX('Wash Sale Tracker'!$S:$S,$A186))</f>
        <v/>
      </c>
      <c r="I186" s="63" t="str">
        <f ca="1">IF($A186="","",INDEX('Wash Sale Tracker'!$X:$X,$A186))</f>
        <v/>
      </c>
      <c r="J186" s="25"/>
      <c r="K186" s="24"/>
      <c r="L186" s="74"/>
      <c r="M186" s="24"/>
    </row>
    <row r="187" spans="1:13" ht="20.100000000000001" customHeight="1" x14ac:dyDescent="0.2">
      <c r="A187" s="9" t="str">
        <f ca="1">IFERROR(_xludf.AGGREGATE(15,6,ROW('Wash Sale Tracker'!$K$18:$K$498)/(('Wash Sale Tracker'!$K$18:$K$498="Yes")*(ROW('Wash Sale Tracker'!$K$18:$K$498)&gt;A186)),1),"")</f>
        <v/>
      </c>
      <c r="B187" s="69" t="str">
        <f ca="1">IF($A187="","",INDEX('Wash Sale Tracker'!$A:$A,$A187))</f>
        <v/>
      </c>
      <c r="C187" s="30" t="str">
        <f ca="1">IF($A187="","",INDEX('Wash Sale Tracker'!$L:$L,$A187))</f>
        <v/>
      </c>
      <c r="D187" s="69" t="str">
        <f ca="1">IF($A187="","",INDEX('Wash Sale Tracker'!$E:$E,$A187))</f>
        <v/>
      </c>
      <c r="E187" s="51" t="str">
        <f ca="1">IF($A187="","",ABS(INDEX('Wash Sale Tracker'!$J:$J,$A187)))</f>
        <v/>
      </c>
      <c r="F187" s="51" t="str">
        <f ca="1">IF($A187="","",INDEX('Wash Sale Tracker'!$O:$O,$A187))</f>
        <v/>
      </c>
      <c r="G187" s="51" t="str">
        <f ca="1">IF($A187="","",INDEX('Wash Sale Tracker'!$T:$T,$A187))</f>
        <v/>
      </c>
      <c r="H187" s="63" t="str">
        <f ca="1">IF($A187="","",INDEX('Wash Sale Tracker'!$S:$S,$A187))</f>
        <v/>
      </c>
      <c r="I187" s="63" t="str">
        <f ca="1">IF($A187="","",INDEX('Wash Sale Tracker'!$X:$X,$A187))</f>
        <v/>
      </c>
      <c r="J187" s="25"/>
      <c r="K187" s="24"/>
      <c r="L187" s="74"/>
      <c r="M187" s="24"/>
    </row>
    <row r="188" spans="1:13" ht="20.100000000000001" customHeight="1" x14ac:dyDescent="0.2">
      <c r="A188" s="9" t="str">
        <f ca="1">IFERROR(_xludf.AGGREGATE(15,6,ROW('Wash Sale Tracker'!$K$18:$K$498)/(('Wash Sale Tracker'!$K$18:$K$498="Yes")*(ROW('Wash Sale Tracker'!$K$18:$K$498)&gt;A187)),1),"")</f>
        <v/>
      </c>
      <c r="B188" s="69" t="str">
        <f ca="1">IF($A188="","",INDEX('Wash Sale Tracker'!$A:$A,$A188))</f>
        <v/>
      </c>
      <c r="C188" s="30" t="str">
        <f ca="1">IF($A188="","",INDEX('Wash Sale Tracker'!$L:$L,$A188))</f>
        <v/>
      </c>
      <c r="D188" s="69" t="str">
        <f ca="1">IF($A188="","",INDEX('Wash Sale Tracker'!$E:$E,$A188))</f>
        <v/>
      </c>
      <c r="E188" s="51" t="str">
        <f ca="1">IF($A188="","",ABS(INDEX('Wash Sale Tracker'!$J:$J,$A188)))</f>
        <v/>
      </c>
      <c r="F188" s="51" t="str">
        <f ca="1">IF($A188="","",INDEX('Wash Sale Tracker'!$O:$O,$A188))</f>
        <v/>
      </c>
      <c r="G188" s="51" t="str">
        <f ca="1">IF($A188="","",INDEX('Wash Sale Tracker'!$T:$T,$A188))</f>
        <v/>
      </c>
      <c r="H188" s="63" t="str">
        <f ca="1">IF($A188="","",INDEX('Wash Sale Tracker'!$S:$S,$A188))</f>
        <v/>
      </c>
      <c r="I188" s="63" t="str">
        <f ca="1">IF($A188="","",INDEX('Wash Sale Tracker'!$X:$X,$A188))</f>
        <v/>
      </c>
      <c r="J188" s="25"/>
      <c r="K188" s="24"/>
      <c r="L188" s="74"/>
      <c r="M188" s="24"/>
    </row>
    <row r="189" spans="1:13" ht="20.100000000000001" customHeight="1" x14ac:dyDescent="0.2">
      <c r="A189" s="9" t="str">
        <f ca="1">IFERROR(_xludf.AGGREGATE(15,6,ROW('Wash Sale Tracker'!$K$18:$K$498)/(('Wash Sale Tracker'!$K$18:$K$498="Yes")*(ROW('Wash Sale Tracker'!$K$18:$K$498)&gt;A188)),1),"")</f>
        <v/>
      </c>
      <c r="B189" s="69" t="str">
        <f ca="1">IF($A189="","",INDEX('Wash Sale Tracker'!$A:$A,$A189))</f>
        <v/>
      </c>
      <c r="C189" s="30" t="str">
        <f ca="1">IF($A189="","",INDEX('Wash Sale Tracker'!$L:$L,$A189))</f>
        <v/>
      </c>
      <c r="D189" s="69" t="str">
        <f ca="1">IF($A189="","",INDEX('Wash Sale Tracker'!$E:$E,$A189))</f>
        <v/>
      </c>
      <c r="E189" s="51" t="str">
        <f ca="1">IF($A189="","",ABS(INDEX('Wash Sale Tracker'!$J:$J,$A189)))</f>
        <v/>
      </c>
      <c r="F189" s="51" t="str">
        <f ca="1">IF($A189="","",INDEX('Wash Sale Tracker'!$O:$O,$A189))</f>
        <v/>
      </c>
      <c r="G189" s="51" t="str">
        <f ca="1">IF($A189="","",INDEX('Wash Sale Tracker'!$T:$T,$A189))</f>
        <v/>
      </c>
      <c r="H189" s="63" t="str">
        <f ca="1">IF($A189="","",INDEX('Wash Sale Tracker'!$S:$S,$A189))</f>
        <v/>
      </c>
      <c r="I189" s="63" t="str">
        <f ca="1">IF($A189="","",INDEX('Wash Sale Tracker'!$X:$X,$A189))</f>
        <v/>
      </c>
      <c r="J189" s="25"/>
      <c r="K189" s="24"/>
      <c r="L189" s="74"/>
      <c r="M189" s="24"/>
    </row>
    <row r="190" spans="1:13" ht="20.100000000000001" customHeight="1" x14ac:dyDescent="0.2">
      <c r="A190" s="9" t="str">
        <f ca="1">IFERROR(_xludf.AGGREGATE(15,6,ROW('Wash Sale Tracker'!$K$18:$K$498)/(('Wash Sale Tracker'!$K$18:$K$498="Yes")*(ROW('Wash Sale Tracker'!$K$18:$K$498)&gt;A189)),1),"")</f>
        <v/>
      </c>
      <c r="B190" s="69" t="str">
        <f ca="1">IF($A190="","",INDEX('Wash Sale Tracker'!$A:$A,$A190))</f>
        <v/>
      </c>
      <c r="C190" s="30" t="str">
        <f ca="1">IF($A190="","",INDEX('Wash Sale Tracker'!$L:$L,$A190))</f>
        <v/>
      </c>
      <c r="D190" s="69" t="str">
        <f ca="1">IF($A190="","",INDEX('Wash Sale Tracker'!$E:$E,$A190))</f>
        <v/>
      </c>
      <c r="E190" s="51" t="str">
        <f ca="1">IF($A190="","",ABS(INDEX('Wash Sale Tracker'!$J:$J,$A190)))</f>
        <v/>
      </c>
      <c r="F190" s="51" t="str">
        <f ca="1">IF($A190="","",INDEX('Wash Sale Tracker'!$O:$O,$A190))</f>
        <v/>
      </c>
      <c r="G190" s="51" t="str">
        <f ca="1">IF($A190="","",INDEX('Wash Sale Tracker'!$T:$T,$A190))</f>
        <v/>
      </c>
      <c r="H190" s="63" t="str">
        <f ca="1">IF($A190="","",INDEX('Wash Sale Tracker'!$S:$S,$A190))</f>
        <v/>
      </c>
      <c r="I190" s="63" t="str">
        <f ca="1">IF($A190="","",INDEX('Wash Sale Tracker'!$X:$X,$A190))</f>
        <v/>
      </c>
      <c r="J190" s="25"/>
      <c r="K190" s="24"/>
      <c r="L190" s="74"/>
      <c r="M190" s="24"/>
    </row>
    <row r="191" spans="1:13" ht="20.100000000000001" customHeight="1" x14ac:dyDescent="0.2">
      <c r="A191" s="9" t="str">
        <f ca="1">IFERROR(_xludf.AGGREGATE(15,6,ROW('Wash Sale Tracker'!$K$18:$K$498)/(('Wash Sale Tracker'!$K$18:$K$498="Yes")*(ROW('Wash Sale Tracker'!$K$18:$K$498)&gt;A190)),1),"")</f>
        <v/>
      </c>
      <c r="B191" s="69" t="str">
        <f ca="1">IF($A191="","",INDEX('Wash Sale Tracker'!$A:$A,$A191))</f>
        <v/>
      </c>
      <c r="C191" s="30" t="str">
        <f ca="1">IF($A191="","",INDEX('Wash Sale Tracker'!$L:$L,$A191))</f>
        <v/>
      </c>
      <c r="D191" s="69" t="str">
        <f ca="1">IF($A191="","",INDEX('Wash Sale Tracker'!$E:$E,$A191))</f>
        <v/>
      </c>
      <c r="E191" s="51" t="str">
        <f ca="1">IF($A191="","",ABS(INDEX('Wash Sale Tracker'!$J:$J,$A191)))</f>
        <v/>
      </c>
      <c r="F191" s="51" t="str">
        <f ca="1">IF($A191="","",INDEX('Wash Sale Tracker'!$O:$O,$A191))</f>
        <v/>
      </c>
      <c r="G191" s="51" t="str">
        <f ca="1">IF($A191="","",INDEX('Wash Sale Tracker'!$T:$T,$A191))</f>
        <v/>
      </c>
      <c r="H191" s="63" t="str">
        <f ca="1">IF($A191="","",INDEX('Wash Sale Tracker'!$S:$S,$A191))</f>
        <v/>
      </c>
      <c r="I191" s="63" t="str">
        <f ca="1">IF($A191="","",INDEX('Wash Sale Tracker'!$X:$X,$A191))</f>
        <v/>
      </c>
      <c r="J191" s="25"/>
      <c r="K191" s="24"/>
      <c r="L191" s="74"/>
      <c r="M191" s="24"/>
    </row>
    <row r="192" spans="1:13" ht="20.100000000000001" customHeight="1" x14ac:dyDescent="0.2">
      <c r="A192" s="9" t="str">
        <f ca="1">IFERROR(_xludf.AGGREGATE(15,6,ROW('Wash Sale Tracker'!$K$18:$K$498)/(('Wash Sale Tracker'!$K$18:$K$498="Yes")*(ROW('Wash Sale Tracker'!$K$18:$K$498)&gt;A191)),1),"")</f>
        <v/>
      </c>
      <c r="B192" s="69" t="str">
        <f ca="1">IF($A192="","",INDEX('Wash Sale Tracker'!$A:$A,$A192))</f>
        <v/>
      </c>
      <c r="C192" s="30" t="str">
        <f ca="1">IF($A192="","",INDEX('Wash Sale Tracker'!$L:$L,$A192))</f>
        <v/>
      </c>
      <c r="D192" s="69" t="str">
        <f ca="1">IF($A192="","",INDEX('Wash Sale Tracker'!$E:$E,$A192))</f>
        <v/>
      </c>
      <c r="E192" s="51" t="str">
        <f ca="1">IF($A192="","",ABS(INDEX('Wash Sale Tracker'!$J:$J,$A192)))</f>
        <v/>
      </c>
      <c r="F192" s="51" t="str">
        <f ca="1">IF($A192="","",INDEX('Wash Sale Tracker'!$O:$O,$A192))</f>
        <v/>
      </c>
      <c r="G192" s="51" t="str">
        <f ca="1">IF($A192="","",INDEX('Wash Sale Tracker'!$T:$T,$A192))</f>
        <v/>
      </c>
      <c r="H192" s="63" t="str">
        <f ca="1">IF($A192="","",INDEX('Wash Sale Tracker'!$S:$S,$A192))</f>
        <v/>
      </c>
      <c r="I192" s="63" t="str">
        <f ca="1">IF($A192="","",INDEX('Wash Sale Tracker'!$X:$X,$A192))</f>
        <v/>
      </c>
      <c r="J192" s="25"/>
      <c r="K192" s="24"/>
      <c r="L192" s="74"/>
      <c r="M192" s="24"/>
    </row>
    <row r="193" spans="1:13" ht="20.100000000000001" customHeight="1" x14ac:dyDescent="0.2">
      <c r="A193" s="9" t="str">
        <f ca="1">IFERROR(_xludf.AGGREGATE(15,6,ROW('Wash Sale Tracker'!$K$18:$K$498)/(('Wash Sale Tracker'!$K$18:$K$498="Yes")*(ROW('Wash Sale Tracker'!$K$18:$K$498)&gt;A192)),1),"")</f>
        <v/>
      </c>
      <c r="B193" s="69" t="str">
        <f ca="1">IF($A193="","",INDEX('Wash Sale Tracker'!$A:$A,$A193))</f>
        <v/>
      </c>
      <c r="C193" s="30" t="str">
        <f ca="1">IF($A193="","",INDEX('Wash Sale Tracker'!$L:$L,$A193))</f>
        <v/>
      </c>
      <c r="D193" s="69" t="str">
        <f ca="1">IF($A193="","",INDEX('Wash Sale Tracker'!$E:$E,$A193))</f>
        <v/>
      </c>
      <c r="E193" s="51" t="str">
        <f ca="1">IF($A193="","",ABS(INDEX('Wash Sale Tracker'!$J:$J,$A193)))</f>
        <v/>
      </c>
      <c r="F193" s="51" t="str">
        <f ca="1">IF($A193="","",INDEX('Wash Sale Tracker'!$O:$O,$A193))</f>
        <v/>
      </c>
      <c r="G193" s="51" t="str">
        <f ca="1">IF($A193="","",INDEX('Wash Sale Tracker'!$T:$T,$A193))</f>
        <v/>
      </c>
      <c r="H193" s="63" t="str">
        <f ca="1">IF($A193="","",INDEX('Wash Sale Tracker'!$S:$S,$A193))</f>
        <v/>
      </c>
      <c r="I193" s="63" t="str">
        <f ca="1">IF($A193="","",INDEX('Wash Sale Tracker'!$X:$X,$A193))</f>
        <v/>
      </c>
      <c r="J193" s="25"/>
      <c r="K193" s="24"/>
      <c r="L193" s="74"/>
      <c r="M193" s="24"/>
    </row>
    <row r="194" spans="1:13" ht="20.100000000000001" customHeight="1" x14ac:dyDescent="0.2">
      <c r="A194" s="9" t="str">
        <f ca="1">IFERROR(_xludf.AGGREGATE(15,6,ROW('Wash Sale Tracker'!$K$18:$K$498)/(('Wash Sale Tracker'!$K$18:$K$498="Yes")*(ROW('Wash Sale Tracker'!$K$18:$K$498)&gt;A193)),1),"")</f>
        <v/>
      </c>
      <c r="B194" s="69" t="str">
        <f ca="1">IF($A194="","",INDEX('Wash Sale Tracker'!$A:$A,$A194))</f>
        <v/>
      </c>
      <c r="C194" s="30" t="str">
        <f ca="1">IF($A194="","",INDEX('Wash Sale Tracker'!$L:$L,$A194))</f>
        <v/>
      </c>
      <c r="D194" s="69" t="str">
        <f ca="1">IF($A194="","",INDEX('Wash Sale Tracker'!$E:$E,$A194))</f>
        <v/>
      </c>
      <c r="E194" s="51" t="str">
        <f ca="1">IF($A194="","",ABS(INDEX('Wash Sale Tracker'!$J:$J,$A194)))</f>
        <v/>
      </c>
      <c r="F194" s="51" t="str">
        <f ca="1">IF($A194="","",INDEX('Wash Sale Tracker'!$O:$O,$A194))</f>
        <v/>
      </c>
      <c r="G194" s="51" t="str">
        <f ca="1">IF($A194="","",INDEX('Wash Sale Tracker'!$T:$T,$A194))</f>
        <v/>
      </c>
      <c r="H194" s="63" t="str">
        <f ca="1">IF($A194="","",INDEX('Wash Sale Tracker'!$S:$S,$A194))</f>
        <v/>
      </c>
      <c r="I194" s="63" t="str">
        <f ca="1">IF($A194="","",INDEX('Wash Sale Tracker'!$X:$X,$A194))</f>
        <v/>
      </c>
      <c r="J194" s="25"/>
      <c r="K194" s="24"/>
      <c r="L194" s="74"/>
      <c r="M194" s="24"/>
    </row>
    <row r="195" spans="1:13" ht="20.100000000000001" customHeight="1" x14ac:dyDescent="0.2">
      <c r="A195" s="9" t="str">
        <f ca="1">IFERROR(_xludf.AGGREGATE(15,6,ROW('Wash Sale Tracker'!$K$18:$K$498)/(('Wash Sale Tracker'!$K$18:$K$498="Yes")*(ROW('Wash Sale Tracker'!$K$18:$K$498)&gt;A194)),1),"")</f>
        <v/>
      </c>
      <c r="B195" s="69" t="str">
        <f ca="1">IF($A195="","",INDEX('Wash Sale Tracker'!$A:$A,$A195))</f>
        <v/>
      </c>
      <c r="C195" s="30" t="str">
        <f ca="1">IF($A195="","",INDEX('Wash Sale Tracker'!$L:$L,$A195))</f>
        <v/>
      </c>
      <c r="D195" s="69" t="str">
        <f ca="1">IF($A195="","",INDEX('Wash Sale Tracker'!$E:$E,$A195))</f>
        <v/>
      </c>
      <c r="E195" s="51" t="str">
        <f ca="1">IF($A195="","",ABS(INDEX('Wash Sale Tracker'!$J:$J,$A195)))</f>
        <v/>
      </c>
      <c r="F195" s="51" t="str">
        <f ca="1">IF($A195="","",INDEX('Wash Sale Tracker'!$O:$O,$A195))</f>
        <v/>
      </c>
      <c r="G195" s="51" t="str">
        <f ca="1">IF($A195="","",INDEX('Wash Sale Tracker'!$T:$T,$A195))</f>
        <v/>
      </c>
      <c r="H195" s="63" t="str">
        <f ca="1">IF($A195="","",INDEX('Wash Sale Tracker'!$S:$S,$A195))</f>
        <v/>
      </c>
      <c r="I195" s="63" t="str">
        <f ca="1">IF($A195="","",INDEX('Wash Sale Tracker'!$X:$X,$A195))</f>
        <v/>
      </c>
      <c r="J195" s="25"/>
      <c r="K195" s="24"/>
      <c r="L195" s="74"/>
      <c r="M195" s="24"/>
    </row>
    <row r="196" spans="1:13" ht="20.100000000000001" customHeight="1" x14ac:dyDescent="0.2">
      <c r="A196" s="9" t="str">
        <f ca="1">IFERROR(_xludf.AGGREGATE(15,6,ROW('Wash Sale Tracker'!$K$18:$K$498)/(('Wash Sale Tracker'!$K$18:$K$498="Yes")*(ROW('Wash Sale Tracker'!$K$18:$K$498)&gt;A195)),1),"")</f>
        <v/>
      </c>
      <c r="B196" s="69" t="str">
        <f ca="1">IF($A196="","",INDEX('Wash Sale Tracker'!$A:$A,$A196))</f>
        <v/>
      </c>
      <c r="C196" s="30" t="str">
        <f ca="1">IF($A196="","",INDEX('Wash Sale Tracker'!$L:$L,$A196))</f>
        <v/>
      </c>
      <c r="D196" s="69" t="str">
        <f ca="1">IF($A196="","",INDEX('Wash Sale Tracker'!$E:$E,$A196))</f>
        <v/>
      </c>
      <c r="E196" s="51" t="str">
        <f ca="1">IF($A196="","",ABS(INDEX('Wash Sale Tracker'!$J:$J,$A196)))</f>
        <v/>
      </c>
      <c r="F196" s="51" t="str">
        <f ca="1">IF($A196="","",INDEX('Wash Sale Tracker'!$O:$O,$A196))</f>
        <v/>
      </c>
      <c r="G196" s="51" t="str">
        <f ca="1">IF($A196="","",INDEX('Wash Sale Tracker'!$T:$T,$A196))</f>
        <v/>
      </c>
      <c r="H196" s="63" t="str">
        <f ca="1">IF($A196="","",INDEX('Wash Sale Tracker'!$S:$S,$A196))</f>
        <v/>
      </c>
      <c r="I196" s="63" t="str">
        <f ca="1">IF($A196="","",INDEX('Wash Sale Tracker'!$X:$X,$A196))</f>
        <v/>
      </c>
      <c r="J196" s="25"/>
      <c r="K196" s="24"/>
      <c r="L196" s="74"/>
      <c r="M196" s="24"/>
    </row>
    <row r="197" spans="1:13" ht="20.100000000000001" customHeight="1" x14ac:dyDescent="0.2">
      <c r="A197" s="9" t="str">
        <f ca="1">IFERROR(_xludf.AGGREGATE(15,6,ROW('Wash Sale Tracker'!$K$18:$K$498)/(('Wash Sale Tracker'!$K$18:$K$498="Yes")*(ROW('Wash Sale Tracker'!$K$18:$K$498)&gt;A196)),1),"")</f>
        <v/>
      </c>
      <c r="B197" s="69" t="str">
        <f ca="1">IF($A197="","",INDEX('Wash Sale Tracker'!$A:$A,$A197))</f>
        <v/>
      </c>
      <c r="C197" s="30" t="str">
        <f ca="1">IF($A197="","",INDEX('Wash Sale Tracker'!$L:$L,$A197))</f>
        <v/>
      </c>
      <c r="D197" s="69" t="str">
        <f ca="1">IF($A197="","",INDEX('Wash Sale Tracker'!$E:$E,$A197))</f>
        <v/>
      </c>
      <c r="E197" s="51" t="str">
        <f ca="1">IF($A197="","",ABS(INDEX('Wash Sale Tracker'!$J:$J,$A197)))</f>
        <v/>
      </c>
      <c r="F197" s="51" t="str">
        <f ca="1">IF($A197="","",INDEX('Wash Sale Tracker'!$O:$O,$A197))</f>
        <v/>
      </c>
      <c r="G197" s="51" t="str">
        <f ca="1">IF($A197="","",INDEX('Wash Sale Tracker'!$T:$T,$A197))</f>
        <v/>
      </c>
      <c r="H197" s="63" t="str">
        <f ca="1">IF($A197="","",INDEX('Wash Sale Tracker'!$S:$S,$A197))</f>
        <v/>
      </c>
      <c r="I197" s="63" t="str">
        <f ca="1">IF($A197="","",INDEX('Wash Sale Tracker'!$X:$X,$A197))</f>
        <v/>
      </c>
      <c r="J197" s="25"/>
      <c r="K197" s="24"/>
      <c r="L197" s="74"/>
      <c r="M197" s="24"/>
    </row>
    <row r="198" spans="1:13" ht="20.100000000000001" customHeight="1" x14ac:dyDescent="0.2">
      <c r="A198" s="9" t="str">
        <f ca="1">IFERROR(_xludf.AGGREGATE(15,6,ROW('Wash Sale Tracker'!$K$18:$K$498)/(('Wash Sale Tracker'!$K$18:$K$498="Yes")*(ROW('Wash Sale Tracker'!$K$18:$K$498)&gt;A197)),1),"")</f>
        <v/>
      </c>
      <c r="B198" s="69" t="str">
        <f ca="1">IF($A198="","",INDEX('Wash Sale Tracker'!$A:$A,$A198))</f>
        <v/>
      </c>
      <c r="C198" s="30" t="str">
        <f ca="1">IF($A198="","",INDEX('Wash Sale Tracker'!$L:$L,$A198))</f>
        <v/>
      </c>
      <c r="D198" s="69" t="str">
        <f ca="1">IF($A198="","",INDEX('Wash Sale Tracker'!$E:$E,$A198))</f>
        <v/>
      </c>
      <c r="E198" s="51" t="str">
        <f ca="1">IF($A198="","",ABS(INDEX('Wash Sale Tracker'!$J:$J,$A198)))</f>
        <v/>
      </c>
      <c r="F198" s="51" t="str">
        <f ca="1">IF($A198="","",INDEX('Wash Sale Tracker'!$O:$O,$A198))</f>
        <v/>
      </c>
      <c r="G198" s="51" t="str">
        <f ca="1">IF($A198="","",INDEX('Wash Sale Tracker'!$T:$T,$A198))</f>
        <v/>
      </c>
      <c r="H198" s="63" t="str">
        <f ca="1">IF($A198="","",INDEX('Wash Sale Tracker'!$S:$S,$A198))</f>
        <v/>
      </c>
      <c r="I198" s="63" t="str">
        <f ca="1">IF($A198="","",INDEX('Wash Sale Tracker'!$X:$X,$A198))</f>
        <v/>
      </c>
      <c r="J198" s="25"/>
      <c r="K198" s="24"/>
      <c r="L198" s="74"/>
      <c r="M198" s="24"/>
    </row>
    <row r="199" spans="1:13" ht="20.100000000000001" customHeight="1" x14ac:dyDescent="0.2">
      <c r="A199" s="9" t="str">
        <f ca="1">IFERROR(_xludf.AGGREGATE(15,6,ROW('Wash Sale Tracker'!$K$18:$K$498)/(('Wash Sale Tracker'!$K$18:$K$498="Yes")*(ROW('Wash Sale Tracker'!$K$18:$K$498)&gt;A198)),1),"")</f>
        <v/>
      </c>
      <c r="B199" s="69" t="str">
        <f ca="1">IF($A199="","",INDEX('Wash Sale Tracker'!$A:$A,$A199))</f>
        <v/>
      </c>
      <c r="C199" s="30" t="str">
        <f ca="1">IF($A199="","",INDEX('Wash Sale Tracker'!$L:$L,$A199))</f>
        <v/>
      </c>
      <c r="D199" s="69" t="str">
        <f ca="1">IF($A199="","",INDEX('Wash Sale Tracker'!$E:$E,$A199))</f>
        <v/>
      </c>
      <c r="E199" s="51" t="str">
        <f ca="1">IF($A199="","",ABS(INDEX('Wash Sale Tracker'!$J:$J,$A199)))</f>
        <v/>
      </c>
      <c r="F199" s="51" t="str">
        <f ca="1">IF($A199="","",INDEX('Wash Sale Tracker'!$O:$O,$A199))</f>
        <v/>
      </c>
      <c r="G199" s="51" t="str">
        <f ca="1">IF($A199="","",INDEX('Wash Sale Tracker'!$T:$T,$A199))</f>
        <v/>
      </c>
      <c r="H199" s="63" t="str">
        <f ca="1">IF($A199="","",INDEX('Wash Sale Tracker'!$S:$S,$A199))</f>
        <v/>
      </c>
      <c r="I199" s="63" t="str">
        <f ca="1">IF($A199="","",INDEX('Wash Sale Tracker'!$X:$X,$A199))</f>
        <v/>
      </c>
      <c r="J199" s="25"/>
      <c r="K199" s="24"/>
      <c r="L199" s="74"/>
      <c r="M199" s="24"/>
    </row>
    <row r="200" spans="1:13" ht="20.100000000000001" customHeight="1" x14ac:dyDescent="0.2">
      <c r="A200" s="9" t="str">
        <f ca="1">IFERROR(_xludf.AGGREGATE(15,6,ROW('Wash Sale Tracker'!$K$18:$K$498)/(('Wash Sale Tracker'!$K$18:$K$498="Yes")*(ROW('Wash Sale Tracker'!$K$18:$K$498)&gt;A199)),1),"")</f>
        <v/>
      </c>
      <c r="B200" s="69" t="str">
        <f ca="1">IF($A200="","",INDEX('Wash Sale Tracker'!$A:$A,$A200))</f>
        <v/>
      </c>
      <c r="C200" s="30" t="str">
        <f ca="1">IF($A200="","",INDEX('Wash Sale Tracker'!$L:$L,$A200))</f>
        <v/>
      </c>
      <c r="D200" s="69" t="str">
        <f ca="1">IF($A200="","",INDEX('Wash Sale Tracker'!$E:$E,$A200))</f>
        <v/>
      </c>
      <c r="E200" s="51" t="str">
        <f ca="1">IF($A200="","",ABS(INDEX('Wash Sale Tracker'!$J:$J,$A200)))</f>
        <v/>
      </c>
      <c r="F200" s="51" t="str">
        <f ca="1">IF($A200="","",INDEX('Wash Sale Tracker'!$O:$O,$A200))</f>
        <v/>
      </c>
      <c r="G200" s="51" t="str">
        <f ca="1">IF($A200="","",INDEX('Wash Sale Tracker'!$T:$T,$A200))</f>
        <v/>
      </c>
      <c r="H200" s="63" t="str">
        <f ca="1">IF($A200="","",INDEX('Wash Sale Tracker'!$S:$S,$A200))</f>
        <v/>
      </c>
      <c r="I200" s="63" t="str">
        <f ca="1">IF($A200="","",INDEX('Wash Sale Tracker'!$X:$X,$A200))</f>
        <v/>
      </c>
      <c r="J200" s="25"/>
      <c r="K200" s="24"/>
      <c r="L200" s="74"/>
      <c r="M200" s="24"/>
    </row>
    <row r="201" spans="1:13" ht="20.100000000000001" customHeight="1" x14ac:dyDescent="0.2">
      <c r="A201" s="9" t="str">
        <f ca="1">IFERROR(_xludf.AGGREGATE(15,6,ROW('Wash Sale Tracker'!$K$18:$K$498)/(('Wash Sale Tracker'!$K$18:$K$498="Yes")*(ROW('Wash Sale Tracker'!$K$18:$K$498)&gt;A200)),1),"")</f>
        <v/>
      </c>
      <c r="B201" s="69"/>
      <c r="C201" s="30"/>
      <c r="D201" s="69"/>
      <c r="E201" s="51"/>
      <c r="F201" s="51"/>
      <c r="G201" s="51"/>
      <c r="H201" s="63"/>
      <c r="I201" s="63"/>
      <c r="J201" s="25"/>
      <c r="K201" s="24"/>
      <c r="L201" s="74"/>
      <c r="M201" s="24"/>
    </row>
    <row r="202" spans="1:13" ht="20.100000000000001" customHeight="1" x14ac:dyDescent="0.2">
      <c r="A202" s="9" t="str">
        <f ca="1">IFERROR(_xludf.AGGREGATE(15,6,ROW('Wash Sale Tracker'!$K$18:$K$498)/(('Wash Sale Tracker'!$K$18:$K$498="Yes")*(ROW('Wash Sale Tracker'!$K$18:$K$498)&gt;A201)),1),"")</f>
        <v/>
      </c>
      <c r="B202" s="69"/>
      <c r="C202" s="30"/>
      <c r="D202" s="69"/>
      <c r="E202" s="51"/>
      <c r="F202" s="51"/>
      <c r="G202" s="51"/>
      <c r="H202" s="63"/>
      <c r="I202" s="63"/>
      <c r="J202" s="25"/>
      <c r="K202" s="24"/>
      <c r="L202" s="74"/>
      <c r="M202" s="24"/>
    </row>
    <row r="203" spans="1:13" ht="20.100000000000001" customHeight="1" x14ac:dyDescent="0.2">
      <c r="A203" s="9" t="str">
        <f ca="1">IFERROR(_xludf.AGGREGATE(15,6,ROW('Wash Sale Tracker'!$K$18:$K$498)/(('Wash Sale Tracker'!$K$18:$K$498="Yes")*(ROW('Wash Sale Tracker'!$K$18:$K$498)&gt;A202)),1),"")</f>
        <v/>
      </c>
      <c r="B203" s="69"/>
      <c r="C203" s="30"/>
      <c r="D203" s="69"/>
      <c r="E203" s="51"/>
      <c r="F203" s="51"/>
      <c r="G203" s="51"/>
      <c r="H203" s="63"/>
      <c r="I203" s="63"/>
      <c r="J203" s="25"/>
      <c r="K203" s="24"/>
      <c r="L203" s="74"/>
      <c r="M203" s="24"/>
    </row>
    <row r="204" spans="1:13" ht="20.100000000000001" customHeight="1" x14ac:dyDescent="0.2">
      <c r="A204" s="9" t="str">
        <f ca="1">IFERROR(_xludf.AGGREGATE(15,6,ROW('Wash Sale Tracker'!$K$18:$K$498)/(('Wash Sale Tracker'!$K$18:$K$498="Yes")*(ROW('Wash Sale Tracker'!$K$18:$K$498)&gt;A203)),1),"")</f>
        <v/>
      </c>
      <c r="B204" s="69"/>
      <c r="C204" s="30"/>
      <c r="D204" s="69"/>
      <c r="E204" s="51"/>
      <c r="F204" s="51"/>
      <c r="G204" s="51"/>
      <c r="H204" s="63"/>
      <c r="I204" s="63"/>
      <c r="J204" s="25"/>
      <c r="K204" s="24"/>
      <c r="L204" s="74"/>
      <c r="M204" s="24"/>
    </row>
    <row r="205" spans="1:13" ht="20.100000000000001" customHeight="1" x14ac:dyDescent="0.2">
      <c r="A205" s="9" t="str">
        <f ca="1">IFERROR(_xludf.AGGREGATE(15,6,ROW('Wash Sale Tracker'!$K$18:$K$498)/(('Wash Sale Tracker'!$K$18:$K$498="Yes")*(ROW('Wash Sale Tracker'!$K$18:$K$498)&gt;A204)),1),"")</f>
        <v/>
      </c>
      <c r="B205" s="69"/>
      <c r="C205" s="30"/>
      <c r="D205" s="69"/>
      <c r="E205" s="51"/>
      <c r="F205" s="51"/>
      <c r="G205" s="51"/>
      <c r="H205" s="63"/>
      <c r="I205" s="63"/>
      <c r="J205" s="25"/>
      <c r="K205" s="24"/>
      <c r="L205" s="74"/>
      <c r="M205" s="24"/>
    </row>
    <row r="206" spans="1:13" ht="20.100000000000001" customHeight="1" x14ac:dyDescent="0.2">
      <c r="A206" s="9" t="str">
        <f ca="1">IFERROR(_xludf.AGGREGATE(15,6,ROW('Wash Sale Tracker'!$K$18:$K$498)/(('Wash Sale Tracker'!$K$18:$K$498="Yes")*(ROW('Wash Sale Tracker'!$K$18:$K$498)&gt;A205)),1),"")</f>
        <v/>
      </c>
      <c r="B206" s="69"/>
      <c r="C206" s="30"/>
      <c r="D206" s="69"/>
      <c r="E206" s="51"/>
      <c r="F206" s="51"/>
      <c r="G206" s="51"/>
      <c r="H206" s="63"/>
      <c r="I206" s="63"/>
      <c r="J206" s="25"/>
      <c r="K206" s="24"/>
      <c r="L206" s="74"/>
      <c r="M206" s="24"/>
    </row>
    <row r="207" spans="1:13" ht="20.100000000000001" customHeight="1" x14ac:dyDescent="0.2">
      <c r="A207" s="9" t="str">
        <f ca="1">IFERROR(_xludf.AGGREGATE(15,6,ROW('Wash Sale Tracker'!$K$18:$K$498)/(('Wash Sale Tracker'!$K$18:$K$498="Yes")*(ROW('Wash Sale Tracker'!$K$18:$K$498)&gt;A206)),1),"")</f>
        <v/>
      </c>
      <c r="B207" s="69"/>
      <c r="C207" s="30"/>
      <c r="D207" s="69"/>
      <c r="E207" s="51"/>
      <c r="F207" s="51"/>
      <c r="G207" s="51"/>
      <c r="H207" s="63"/>
      <c r="I207" s="63"/>
      <c r="J207" s="25"/>
      <c r="K207" s="24"/>
      <c r="L207" s="74"/>
      <c r="M207" s="24"/>
    </row>
    <row r="208" spans="1:13" ht="20.100000000000001" customHeight="1" x14ac:dyDescent="0.2">
      <c r="A208" s="9" t="str">
        <f ca="1">IFERROR(_xludf.AGGREGATE(15,6,ROW('Wash Sale Tracker'!$K$18:$K$498)/(('Wash Sale Tracker'!$K$18:$K$498="Yes")*(ROW('Wash Sale Tracker'!$K$18:$K$498)&gt;A207)),1),"")</f>
        <v/>
      </c>
      <c r="B208" s="69"/>
      <c r="C208" s="30"/>
      <c r="D208" s="69"/>
      <c r="E208" s="51"/>
      <c r="F208" s="51"/>
      <c r="G208" s="51"/>
      <c r="H208" s="63"/>
      <c r="I208" s="63"/>
      <c r="J208" s="25"/>
      <c r="K208" s="24"/>
      <c r="L208" s="74"/>
      <c r="M208" s="24"/>
    </row>
    <row r="209" spans="1:13" ht="20.100000000000001" customHeight="1" x14ac:dyDescent="0.2">
      <c r="A209" s="9" t="str">
        <f ca="1">IFERROR(_xludf.AGGREGATE(15,6,ROW('Wash Sale Tracker'!$K$18:$K$498)/(('Wash Sale Tracker'!$K$18:$K$498="Yes")*(ROW('Wash Sale Tracker'!$K$18:$K$498)&gt;A208)),1),"")</f>
        <v/>
      </c>
      <c r="B209" s="69"/>
      <c r="C209" s="30"/>
      <c r="D209" s="69"/>
      <c r="E209" s="51"/>
      <c r="F209" s="51"/>
      <c r="G209" s="51"/>
      <c r="H209" s="63"/>
      <c r="I209" s="63"/>
      <c r="J209" s="25"/>
      <c r="K209" s="24"/>
      <c r="L209" s="74"/>
      <c r="M209" s="24"/>
    </row>
    <row r="210" spans="1:13" ht="20.100000000000001" customHeight="1" x14ac:dyDescent="0.2">
      <c r="A210" s="9" t="str">
        <f ca="1">IFERROR(_xludf.AGGREGATE(15,6,ROW('Wash Sale Tracker'!$K$18:$K$498)/(('Wash Sale Tracker'!$K$18:$K$498="Yes")*(ROW('Wash Sale Tracker'!$K$18:$K$498)&gt;A209)),1),"")</f>
        <v/>
      </c>
      <c r="B210" s="69"/>
      <c r="C210" s="30"/>
      <c r="D210" s="69"/>
      <c r="E210" s="51"/>
      <c r="F210" s="51"/>
      <c r="G210" s="51"/>
      <c r="H210" s="63"/>
      <c r="I210" s="63"/>
      <c r="J210" s="25"/>
      <c r="K210" s="24"/>
      <c r="L210" s="74"/>
      <c r="M210" s="24"/>
    </row>
    <row r="211" spans="1:13" ht="20.100000000000001" customHeight="1" x14ac:dyDescent="0.2">
      <c r="A211" s="9" t="str">
        <f ca="1">IFERROR(_xludf.AGGREGATE(15,6,ROW('Wash Sale Tracker'!$K$18:$K$498)/(('Wash Sale Tracker'!$K$18:$K$498="Yes")*(ROW('Wash Sale Tracker'!$K$18:$K$498)&gt;A210)),1),"")</f>
        <v/>
      </c>
      <c r="B211" s="69"/>
      <c r="C211" s="30"/>
      <c r="D211" s="69"/>
      <c r="E211" s="51"/>
      <c r="F211" s="51"/>
      <c r="G211" s="51"/>
      <c r="H211" s="63"/>
      <c r="I211" s="63"/>
      <c r="J211" s="25"/>
      <c r="K211" s="24"/>
      <c r="L211" s="74"/>
      <c r="M211" s="24"/>
    </row>
    <row r="212" spans="1:13" ht="20.100000000000001" customHeight="1" x14ac:dyDescent="0.2">
      <c r="A212" s="9" t="str">
        <f ca="1">IFERROR(_xludf.AGGREGATE(15,6,ROW('Wash Sale Tracker'!$K$18:$K$498)/(('Wash Sale Tracker'!$K$18:$K$498="Yes")*(ROW('Wash Sale Tracker'!$K$18:$K$498)&gt;A211)),1),"")</f>
        <v/>
      </c>
      <c r="B212" s="69"/>
      <c r="C212" s="30"/>
      <c r="D212" s="69"/>
      <c r="E212" s="51"/>
      <c r="F212" s="51"/>
      <c r="G212" s="51"/>
      <c r="H212" s="63"/>
      <c r="I212" s="63"/>
      <c r="J212" s="25"/>
      <c r="K212" s="24"/>
      <c r="L212" s="74"/>
      <c r="M212" s="24"/>
    </row>
    <row r="213" spans="1:13" ht="20.100000000000001" customHeight="1" x14ac:dyDescent="0.2">
      <c r="A213" s="9" t="str">
        <f ca="1">IFERROR(_xludf.AGGREGATE(15,6,ROW('Wash Sale Tracker'!$K$18:$K$498)/(('Wash Sale Tracker'!$K$18:$K$498="Yes")*(ROW('Wash Sale Tracker'!$K$18:$K$498)&gt;A212)),1),"")</f>
        <v/>
      </c>
      <c r="B213" s="69"/>
      <c r="C213" s="30"/>
      <c r="D213" s="69"/>
      <c r="E213" s="51"/>
      <c r="F213" s="51"/>
      <c r="G213" s="51"/>
      <c r="H213" s="63"/>
      <c r="I213" s="63"/>
      <c r="J213" s="25"/>
      <c r="K213" s="24"/>
      <c r="L213" s="74"/>
      <c r="M213" s="24"/>
    </row>
    <row r="214" spans="1:13" ht="20.100000000000001" customHeight="1" x14ac:dyDescent="0.2">
      <c r="A214" s="9" t="str">
        <f ca="1">IFERROR(_xludf.AGGREGATE(15,6,ROW('Wash Sale Tracker'!$K$18:$K$498)/(('Wash Sale Tracker'!$K$18:$K$498="Yes")*(ROW('Wash Sale Tracker'!$K$18:$K$498)&gt;A213)),1),"")</f>
        <v/>
      </c>
      <c r="B214" s="69"/>
      <c r="C214" s="30"/>
      <c r="D214" s="69"/>
      <c r="E214" s="51"/>
      <c r="F214" s="51"/>
      <c r="G214" s="51"/>
      <c r="H214" s="63"/>
      <c r="I214" s="63"/>
      <c r="J214" s="25"/>
      <c r="K214" s="24"/>
      <c r="L214" s="74"/>
      <c r="M214" s="24"/>
    </row>
    <row r="215" spans="1:13" ht="20.100000000000001" customHeight="1" x14ac:dyDescent="0.2">
      <c r="A215" s="9" t="str">
        <f ca="1">IFERROR(_xludf.AGGREGATE(15,6,ROW('Wash Sale Tracker'!$K$18:$K$498)/(('Wash Sale Tracker'!$K$18:$K$498="Yes")*(ROW('Wash Sale Tracker'!$K$18:$K$498)&gt;A214)),1),"")</f>
        <v/>
      </c>
      <c r="B215" s="69"/>
      <c r="C215" s="30"/>
      <c r="D215" s="69"/>
      <c r="E215" s="51"/>
      <c r="F215" s="51"/>
      <c r="G215" s="51"/>
      <c r="H215" s="63"/>
      <c r="I215" s="63"/>
      <c r="J215" s="25"/>
      <c r="K215" s="24"/>
      <c r="L215" s="74"/>
      <c r="M215" s="24"/>
    </row>
    <row r="216" spans="1:13" ht="20.100000000000001" customHeight="1" x14ac:dyDescent="0.2">
      <c r="A216" s="9" t="str">
        <f ca="1">IFERROR(_xludf.AGGREGATE(15,6,ROW('Wash Sale Tracker'!$K$18:$K$498)/(('Wash Sale Tracker'!$K$18:$K$498="Yes")*(ROW('Wash Sale Tracker'!$K$18:$K$498)&gt;A215)),1),"")</f>
        <v/>
      </c>
      <c r="B216" s="69"/>
      <c r="C216" s="30"/>
      <c r="D216" s="69"/>
      <c r="E216" s="51"/>
      <c r="F216" s="51"/>
      <c r="G216" s="51"/>
      <c r="H216" s="63"/>
      <c r="I216" s="63"/>
      <c r="J216" s="25"/>
      <c r="K216" s="24"/>
      <c r="L216" s="74"/>
      <c r="M216" s="24"/>
    </row>
    <row r="217" spans="1:13" ht="20.100000000000001" customHeight="1" x14ac:dyDescent="0.2">
      <c r="A217" s="9" t="str">
        <f ca="1">IFERROR(_xludf.AGGREGATE(15,6,ROW('Wash Sale Tracker'!$K$18:$K$498)/(('Wash Sale Tracker'!$K$18:$K$498="Yes")*(ROW('Wash Sale Tracker'!$K$18:$K$498)&gt;A216)),1),"")</f>
        <v/>
      </c>
      <c r="B217" s="69"/>
      <c r="C217" s="30"/>
      <c r="D217" s="69"/>
      <c r="E217" s="51"/>
      <c r="F217" s="51"/>
      <c r="G217" s="51"/>
      <c r="H217" s="63"/>
      <c r="I217" s="63"/>
      <c r="J217" s="25"/>
      <c r="K217" s="24"/>
      <c r="L217" s="74"/>
      <c r="M217" s="24"/>
    </row>
    <row r="218" spans="1:13" ht="20.100000000000001" customHeight="1" x14ac:dyDescent="0.2">
      <c r="A218" s="9" t="str">
        <f ca="1">IFERROR(_xludf.AGGREGATE(15,6,ROW('Wash Sale Tracker'!$K$18:$K$498)/(('Wash Sale Tracker'!$K$18:$K$498="Yes")*(ROW('Wash Sale Tracker'!$K$18:$K$498)&gt;A217)),1),"")</f>
        <v/>
      </c>
      <c r="B218" s="69"/>
      <c r="C218" s="30"/>
      <c r="D218" s="69"/>
      <c r="E218" s="51"/>
      <c r="F218" s="51"/>
      <c r="G218" s="51"/>
      <c r="H218" s="63"/>
      <c r="I218" s="63"/>
      <c r="J218" s="25"/>
      <c r="K218" s="24"/>
      <c r="L218" s="74"/>
      <c r="M218" s="24"/>
    </row>
    <row r="219" spans="1:13" ht="20.100000000000001" customHeight="1" x14ac:dyDescent="0.2">
      <c r="A219" s="9" t="str">
        <f ca="1">IFERROR(_xludf.AGGREGATE(15,6,ROW('Wash Sale Tracker'!$K$18:$K$498)/(('Wash Sale Tracker'!$K$18:$K$498="Yes")*(ROW('Wash Sale Tracker'!$K$18:$K$498)&gt;A218)),1),"")</f>
        <v/>
      </c>
      <c r="B219" s="69"/>
      <c r="C219" s="30"/>
      <c r="D219" s="69"/>
      <c r="E219" s="51"/>
      <c r="F219" s="51"/>
      <c r="G219" s="51"/>
      <c r="H219" s="63"/>
      <c r="I219" s="63"/>
      <c r="J219" s="25"/>
      <c r="K219" s="24"/>
      <c r="L219" s="74"/>
      <c r="M219" s="24"/>
    </row>
    <row r="220" spans="1:13" ht="20.100000000000001" customHeight="1" x14ac:dyDescent="0.2">
      <c r="A220" s="9" t="str">
        <f ca="1">IFERROR(_xludf.AGGREGATE(15,6,ROW('Wash Sale Tracker'!$K$18:$K$498)/(('Wash Sale Tracker'!$K$18:$K$498="Yes")*(ROW('Wash Sale Tracker'!$K$18:$K$498)&gt;A219)),1),"")</f>
        <v/>
      </c>
      <c r="B220" s="69"/>
      <c r="C220" s="30"/>
      <c r="D220" s="69"/>
      <c r="E220" s="51"/>
      <c r="F220" s="51"/>
      <c r="G220" s="51"/>
      <c r="H220" s="63"/>
      <c r="I220" s="63"/>
      <c r="J220" s="25"/>
      <c r="K220" s="24"/>
      <c r="L220" s="74"/>
      <c r="M220" s="24"/>
    </row>
    <row r="221" spans="1:13" ht="20.100000000000001" customHeight="1" x14ac:dyDescent="0.2">
      <c r="A221" s="9" t="str">
        <f ca="1">IFERROR(_xludf.AGGREGATE(15,6,ROW('Wash Sale Tracker'!$K$18:$K$498)/(('Wash Sale Tracker'!$K$18:$K$498="Yes")*(ROW('Wash Sale Tracker'!$K$18:$K$498)&gt;A220)),1),"")</f>
        <v/>
      </c>
      <c r="B221" s="69"/>
      <c r="C221" s="30"/>
      <c r="D221" s="69"/>
      <c r="E221" s="51"/>
      <c r="F221" s="51"/>
      <c r="G221" s="51"/>
      <c r="H221" s="63"/>
      <c r="I221" s="63"/>
      <c r="J221" s="25"/>
      <c r="K221" s="24"/>
      <c r="L221" s="74"/>
      <c r="M221" s="24"/>
    </row>
    <row r="222" spans="1:13" ht="20.100000000000001" customHeight="1" x14ac:dyDescent="0.2">
      <c r="A222" s="9" t="str">
        <f ca="1">IFERROR(_xludf.AGGREGATE(15,6,ROW('Wash Sale Tracker'!$K$18:$K$498)/(('Wash Sale Tracker'!$K$18:$K$498="Yes")*(ROW('Wash Sale Tracker'!$K$18:$K$498)&gt;A221)),1),"")</f>
        <v/>
      </c>
      <c r="B222" s="69"/>
      <c r="C222" s="30"/>
      <c r="D222" s="69"/>
      <c r="E222" s="51"/>
      <c r="F222" s="51"/>
      <c r="G222" s="51"/>
      <c r="H222" s="63"/>
      <c r="I222" s="63"/>
      <c r="J222" s="25"/>
      <c r="K222" s="24"/>
      <c r="L222" s="74"/>
      <c r="M222" s="24"/>
    </row>
    <row r="223" spans="1:13" ht="20.100000000000001" customHeight="1" x14ac:dyDescent="0.2">
      <c r="A223" s="9" t="str">
        <f ca="1">IFERROR(_xludf.AGGREGATE(15,6,ROW('Wash Sale Tracker'!$K$18:$K$498)/(('Wash Sale Tracker'!$K$18:$K$498="Yes")*(ROW('Wash Sale Tracker'!$K$18:$K$498)&gt;A222)),1),"")</f>
        <v/>
      </c>
      <c r="B223" s="69"/>
      <c r="C223" s="30"/>
      <c r="D223" s="69"/>
      <c r="E223" s="51"/>
      <c r="F223" s="51"/>
      <c r="G223" s="51"/>
      <c r="H223" s="63"/>
      <c r="I223" s="63"/>
      <c r="J223" s="25"/>
      <c r="K223" s="24"/>
      <c r="L223" s="74"/>
      <c r="M223" s="24"/>
    </row>
    <row r="224" spans="1:13" ht="20.100000000000001" customHeight="1" x14ac:dyDescent="0.2">
      <c r="A224" s="9" t="str">
        <f ca="1">IFERROR(_xludf.AGGREGATE(15,6,ROW('Wash Sale Tracker'!$K$18:$K$498)/(('Wash Sale Tracker'!$K$18:$K$498="Yes")*(ROW('Wash Sale Tracker'!$K$18:$K$498)&gt;A223)),1),"")</f>
        <v/>
      </c>
      <c r="B224" s="69"/>
      <c r="C224" s="30"/>
      <c r="D224" s="69"/>
      <c r="E224" s="51"/>
      <c r="F224" s="51"/>
      <c r="G224" s="51"/>
      <c r="H224" s="63"/>
      <c r="I224" s="63"/>
      <c r="J224" s="25"/>
      <c r="K224" s="24"/>
      <c r="L224" s="74"/>
      <c r="M224" s="24"/>
    </row>
    <row r="225" spans="1:13" ht="20.100000000000001" customHeight="1" x14ac:dyDescent="0.2">
      <c r="A225" s="9" t="str">
        <f ca="1">IFERROR(_xludf.AGGREGATE(15,6,ROW('Wash Sale Tracker'!$K$18:$K$498)/(('Wash Sale Tracker'!$K$18:$K$498="Yes")*(ROW('Wash Sale Tracker'!$K$18:$K$498)&gt;A224)),1),"")</f>
        <v/>
      </c>
      <c r="B225" s="69"/>
      <c r="C225" s="30"/>
      <c r="D225" s="69"/>
      <c r="E225" s="51"/>
      <c r="F225" s="51"/>
      <c r="G225" s="51"/>
      <c r="H225" s="63"/>
      <c r="I225" s="63"/>
      <c r="J225" s="25"/>
      <c r="K225" s="24"/>
      <c r="L225" s="74"/>
      <c r="M225" s="24"/>
    </row>
    <row r="226" spans="1:13" ht="20.100000000000001" customHeight="1" x14ac:dyDescent="0.2">
      <c r="A226" s="9" t="str">
        <f ca="1">IFERROR(_xludf.AGGREGATE(15,6,ROW('Wash Sale Tracker'!$K$18:$K$498)/(('Wash Sale Tracker'!$K$18:$K$498="Yes")*(ROW('Wash Sale Tracker'!$K$18:$K$498)&gt;A225)),1),"")</f>
        <v/>
      </c>
      <c r="B226" s="69"/>
      <c r="C226" s="30"/>
      <c r="D226" s="69"/>
      <c r="E226" s="51"/>
      <c r="F226" s="51"/>
      <c r="G226" s="51"/>
      <c r="H226" s="63"/>
      <c r="I226" s="63"/>
      <c r="J226" s="25"/>
      <c r="K226" s="24"/>
      <c r="L226" s="74"/>
      <c r="M226" s="24"/>
    </row>
    <row r="227" spans="1:13" ht="20.100000000000001" customHeight="1" x14ac:dyDescent="0.2">
      <c r="A227" s="9" t="str">
        <f ca="1">IFERROR(_xludf.AGGREGATE(15,6,ROW('Wash Sale Tracker'!$K$18:$K$498)/(('Wash Sale Tracker'!$K$18:$K$498="Yes")*(ROW('Wash Sale Tracker'!$K$18:$K$498)&gt;A226)),1),"")</f>
        <v/>
      </c>
      <c r="B227" s="69"/>
      <c r="C227" s="30"/>
      <c r="D227" s="69"/>
      <c r="E227" s="51"/>
      <c r="F227" s="51"/>
      <c r="G227" s="51"/>
      <c r="H227" s="63"/>
      <c r="I227" s="63"/>
      <c r="J227" s="25"/>
      <c r="K227" s="24"/>
      <c r="L227" s="74"/>
      <c r="M227" s="24"/>
    </row>
    <row r="228" spans="1:13" ht="20.100000000000001" customHeight="1" x14ac:dyDescent="0.2">
      <c r="A228" s="9" t="str">
        <f ca="1">IFERROR(_xludf.AGGREGATE(15,6,ROW('Wash Sale Tracker'!$K$18:$K$498)/(('Wash Sale Tracker'!$K$18:$K$498="Yes")*(ROW('Wash Sale Tracker'!$K$18:$K$498)&gt;A227)),1),"")</f>
        <v/>
      </c>
      <c r="B228" s="69"/>
      <c r="C228" s="30"/>
      <c r="D228" s="69"/>
      <c r="E228" s="51"/>
      <c r="F228" s="51"/>
      <c r="G228" s="51"/>
      <c r="H228" s="63"/>
      <c r="I228" s="63"/>
      <c r="J228" s="25"/>
      <c r="K228" s="24"/>
      <c r="L228" s="74"/>
      <c r="M228" s="24"/>
    </row>
    <row r="229" spans="1:13" ht="20.100000000000001" customHeight="1" x14ac:dyDescent="0.2">
      <c r="A229" s="9" t="str">
        <f ca="1">IFERROR(_xludf.AGGREGATE(15,6,ROW('Wash Sale Tracker'!$K$18:$K$498)/(('Wash Sale Tracker'!$K$18:$K$498="Yes")*(ROW('Wash Sale Tracker'!$K$18:$K$498)&gt;A228)),1),"")</f>
        <v/>
      </c>
      <c r="B229" s="69"/>
      <c r="C229" s="30"/>
      <c r="D229" s="69"/>
      <c r="E229" s="51"/>
      <c r="F229" s="51"/>
      <c r="G229" s="51"/>
      <c r="H229" s="63"/>
      <c r="I229" s="63"/>
      <c r="J229" s="25"/>
      <c r="K229" s="24"/>
      <c r="L229" s="74"/>
      <c r="M229" s="24"/>
    </row>
    <row r="230" spans="1:13" ht="20.100000000000001" customHeight="1" x14ac:dyDescent="0.2">
      <c r="A230" s="9" t="str">
        <f ca="1">IFERROR(_xludf.AGGREGATE(15,6,ROW('Wash Sale Tracker'!$K$18:$K$498)/(('Wash Sale Tracker'!$K$18:$K$498="Yes")*(ROW('Wash Sale Tracker'!$K$18:$K$498)&gt;A229)),1),"")</f>
        <v/>
      </c>
      <c r="B230" s="69"/>
      <c r="C230" s="30"/>
      <c r="D230" s="69"/>
      <c r="E230" s="51"/>
      <c r="F230" s="51"/>
      <c r="G230" s="51"/>
      <c r="H230" s="63"/>
      <c r="I230" s="63"/>
      <c r="J230" s="25"/>
      <c r="K230" s="24"/>
      <c r="L230" s="74"/>
      <c r="M230" s="24"/>
    </row>
    <row r="231" spans="1:13" ht="20.100000000000001" customHeight="1" x14ac:dyDescent="0.2">
      <c r="A231" s="9" t="str">
        <f ca="1">IFERROR(_xludf.AGGREGATE(15,6,ROW('Wash Sale Tracker'!$K$18:$K$498)/(('Wash Sale Tracker'!$K$18:$K$498="Yes")*(ROW('Wash Sale Tracker'!$K$18:$K$498)&gt;A230)),1),"")</f>
        <v/>
      </c>
      <c r="B231" s="69"/>
      <c r="C231" s="30"/>
      <c r="D231" s="69"/>
      <c r="E231" s="51"/>
      <c r="F231" s="51"/>
      <c r="G231" s="51"/>
      <c r="H231" s="63"/>
      <c r="I231" s="63"/>
      <c r="J231" s="25"/>
      <c r="K231" s="24"/>
      <c r="L231" s="74"/>
      <c r="M231" s="24"/>
    </row>
    <row r="232" spans="1:13" ht="20.100000000000001" customHeight="1" x14ac:dyDescent="0.2">
      <c r="A232" s="9" t="str">
        <f ca="1">IFERROR(_xludf.AGGREGATE(15,6,ROW('Wash Sale Tracker'!$K$18:$K$498)/(('Wash Sale Tracker'!$K$18:$K$498="Yes")*(ROW('Wash Sale Tracker'!$K$18:$K$498)&gt;A231)),1),"")</f>
        <v/>
      </c>
      <c r="B232" s="69"/>
      <c r="C232" s="30"/>
      <c r="D232" s="69"/>
      <c r="E232" s="51"/>
      <c r="F232" s="51"/>
      <c r="G232" s="51"/>
      <c r="H232" s="63"/>
      <c r="I232" s="63"/>
      <c r="J232" s="25"/>
      <c r="K232" s="24"/>
      <c r="L232" s="74"/>
      <c r="M232" s="24"/>
    </row>
    <row r="233" spans="1:13" ht="20.100000000000001" customHeight="1" x14ac:dyDescent="0.2">
      <c r="A233" s="9" t="str">
        <f ca="1">IFERROR(_xludf.AGGREGATE(15,6,ROW('Wash Sale Tracker'!$K$18:$K$498)/(('Wash Sale Tracker'!$K$18:$K$498="Yes")*(ROW('Wash Sale Tracker'!$K$18:$K$498)&gt;A232)),1),"")</f>
        <v/>
      </c>
      <c r="B233" s="69"/>
      <c r="C233" s="30"/>
      <c r="D233" s="69"/>
      <c r="E233" s="51"/>
      <c r="F233" s="51"/>
      <c r="G233" s="51"/>
      <c r="H233" s="63"/>
      <c r="I233" s="63"/>
      <c r="J233" s="25"/>
      <c r="K233" s="24"/>
      <c r="L233" s="74"/>
      <c r="M233" s="24"/>
    </row>
    <row r="234" spans="1:13" ht="20.100000000000001" customHeight="1" x14ac:dyDescent="0.2">
      <c r="A234" s="9" t="str">
        <f ca="1">IFERROR(_xludf.AGGREGATE(15,6,ROW('Wash Sale Tracker'!$K$18:$K$498)/(('Wash Sale Tracker'!$K$18:$K$498="Yes")*(ROW('Wash Sale Tracker'!$K$18:$K$498)&gt;A233)),1),"")</f>
        <v/>
      </c>
      <c r="B234" s="69"/>
      <c r="C234" s="30"/>
      <c r="D234" s="69"/>
      <c r="E234" s="51"/>
      <c r="F234" s="51"/>
      <c r="G234" s="51"/>
      <c r="H234" s="63"/>
      <c r="I234" s="63"/>
      <c r="J234" s="25"/>
      <c r="K234" s="24"/>
      <c r="L234" s="74"/>
      <c r="M234" s="24"/>
    </row>
    <row r="235" spans="1:13" ht="20.100000000000001" customHeight="1" x14ac:dyDescent="0.2">
      <c r="A235" s="9" t="str">
        <f ca="1">IFERROR(_xludf.AGGREGATE(15,6,ROW('Wash Sale Tracker'!$K$18:$K$498)/(('Wash Sale Tracker'!$K$18:$K$498="Yes")*(ROW('Wash Sale Tracker'!$K$18:$K$498)&gt;A234)),1),"")</f>
        <v/>
      </c>
      <c r="B235" s="69"/>
      <c r="C235" s="30"/>
      <c r="D235" s="69"/>
      <c r="E235" s="51"/>
      <c r="F235" s="51"/>
      <c r="G235" s="51"/>
      <c r="H235" s="63"/>
      <c r="I235" s="63"/>
      <c r="J235" s="25"/>
      <c r="K235" s="24"/>
      <c r="L235" s="74"/>
      <c r="M235" s="24"/>
    </row>
    <row r="236" spans="1:13" ht="20.100000000000001" customHeight="1" x14ac:dyDescent="0.2">
      <c r="A236" s="9" t="str">
        <f ca="1">IFERROR(_xludf.AGGREGATE(15,6,ROW('Wash Sale Tracker'!$K$18:$K$498)/(('Wash Sale Tracker'!$K$18:$K$498="Yes")*(ROW('Wash Sale Tracker'!$K$18:$K$498)&gt;A235)),1),"")</f>
        <v/>
      </c>
      <c r="B236" s="69"/>
      <c r="C236" s="30"/>
      <c r="D236" s="69"/>
      <c r="E236" s="51"/>
      <c r="F236" s="51"/>
      <c r="G236" s="51"/>
      <c r="H236" s="63"/>
      <c r="I236" s="63"/>
      <c r="J236" s="25"/>
      <c r="K236" s="24"/>
      <c r="L236" s="74"/>
      <c r="M236" s="24"/>
    </row>
    <row r="237" spans="1:13" ht="20.100000000000001" customHeight="1" x14ac:dyDescent="0.2">
      <c r="A237" s="9" t="str">
        <f ca="1">IFERROR(_xludf.AGGREGATE(15,6,ROW('Wash Sale Tracker'!$K$18:$K$498)/(('Wash Sale Tracker'!$K$18:$K$498="Yes")*(ROW('Wash Sale Tracker'!$K$18:$K$498)&gt;A236)),1),"")</f>
        <v/>
      </c>
      <c r="B237" s="69"/>
      <c r="C237" s="30"/>
      <c r="D237" s="69"/>
      <c r="E237" s="51"/>
      <c r="F237" s="51"/>
      <c r="G237" s="51"/>
      <c r="H237" s="63"/>
      <c r="I237" s="63"/>
      <c r="J237" s="25"/>
      <c r="K237" s="24"/>
      <c r="L237" s="74"/>
      <c r="M237" s="24"/>
    </row>
    <row r="238" spans="1:13" ht="20.100000000000001" customHeight="1" x14ac:dyDescent="0.2">
      <c r="A238" s="9" t="str">
        <f ca="1">IFERROR(_xludf.AGGREGATE(15,6,ROW('Wash Sale Tracker'!$K$18:$K$498)/(('Wash Sale Tracker'!$K$18:$K$498="Yes")*(ROW('Wash Sale Tracker'!$K$18:$K$498)&gt;A237)),1),"")</f>
        <v/>
      </c>
      <c r="B238" s="69"/>
      <c r="C238" s="30"/>
      <c r="D238" s="69"/>
      <c r="E238" s="51"/>
      <c r="F238" s="51"/>
      <c r="G238" s="51"/>
      <c r="H238" s="63"/>
      <c r="I238" s="63"/>
      <c r="J238" s="25"/>
      <c r="K238" s="24"/>
      <c r="L238" s="74"/>
      <c r="M238" s="24"/>
    </row>
    <row r="239" spans="1:13" ht="20.100000000000001" customHeight="1" x14ac:dyDescent="0.2">
      <c r="A239" s="9" t="str">
        <f ca="1">IFERROR(_xludf.AGGREGATE(15,6,ROW('Wash Sale Tracker'!$K$18:$K$498)/(('Wash Sale Tracker'!$K$18:$K$498="Yes")*(ROW('Wash Sale Tracker'!$K$18:$K$498)&gt;A238)),1),"")</f>
        <v/>
      </c>
      <c r="B239" s="69"/>
      <c r="C239" s="30"/>
      <c r="D239" s="69"/>
      <c r="E239" s="51"/>
      <c r="F239" s="51"/>
      <c r="G239" s="51"/>
      <c r="H239" s="63"/>
      <c r="I239" s="63"/>
      <c r="J239" s="25"/>
      <c r="K239" s="24"/>
      <c r="L239" s="74"/>
      <c r="M239" s="24"/>
    </row>
    <row r="240" spans="1:13" ht="20.100000000000001" customHeight="1" x14ac:dyDescent="0.2">
      <c r="A240" s="9" t="str">
        <f ca="1">IFERROR(_xludf.AGGREGATE(15,6,ROW('Wash Sale Tracker'!$K$18:$K$498)/(('Wash Sale Tracker'!$K$18:$K$498="Yes")*(ROW('Wash Sale Tracker'!$K$18:$K$498)&gt;A239)),1),"")</f>
        <v/>
      </c>
      <c r="B240" s="69"/>
      <c r="C240" s="30"/>
      <c r="D240" s="69"/>
      <c r="E240" s="51"/>
      <c r="F240" s="51"/>
      <c r="G240" s="51"/>
      <c r="H240" s="63"/>
      <c r="I240" s="63"/>
      <c r="J240" s="25"/>
      <c r="K240" s="24"/>
      <c r="L240" s="74"/>
      <c r="M240" s="24"/>
    </row>
    <row r="241" spans="1:13" ht="20.100000000000001" customHeight="1" x14ac:dyDescent="0.2">
      <c r="A241" s="9" t="str">
        <f ca="1">IFERROR(_xludf.AGGREGATE(15,6,ROW('Wash Sale Tracker'!$K$18:$K$498)/(('Wash Sale Tracker'!$K$18:$K$498="Yes")*(ROW('Wash Sale Tracker'!$K$18:$K$498)&gt;A240)),1),"")</f>
        <v/>
      </c>
      <c r="B241" s="69"/>
      <c r="C241" s="30"/>
      <c r="D241" s="69"/>
      <c r="E241" s="51"/>
      <c r="F241" s="51"/>
      <c r="G241" s="51"/>
      <c r="H241" s="63"/>
      <c r="I241" s="63"/>
      <c r="J241" s="25"/>
      <c r="K241" s="24"/>
      <c r="L241" s="74"/>
      <c r="M241" s="24"/>
    </row>
    <row r="242" spans="1:13" ht="20.100000000000001" customHeight="1" x14ac:dyDescent="0.2">
      <c r="A242" s="9" t="str">
        <f ca="1">IFERROR(_xludf.AGGREGATE(15,6,ROW('Wash Sale Tracker'!$K$18:$K$498)/(('Wash Sale Tracker'!$K$18:$K$498="Yes")*(ROW('Wash Sale Tracker'!$K$18:$K$498)&gt;A241)),1),"")</f>
        <v/>
      </c>
      <c r="B242" s="69"/>
      <c r="C242" s="30"/>
      <c r="D242" s="69"/>
      <c r="E242" s="51"/>
      <c r="F242" s="51"/>
      <c r="G242" s="51"/>
      <c r="H242" s="63"/>
      <c r="I242" s="63"/>
      <c r="J242" s="25"/>
      <c r="K242" s="24"/>
      <c r="L242" s="74"/>
      <c r="M242" s="24"/>
    </row>
    <row r="243" spans="1:13" ht="20.100000000000001" customHeight="1" x14ac:dyDescent="0.2">
      <c r="A243" s="9" t="str">
        <f ca="1">IFERROR(_xludf.AGGREGATE(15,6,ROW('Wash Sale Tracker'!$K$18:$K$498)/(('Wash Sale Tracker'!$K$18:$K$498="Yes")*(ROW('Wash Sale Tracker'!$K$18:$K$498)&gt;A242)),1),"")</f>
        <v/>
      </c>
      <c r="B243" s="69"/>
      <c r="C243" s="30"/>
      <c r="D243" s="69"/>
      <c r="E243" s="51"/>
      <c r="F243" s="51"/>
      <c r="G243" s="51"/>
      <c r="H243" s="63"/>
      <c r="I243" s="63"/>
      <c r="J243" s="25"/>
      <c r="K243" s="24"/>
      <c r="L243" s="74"/>
      <c r="M243" s="24"/>
    </row>
    <row r="244" spans="1:13" ht="20.100000000000001" customHeight="1" x14ac:dyDescent="0.2">
      <c r="A244" s="9" t="str">
        <f ca="1">IFERROR(_xludf.AGGREGATE(15,6,ROW('Wash Sale Tracker'!$K$18:$K$498)/(('Wash Sale Tracker'!$K$18:$K$498="Yes")*(ROW('Wash Sale Tracker'!$K$18:$K$498)&gt;A243)),1),"")</f>
        <v/>
      </c>
      <c r="B244" s="69"/>
      <c r="C244" s="30"/>
      <c r="D244" s="69"/>
      <c r="E244" s="51"/>
      <c r="F244" s="51"/>
      <c r="G244" s="51"/>
      <c r="H244" s="63"/>
      <c r="I244" s="63"/>
      <c r="J244" s="25"/>
      <c r="K244" s="24"/>
      <c r="L244" s="74"/>
      <c r="M244" s="24"/>
    </row>
    <row r="245" spans="1:13" ht="20.100000000000001" customHeight="1" x14ac:dyDescent="0.2">
      <c r="A245" s="9" t="str">
        <f ca="1">IFERROR(_xludf.AGGREGATE(15,6,ROW('Wash Sale Tracker'!$K$18:$K$498)/(('Wash Sale Tracker'!$K$18:$K$498="Yes")*(ROW('Wash Sale Tracker'!$K$18:$K$498)&gt;A244)),1),"")</f>
        <v/>
      </c>
      <c r="B245" s="69"/>
      <c r="C245" s="30"/>
      <c r="D245" s="69"/>
      <c r="E245" s="51"/>
      <c r="F245" s="51"/>
      <c r="G245" s="51"/>
      <c r="H245" s="63"/>
      <c r="I245" s="63"/>
      <c r="J245" s="25"/>
      <c r="K245" s="24"/>
      <c r="L245" s="74"/>
      <c r="M245" s="24"/>
    </row>
    <row r="246" spans="1:13" ht="20.100000000000001" customHeight="1" x14ac:dyDescent="0.2">
      <c r="A246" s="9" t="str">
        <f ca="1">IFERROR(_xludf.AGGREGATE(15,6,ROW('Wash Sale Tracker'!$K$18:$K$498)/(('Wash Sale Tracker'!$K$18:$K$498="Yes")*(ROW('Wash Sale Tracker'!$K$18:$K$498)&gt;A245)),1),"")</f>
        <v/>
      </c>
      <c r="B246" s="69"/>
      <c r="C246" s="30"/>
      <c r="D246" s="69"/>
      <c r="E246" s="51"/>
      <c r="F246" s="51"/>
      <c r="G246" s="51"/>
      <c r="H246" s="63"/>
      <c r="I246" s="63"/>
      <c r="J246" s="25"/>
      <c r="K246" s="24"/>
      <c r="L246" s="74"/>
      <c r="M246" s="24"/>
    </row>
    <row r="247" spans="1:13" ht="20.100000000000001" customHeight="1" x14ac:dyDescent="0.2">
      <c r="A247" s="9" t="str">
        <f ca="1">IFERROR(_xludf.AGGREGATE(15,6,ROW('Wash Sale Tracker'!$K$18:$K$498)/(('Wash Sale Tracker'!$K$18:$K$498="Yes")*(ROW('Wash Sale Tracker'!$K$18:$K$498)&gt;A246)),1),"")</f>
        <v/>
      </c>
      <c r="B247" s="69"/>
      <c r="C247" s="30"/>
      <c r="D247" s="69"/>
      <c r="E247" s="51"/>
      <c r="F247" s="51"/>
      <c r="G247" s="51"/>
      <c r="H247" s="63"/>
      <c r="I247" s="63"/>
      <c r="J247" s="25"/>
      <c r="K247" s="24"/>
      <c r="L247" s="74"/>
      <c r="M247" s="24"/>
    </row>
    <row r="248" spans="1:13" ht="20.100000000000001" customHeight="1" x14ac:dyDescent="0.2">
      <c r="A248" s="9" t="str">
        <f ca="1">IFERROR(_xludf.AGGREGATE(15,6,ROW('Wash Sale Tracker'!$K$18:$K$498)/(('Wash Sale Tracker'!$K$18:$K$498="Yes")*(ROW('Wash Sale Tracker'!$K$18:$K$498)&gt;A247)),1),"")</f>
        <v/>
      </c>
      <c r="B248" s="69"/>
      <c r="C248" s="30"/>
      <c r="D248" s="69"/>
      <c r="E248" s="51"/>
      <c r="F248" s="51"/>
      <c r="G248" s="51"/>
      <c r="H248" s="63"/>
      <c r="I248" s="63"/>
      <c r="J248" s="25"/>
      <c r="K248" s="24"/>
      <c r="L248" s="74"/>
      <c r="M248" s="24"/>
    </row>
    <row r="249" spans="1:13" ht="20.100000000000001" customHeight="1" x14ac:dyDescent="0.2">
      <c r="A249" s="9" t="str">
        <f ca="1">IFERROR(_xludf.AGGREGATE(15,6,ROW('Wash Sale Tracker'!$K$18:$K$498)/(('Wash Sale Tracker'!$K$18:$K$498="Yes")*(ROW('Wash Sale Tracker'!$K$18:$K$498)&gt;A248)),1),"")</f>
        <v/>
      </c>
      <c r="B249" s="69"/>
      <c r="C249" s="30"/>
      <c r="D249" s="69"/>
      <c r="E249" s="51"/>
      <c r="F249" s="51"/>
      <c r="G249" s="51"/>
      <c r="H249" s="63"/>
      <c r="I249" s="63"/>
      <c r="J249" s="25"/>
      <c r="K249" s="24"/>
      <c r="L249" s="74"/>
      <c r="M249" s="24"/>
    </row>
    <row r="250" spans="1:13" ht="20.100000000000001" customHeight="1" x14ac:dyDescent="0.2">
      <c r="A250" s="9" t="str">
        <f ca="1">IFERROR(_xludf.AGGREGATE(15,6,ROW('Wash Sale Tracker'!$K$18:$K$498)/(('Wash Sale Tracker'!$K$18:$K$498="Yes")*(ROW('Wash Sale Tracker'!$K$18:$K$498)&gt;A249)),1),"")</f>
        <v/>
      </c>
      <c r="B250" s="69"/>
      <c r="C250" s="30"/>
      <c r="D250" s="69"/>
      <c r="E250" s="51"/>
      <c r="F250" s="51"/>
      <c r="G250" s="51"/>
      <c r="H250" s="63"/>
      <c r="I250" s="63"/>
      <c r="J250" s="25"/>
      <c r="K250" s="24"/>
      <c r="L250" s="74"/>
      <c r="M250" s="24"/>
    </row>
    <row r="251" spans="1:13" ht="20.100000000000001" customHeight="1" x14ac:dyDescent="0.2">
      <c r="A251" s="9" t="str">
        <f ca="1">IFERROR(_xludf.AGGREGATE(15,6,ROW('Wash Sale Tracker'!$K$18:$K$498)/(('Wash Sale Tracker'!$K$18:$K$498="Yes")*(ROW('Wash Sale Tracker'!$K$18:$K$498)&gt;A250)),1),"")</f>
        <v/>
      </c>
      <c r="B251" s="69"/>
      <c r="C251" s="30"/>
      <c r="D251" s="69"/>
      <c r="E251" s="51"/>
      <c r="F251" s="51"/>
      <c r="G251" s="51"/>
      <c r="H251" s="63"/>
      <c r="I251" s="63"/>
      <c r="J251" s="25"/>
      <c r="K251" s="24"/>
      <c r="L251" s="74"/>
      <c r="M251" s="24"/>
    </row>
    <row r="252" spans="1:13" ht="20.100000000000001" customHeight="1" x14ac:dyDescent="0.2">
      <c r="A252" s="9" t="str">
        <f ca="1">IFERROR(_xludf.AGGREGATE(15,6,ROW('Wash Sale Tracker'!$K$18:$K$498)/(('Wash Sale Tracker'!$K$18:$K$498="Yes")*(ROW('Wash Sale Tracker'!$K$18:$K$498)&gt;A251)),1),"")</f>
        <v/>
      </c>
      <c r="B252" s="69"/>
      <c r="C252" s="30"/>
      <c r="D252" s="69"/>
      <c r="E252" s="51"/>
      <c r="F252" s="51"/>
      <c r="G252" s="51"/>
      <c r="H252" s="63"/>
      <c r="I252" s="63"/>
      <c r="J252" s="25"/>
      <c r="K252" s="24"/>
      <c r="L252" s="74"/>
      <c r="M252" s="24"/>
    </row>
    <row r="253" spans="1:13" ht="20.100000000000001" customHeight="1" x14ac:dyDescent="0.2">
      <c r="A253" s="9" t="str">
        <f ca="1">IFERROR(_xludf.AGGREGATE(15,6,ROW('Wash Sale Tracker'!$K$18:$K$498)/(('Wash Sale Tracker'!$K$18:$K$498="Yes")*(ROW('Wash Sale Tracker'!$K$18:$K$498)&gt;A252)),1),"")</f>
        <v/>
      </c>
      <c r="B253" s="69"/>
      <c r="C253" s="30"/>
      <c r="D253" s="69"/>
      <c r="E253" s="51"/>
      <c r="F253" s="51"/>
      <c r="G253" s="51"/>
      <c r="H253" s="63"/>
      <c r="I253" s="63"/>
      <c r="J253" s="25"/>
      <c r="K253" s="24"/>
      <c r="L253" s="74"/>
      <c r="M253" s="24"/>
    </row>
    <row r="254" spans="1:13" ht="20.100000000000001" customHeight="1" x14ac:dyDescent="0.2">
      <c r="A254" s="9" t="str">
        <f ca="1">IFERROR(_xludf.AGGREGATE(15,6,ROW('Wash Sale Tracker'!$K$18:$K$498)/(('Wash Sale Tracker'!$K$18:$K$498="Yes")*(ROW('Wash Sale Tracker'!$K$18:$K$498)&gt;A253)),1),"")</f>
        <v/>
      </c>
      <c r="B254" s="69"/>
      <c r="C254" s="30"/>
      <c r="D254" s="69"/>
      <c r="E254" s="51"/>
      <c r="F254" s="51"/>
      <c r="G254" s="51"/>
      <c r="H254" s="63"/>
      <c r="I254" s="63"/>
      <c r="J254" s="25"/>
      <c r="K254" s="24"/>
      <c r="L254" s="74"/>
      <c r="M254" s="24"/>
    </row>
    <row r="255" spans="1:13" ht="20.100000000000001" customHeight="1" x14ac:dyDescent="0.2">
      <c r="A255" s="9" t="str">
        <f ca="1">IFERROR(_xludf.AGGREGATE(15,6,ROW('Wash Sale Tracker'!$K$18:$K$498)/(('Wash Sale Tracker'!$K$18:$K$498="Yes")*(ROW('Wash Sale Tracker'!$K$18:$K$498)&gt;A254)),1),"")</f>
        <v/>
      </c>
      <c r="B255" s="69"/>
      <c r="C255" s="30"/>
      <c r="D255" s="69"/>
      <c r="E255" s="51"/>
      <c r="F255" s="51"/>
      <c r="G255" s="51"/>
      <c r="H255" s="63"/>
      <c r="I255" s="63"/>
      <c r="J255" s="25"/>
      <c r="K255" s="24"/>
      <c r="L255" s="74"/>
      <c r="M255" s="24"/>
    </row>
    <row r="256" spans="1:13" ht="20.100000000000001" customHeight="1" x14ac:dyDescent="0.2">
      <c r="A256" s="9" t="str">
        <f ca="1">IFERROR(_xludf.AGGREGATE(15,6,ROW('Wash Sale Tracker'!$K$18:$K$498)/(('Wash Sale Tracker'!$K$18:$K$498="Yes")*(ROW('Wash Sale Tracker'!$K$18:$K$498)&gt;A255)),1),"")</f>
        <v/>
      </c>
      <c r="B256" s="69"/>
      <c r="C256" s="30"/>
      <c r="D256" s="69"/>
      <c r="E256" s="51"/>
      <c r="F256" s="51"/>
      <c r="G256" s="51"/>
      <c r="H256" s="63"/>
      <c r="I256" s="63"/>
      <c r="J256" s="25"/>
      <c r="K256" s="24"/>
      <c r="L256" s="74"/>
      <c r="M256" s="24"/>
    </row>
    <row r="257" spans="1:13" ht="20.100000000000001" customHeight="1" x14ac:dyDescent="0.2">
      <c r="A257" s="9" t="str">
        <f ca="1">IFERROR(_xludf.AGGREGATE(15,6,ROW('Wash Sale Tracker'!$K$18:$K$498)/(('Wash Sale Tracker'!$K$18:$K$498="Yes")*(ROW('Wash Sale Tracker'!$K$18:$K$498)&gt;A256)),1),"")</f>
        <v/>
      </c>
      <c r="B257" s="69"/>
      <c r="C257" s="30"/>
      <c r="D257" s="69"/>
      <c r="E257" s="51"/>
      <c r="F257" s="51"/>
      <c r="G257" s="51"/>
      <c r="H257" s="63"/>
      <c r="I257" s="63"/>
      <c r="J257" s="25"/>
      <c r="K257" s="24"/>
      <c r="L257" s="74"/>
      <c r="M257" s="24"/>
    </row>
    <row r="258" spans="1:13" ht="20.100000000000001" customHeight="1" x14ac:dyDescent="0.2">
      <c r="A258" s="9" t="str">
        <f ca="1">IFERROR(_xludf.AGGREGATE(15,6,ROW('Wash Sale Tracker'!$K$18:$K$498)/(('Wash Sale Tracker'!$K$18:$K$498="Yes")*(ROW('Wash Sale Tracker'!$K$18:$K$498)&gt;A257)),1),"")</f>
        <v/>
      </c>
      <c r="B258" s="69"/>
      <c r="C258" s="30"/>
      <c r="D258" s="69"/>
      <c r="E258" s="51"/>
      <c r="F258" s="51"/>
      <c r="G258" s="51"/>
      <c r="H258" s="63"/>
      <c r="I258" s="63"/>
      <c r="J258" s="25"/>
      <c r="K258" s="24"/>
      <c r="L258" s="74"/>
      <c r="M258" s="24"/>
    </row>
    <row r="259" spans="1:13" ht="20.100000000000001" customHeight="1" x14ac:dyDescent="0.2">
      <c r="A259" s="9" t="str">
        <f ca="1">IFERROR(_xludf.AGGREGATE(15,6,ROW('Wash Sale Tracker'!$K$18:$K$498)/(('Wash Sale Tracker'!$K$18:$K$498="Yes")*(ROW('Wash Sale Tracker'!$K$18:$K$498)&gt;A258)),1),"")</f>
        <v/>
      </c>
      <c r="B259" s="69"/>
      <c r="C259" s="30"/>
      <c r="D259" s="69"/>
      <c r="E259" s="51"/>
      <c r="F259" s="51"/>
      <c r="G259" s="51"/>
      <c r="H259" s="63"/>
      <c r="I259" s="63"/>
      <c r="J259" s="25"/>
      <c r="K259" s="24"/>
      <c r="L259" s="74"/>
      <c r="M259" s="24"/>
    </row>
    <row r="260" spans="1:13" ht="20.100000000000001" customHeight="1" x14ac:dyDescent="0.2">
      <c r="A260" s="9" t="str">
        <f ca="1">IFERROR(_xludf.AGGREGATE(15,6,ROW('Wash Sale Tracker'!$K$18:$K$498)/(('Wash Sale Tracker'!$K$18:$K$498="Yes")*(ROW('Wash Sale Tracker'!$K$18:$K$498)&gt;A259)),1),"")</f>
        <v/>
      </c>
      <c r="B260" s="69"/>
      <c r="C260" s="30"/>
      <c r="D260" s="69"/>
      <c r="E260" s="51"/>
      <c r="F260" s="51"/>
      <c r="G260" s="51"/>
      <c r="H260" s="63"/>
      <c r="I260" s="63"/>
      <c r="J260" s="25"/>
      <c r="K260" s="24"/>
      <c r="L260" s="74"/>
      <c r="M260" s="24"/>
    </row>
    <row r="261" spans="1:13" ht="20.100000000000001" customHeight="1" x14ac:dyDescent="0.2">
      <c r="A261" s="9" t="str">
        <f ca="1">IFERROR(_xludf.AGGREGATE(15,6,ROW('Wash Sale Tracker'!$K$18:$K$498)/(('Wash Sale Tracker'!$K$18:$K$498="Yes")*(ROW('Wash Sale Tracker'!$K$18:$K$498)&gt;A260)),1),"")</f>
        <v/>
      </c>
      <c r="B261" s="69"/>
      <c r="C261" s="30"/>
      <c r="D261" s="69"/>
      <c r="E261" s="51"/>
      <c r="F261" s="51"/>
      <c r="G261" s="51"/>
      <c r="H261" s="63"/>
      <c r="I261" s="63"/>
      <c r="J261" s="25"/>
      <c r="K261" s="24"/>
      <c r="L261" s="74"/>
      <c r="M261" s="24"/>
    </row>
    <row r="262" spans="1:13" ht="20.100000000000001" customHeight="1" x14ac:dyDescent="0.2">
      <c r="A262" s="9" t="str">
        <f ca="1">IFERROR(_xludf.AGGREGATE(15,6,ROW('Wash Sale Tracker'!$K$18:$K$498)/(('Wash Sale Tracker'!$K$18:$K$498="Yes")*(ROW('Wash Sale Tracker'!$K$18:$K$498)&gt;A261)),1),"")</f>
        <v/>
      </c>
      <c r="B262" s="69"/>
      <c r="C262" s="30"/>
      <c r="D262" s="69"/>
      <c r="E262" s="51"/>
      <c r="F262" s="51"/>
      <c r="G262" s="51"/>
      <c r="H262" s="63"/>
      <c r="I262" s="63"/>
      <c r="J262" s="25"/>
      <c r="K262" s="24"/>
      <c r="L262" s="74"/>
      <c r="M262" s="24"/>
    </row>
    <row r="263" spans="1:13" ht="20.100000000000001" customHeight="1" x14ac:dyDescent="0.2">
      <c r="A263" s="9" t="str">
        <f ca="1">IFERROR(_xludf.AGGREGATE(15,6,ROW('Wash Sale Tracker'!$K$18:$K$498)/(('Wash Sale Tracker'!$K$18:$K$498="Yes")*(ROW('Wash Sale Tracker'!$K$18:$K$498)&gt;A262)),1),"")</f>
        <v/>
      </c>
      <c r="B263" s="69"/>
      <c r="C263" s="30"/>
      <c r="D263" s="69"/>
      <c r="E263" s="51"/>
      <c r="F263" s="51"/>
      <c r="G263" s="51"/>
      <c r="H263" s="63"/>
      <c r="I263" s="63"/>
      <c r="J263" s="25"/>
      <c r="K263" s="24"/>
      <c r="L263" s="74"/>
      <c r="M263" s="24"/>
    </row>
    <row r="264" spans="1:13" ht="20.100000000000001" customHeight="1" x14ac:dyDescent="0.2">
      <c r="A264" s="9" t="str">
        <f ca="1">IFERROR(_xludf.AGGREGATE(15,6,ROW('Wash Sale Tracker'!$K$18:$K$498)/(('Wash Sale Tracker'!$K$18:$K$498="Yes")*(ROW('Wash Sale Tracker'!$K$18:$K$498)&gt;A263)),1),"")</f>
        <v/>
      </c>
      <c r="B264" s="69"/>
      <c r="C264" s="30"/>
      <c r="D264" s="69"/>
      <c r="E264" s="51"/>
      <c r="F264" s="51"/>
      <c r="G264" s="51"/>
      <c r="H264" s="63"/>
      <c r="I264" s="63"/>
      <c r="J264" s="25"/>
      <c r="K264" s="24"/>
      <c r="L264" s="74"/>
      <c r="M264" s="24"/>
    </row>
    <row r="265" spans="1:13" ht="20.100000000000001" customHeight="1" x14ac:dyDescent="0.2">
      <c r="A265" s="9" t="str">
        <f ca="1">IFERROR(_xludf.AGGREGATE(15,6,ROW('Wash Sale Tracker'!$K$18:$K$498)/(('Wash Sale Tracker'!$K$18:$K$498="Yes")*(ROW('Wash Sale Tracker'!$K$18:$K$498)&gt;A264)),1),"")</f>
        <v/>
      </c>
      <c r="B265" s="69"/>
      <c r="C265" s="30"/>
      <c r="D265" s="69"/>
      <c r="E265" s="51"/>
      <c r="F265" s="51"/>
      <c r="G265" s="51"/>
      <c r="H265" s="63"/>
      <c r="I265" s="63"/>
      <c r="J265" s="25"/>
      <c r="K265" s="24"/>
      <c r="L265" s="74"/>
      <c r="M265" s="24"/>
    </row>
    <row r="266" spans="1:13" ht="20.100000000000001" customHeight="1" x14ac:dyDescent="0.2">
      <c r="A266" s="9" t="str">
        <f ca="1">IFERROR(_xludf.AGGREGATE(15,6,ROW('Wash Sale Tracker'!$K$18:$K$498)/(('Wash Sale Tracker'!$K$18:$K$498="Yes")*(ROW('Wash Sale Tracker'!$K$18:$K$498)&gt;A265)),1),"")</f>
        <v/>
      </c>
      <c r="B266" s="69"/>
      <c r="C266" s="30"/>
      <c r="D266" s="69"/>
      <c r="E266" s="51"/>
      <c r="F266" s="51"/>
      <c r="G266" s="51"/>
      <c r="H266" s="63"/>
      <c r="I266" s="63"/>
      <c r="J266" s="25"/>
      <c r="K266" s="24"/>
      <c r="L266" s="74"/>
      <c r="M266" s="24"/>
    </row>
    <row r="267" spans="1:13" ht="20.100000000000001" customHeight="1" x14ac:dyDescent="0.2">
      <c r="A267" s="9" t="str">
        <f ca="1">IFERROR(_xludf.AGGREGATE(15,6,ROW('Wash Sale Tracker'!$K$18:$K$498)/(('Wash Sale Tracker'!$K$18:$K$498="Yes")*(ROW('Wash Sale Tracker'!$K$18:$K$498)&gt;A266)),1),"")</f>
        <v/>
      </c>
      <c r="B267" s="69"/>
      <c r="C267" s="30"/>
      <c r="D267" s="69"/>
      <c r="E267" s="51"/>
      <c r="F267" s="51"/>
      <c r="G267" s="51"/>
      <c r="H267" s="63"/>
      <c r="I267" s="63"/>
      <c r="J267" s="25"/>
      <c r="K267" s="24"/>
      <c r="L267" s="74"/>
      <c r="M267" s="24"/>
    </row>
    <row r="268" spans="1:13" ht="20.100000000000001" customHeight="1" x14ac:dyDescent="0.2">
      <c r="A268" s="9" t="str">
        <f ca="1">IFERROR(_xludf.AGGREGATE(15,6,ROW('Wash Sale Tracker'!$K$18:$K$498)/(('Wash Sale Tracker'!$K$18:$K$498="Yes")*(ROW('Wash Sale Tracker'!$K$18:$K$498)&gt;A267)),1),"")</f>
        <v/>
      </c>
      <c r="B268" s="69"/>
      <c r="C268" s="30"/>
      <c r="D268" s="69"/>
      <c r="E268" s="51"/>
      <c r="F268" s="51"/>
      <c r="G268" s="51"/>
      <c r="H268" s="63"/>
      <c r="I268" s="63"/>
      <c r="J268" s="25"/>
      <c r="K268" s="24"/>
      <c r="L268" s="74"/>
      <c r="M268" s="24"/>
    </row>
    <row r="269" spans="1:13" ht="20.100000000000001" customHeight="1" x14ac:dyDescent="0.2">
      <c r="A269" s="9" t="str">
        <f ca="1">IFERROR(_xludf.AGGREGATE(15,6,ROW('Wash Sale Tracker'!$K$18:$K$498)/(('Wash Sale Tracker'!$K$18:$K$498="Yes")*(ROW('Wash Sale Tracker'!$K$18:$K$498)&gt;A268)),1),"")</f>
        <v/>
      </c>
      <c r="B269" s="69"/>
      <c r="C269" s="30"/>
      <c r="D269" s="69"/>
      <c r="E269" s="51"/>
      <c r="F269" s="51"/>
      <c r="G269" s="51"/>
      <c r="H269" s="63"/>
      <c r="I269" s="63"/>
      <c r="J269" s="25"/>
      <c r="K269" s="24"/>
      <c r="L269" s="74"/>
      <c r="M269" s="24"/>
    </row>
    <row r="270" spans="1:13" ht="20.100000000000001" customHeight="1" x14ac:dyDescent="0.2">
      <c r="A270" s="9" t="str">
        <f ca="1">IFERROR(_xludf.AGGREGATE(15,6,ROW('Wash Sale Tracker'!$K$18:$K$498)/(('Wash Sale Tracker'!$K$18:$K$498="Yes")*(ROW('Wash Sale Tracker'!$K$18:$K$498)&gt;A269)),1),"")</f>
        <v/>
      </c>
      <c r="B270" s="69"/>
      <c r="C270" s="30"/>
      <c r="D270" s="69"/>
      <c r="E270" s="51"/>
      <c r="F270" s="51"/>
      <c r="G270" s="51"/>
      <c r="H270" s="63"/>
      <c r="I270" s="63"/>
      <c r="J270" s="25"/>
      <c r="K270" s="24"/>
      <c r="L270" s="74"/>
      <c r="M270" s="24"/>
    </row>
    <row r="271" spans="1:13" ht="20.100000000000001" customHeight="1" x14ac:dyDescent="0.2">
      <c r="A271" s="9" t="str">
        <f ca="1">IFERROR(_xludf.AGGREGATE(15,6,ROW('Wash Sale Tracker'!$K$18:$K$498)/(('Wash Sale Tracker'!$K$18:$K$498="Yes")*(ROW('Wash Sale Tracker'!$K$18:$K$498)&gt;A270)),1),"")</f>
        <v/>
      </c>
      <c r="B271" s="69"/>
      <c r="C271" s="30"/>
      <c r="D271" s="69"/>
      <c r="E271" s="51"/>
      <c r="F271" s="51"/>
      <c r="G271" s="51"/>
      <c r="H271" s="63"/>
      <c r="I271" s="63"/>
      <c r="J271" s="25"/>
      <c r="K271" s="24"/>
      <c r="L271" s="74"/>
      <c r="M271" s="24"/>
    </row>
    <row r="272" spans="1:13" ht="20.100000000000001" customHeight="1" x14ac:dyDescent="0.2">
      <c r="A272" s="9" t="str">
        <f ca="1">IFERROR(_xludf.AGGREGATE(15,6,ROW('Wash Sale Tracker'!$K$18:$K$498)/(('Wash Sale Tracker'!$K$18:$K$498="Yes")*(ROW('Wash Sale Tracker'!$K$18:$K$498)&gt;A271)),1),"")</f>
        <v/>
      </c>
      <c r="B272" s="69"/>
      <c r="C272" s="30"/>
      <c r="D272" s="69"/>
      <c r="E272" s="51"/>
      <c r="F272" s="51"/>
      <c r="G272" s="51"/>
      <c r="H272" s="63"/>
      <c r="I272" s="63"/>
      <c r="J272" s="25"/>
      <c r="K272" s="24"/>
      <c r="L272" s="74"/>
      <c r="M272" s="24"/>
    </row>
    <row r="273" spans="1:13" ht="20.100000000000001" customHeight="1" x14ac:dyDescent="0.2">
      <c r="A273" s="9" t="str">
        <f ca="1">IFERROR(_xludf.AGGREGATE(15,6,ROW('Wash Sale Tracker'!$K$18:$K$498)/(('Wash Sale Tracker'!$K$18:$K$498="Yes")*(ROW('Wash Sale Tracker'!$K$18:$K$498)&gt;A272)),1),"")</f>
        <v/>
      </c>
      <c r="B273" s="69"/>
      <c r="C273" s="30"/>
      <c r="D273" s="69"/>
      <c r="E273" s="51"/>
      <c r="F273" s="51"/>
      <c r="G273" s="51"/>
      <c r="H273" s="63"/>
      <c r="I273" s="63"/>
      <c r="J273" s="25"/>
      <c r="K273" s="24"/>
      <c r="L273" s="74"/>
      <c r="M273" s="24"/>
    </row>
    <row r="274" spans="1:13" ht="20.100000000000001" customHeight="1" x14ac:dyDescent="0.2">
      <c r="A274" s="9" t="str">
        <f ca="1">IFERROR(_xludf.AGGREGATE(15,6,ROW('Wash Sale Tracker'!$K$18:$K$498)/(('Wash Sale Tracker'!$K$18:$K$498="Yes")*(ROW('Wash Sale Tracker'!$K$18:$K$498)&gt;A273)),1),"")</f>
        <v/>
      </c>
      <c r="B274" s="69"/>
      <c r="C274" s="30"/>
      <c r="D274" s="69"/>
      <c r="E274" s="51"/>
      <c r="F274" s="51"/>
      <c r="G274" s="51"/>
      <c r="H274" s="63"/>
      <c r="I274" s="63"/>
      <c r="J274" s="25"/>
      <c r="K274" s="24"/>
      <c r="L274" s="74"/>
      <c r="M274" s="24"/>
    </row>
    <row r="275" spans="1:13" ht="20.100000000000001" customHeight="1" x14ac:dyDescent="0.2">
      <c r="A275" s="9" t="str">
        <f ca="1">IFERROR(_xludf.AGGREGATE(15,6,ROW('Wash Sale Tracker'!$K$18:$K$498)/(('Wash Sale Tracker'!$K$18:$K$498="Yes")*(ROW('Wash Sale Tracker'!$K$18:$K$498)&gt;A274)),1),"")</f>
        <v/>
      </c>
      <c r="B275" s="69"/>
      <c r="C275" s="30"/>
      <c r="D275" s="69"/>
      <c r="E275" s="51"/>
      <c r="F275" s="51"/>
      <c r="G275" s="51"/>
      <c r="H275" s="63"/>
      <c r="I275" s="63"/>
      <c r="J275" s="25"/>
      <c r="K275" s="24"/>
      <c r="L275" s="74"/>
      <c r="M275" s="24"/>
    </row>
    <row r="276" spans="1:13" ht="20.100000000000001" customHeight="1" x14ac:dyDescent="0.2">
      <c r="A276" s="9" t="str">
        <f ca="1">IFERROR(_xludf.AGGREGATE(15,6,ROW('Wash Sale Tracker'!$K$18:$K$498)/(('Wash Sale Tracker'!$K$18:$K$498="Yes")*(ROW('Wash Sale Tracker'!$K$18:$K$498)&gt;A275)),1),"")</f>
        <v/>
      </c>
      <c r="B276" s="69"/>
      <c r="C276" s="30"/>
      <c r="D276" s="69"/>
      <c r="E276" s="51"/>
      <c r="F276" s="51"/>
      <c r="G276" s="51"/>
      <c r="H276" s="63"/>
      <c r="I276" s="63"/>
      <c r="J276" s="25"/>
      <c r="K276" s="24"/>
      <c r="L276" s="74"/>
      <c r="M276" s="24"/>
    </row>
    <row r="277" spans="1:13" ht="20.100000000000001" customHeight="1" x14ac:dyDescent="0.2">
      <c r="A277" s="9" t="str">
        <f ca="1">IFERROR(_xludf.AGGREGATE(15,6,ROW('Wash Sale Tracker'!$K$18:$K$498)/(('Wash Sale Tracker'!$K$18:$K$498="Yes")*(ROW('Wash Sale Tracker'!$K$18:$K$498)&gt;A276)),1),"")</f>
        <v/>
      </c>
      <c r="B277" s="69"/>
      <c r="C277" s="30"/>
      <c r="D277" s="69"/>
      <c r="E277" s="51"/>
      <c r="F277" s="51"/>
      <c r="G277" s="51"/>
      <c r="H277" s="63"/>
      <c r="I277" s="63"/>
      <c r="J277" s="25"/>
      <c r="K277" s="24"/>
      <c r="L277" s="74"/>
      <c r="M277" s="24"/>
    </row>
    <row r="278" spans="1:13" ht="20.100000000000001" customHeight="1" x14ac:dyDescent="0.2">
      <c r="A278" s="9" t="str">
        <f ca="1">IFERROR(_xludf.AGGREGATE(15,6,ROW('Wash Sale Tracker'!$K$18:$K$498)/(('Wash Sale Tracker'!$K$18:$K$498="Yes")*(ROW('Wash Sale Tracker'!$K$18:$K$498)&gt;A277)),1),"")</f>
        <v/>
      </c>
      <c r="B278" s="69"/>
      <c r="C278" s="30"/>
      <c r="D278" s="69"/>
      <c r="E278" s="51"/>
      <c r="F278" s="51"/>
      <c r="G278" s="51"/>
      <c r="H278" s="63"/>
      <c r="I278" s="63"/>
      <c r="J278" s="25"/>
      <c r="K278" s="24"/>
      <c r="L278" s="74"/>
      <c r="M278" s="24"/>
    </row>
    <row r="279" spans="1:13" ht="20.100000000000001" customHeight="1" x14ac:dyDescent="0.2">
      <c r="A279" s="9" t="str">
        <f ca="1">IFERROR(_xludf.AGGREGATE(15,6,ROW('Wash Sale Tracker'!$K$18:$K$498)/(('Wash Sale Tracker'!$K$18:$K$498="Yes")*(ROW('Wash Sale Tracker'!$K$18:$K$498)&gt;A278)),1),"")</f>
        <v/>
      </c>
      <c r="B279" s="69"/>
      <c r="C279" s="30"/>
      <c r="D279" s="69"/>
      <c r="E279" s="51"/>
      <c r="F279" s="51"/>
      <c r="G279" s="51"/>
      <c r="H279" s="63"/>
      <c r="I279" s="63"/>
      <c r="J279" s="25"/>
      <c r="K279" s="24"/>
      <c r="L279" s="74"/>
      <c r="M279" s="24"/>
    </row>
    <row r="280" spans="1:13" ht="20.100000000000001" customHeight="1" x14ac:dyDescent="0.2">
      <c r="A280" s="9" t="str">
        <f ca="1">IFERROR(_xludf.AGGREGATE(15,6,ROW('Wash Sale Tracker'!$K$18:$K$498)/(('Wash Sale Tracker'!$K$18:$K$498="Yes")*(ROW('Wash Sale Tracker'!$K$18:$K$498)&gt;A279)),1),"")</f>
        <v/>
      </c>
      <c r="B280" s="69"/>
      <c r="C280" s="30"/>
      <c r="D280" s="69"/>
      <c r="E280" s="51"/>
      <c r="F280" s="51"/>
      <c r="G280" s="51"/>
      <c r="H280" s="63"/>
      <c r="I280" s="63"/>
      <c r="J280" s="25"/>
      <c r="K280" s="24"/>
      <c r="L280" s="74"/>
      <c r="M280" s="24"/>
    </row>
    <row r="281" spans="1:13" ht="20.100000000000001" customHeight="1" x14ac:dyDescent="0.2">
      <c r="A281" s="9" t="str">
        <f ca="1">IFERROR(_xludf.AGGREGATE(15,6,ROW('Wash Sale Tracker'!$K$18:$K$498)/(('Wash Sale Tracker'!$K$18:$K$498="Yes")*(ROW('Wash Sale Tracker'!$K$18:$K$498)&gt;A280)),1),"")</f>
        <v/>
      </c>
      <c r="B281" s="69"/>
      <c r="C281" s="30"/>
      <c r="D281" s="69"/>
      <c r="E281" s="51"/>
      <c r="F281" s="51"/>
      <c r="G281" s="51"/>
      <c r="H281" s="63"/>
      <c r="I281" s="63"/>
      <c r="J281" s="25"/>
      <c r="K281" s="24"/>
      <c r="L281" s="74"/>
      <c r="M281" s="24"/>
    </row>
    <row r="282" spans="1:13" ht="20.100000000000001" customHeight="1" x14ac:dyDescent="0.2">
      <c r="A282" s="9" t="str">
        <f ca="1">IFERROR(_xludf.AGGREGATE(15,6,ROW('Wash Sale Tracker'!$K$18:$K$498)/(('Wash Sale Tracker'!$K$18:$K$498="Yes")*(ROW('Wash Sale Tracker'!$K$18:$K$498)&gt;A281)),1),"")</f>
        <v/>
      </c>
      <c r="B282" s="69"/>
      <c r="C282" s="30"/>
      <c r="D282" s="69"/>
      <c r="E282" s="51"/>
      <c r="F282" s="51"/>
      <c r="G282" s="51"/>
      <c r="H282" s="63"/>
      <c r="I282" s="63"/>
      <c r="J282" s="25"/>
      <c r="K282" s="24"/>
      <c r="L282" s="74"/>
      <c r="M282" s="24"/>
    </row>
    <row r="283" spans="1:13" ht="20.100000000000001" customHeight="1" x14ac:dyDescent="0.2">
      <c r="A283" s="9" t="str">
        <f ca="1">IFERROR(_xludf.AGGREGATE(15,6,ROW('Wash Sale Tracker'!$K$18:$K$498)/(('Wash Sale Tracker'!$K$18:$K$498="Yes")*(ROW('Wash Sale Tracker'!$K$18:$K$498)&gt;A282)),1),"")</f>
        <v/>
      </c>
      <c r="B283" s="69"/>
      <c r="C283" s="30"/>
      <c r="D283" s="69"/>
      <c r="E283" s="51"/>
      <c r="F283" s="51"/>
      <c r="G283" s="51"/>
      <c r="H283" s="63"/>
      <c r="I283" s="63"/>
      <c r="J283" s="25"/>
      <c r="K283" s="24"/>
      <c r="L283" s="74"/>
      <c r="M283" s="24"/>
    </row>
    <row r="284" spans="1:13" ht="20.100000000000001" customHeight="1" x14ac:dyDescent="0.2">
      <c r="A284" s="9" t="str">
        <f ca="1">IFERROR(_xludf.AGGREGATE(15,6,ROW('Wash Sale Tracker'!$K$18:$K$498)/(('Wash Sale Tracker'!$K$18:$K$498="Yes")*(ROW('Wash Sale Tracker'!$K$18:$K$498)&gt;A283)),1),"")</f>
        <v/>
      </c>
      <c r="B284" s="69"/>
      <c r="C284" s="30"/>
      <c r="D284" s="69"/>
      <c r="E284" s="51"/>
      <c r="F284" s="51"/>
      <c r="G284" s="51"/>
      <c r="H284" s="63"/>
      <c r="I284" s="63"/>
      <c r="J284" s="25"/>
      <c r="K284" s="24"/>
      <c r="L284" s="74"/>
      <c r="M284" s="24"/>
    </row>
    <row r="285" spans="1:13" ht="20.100000000000001" customHeight="1" x14ac:dyDescent="0.2">
      <c r="A285" s="9" t="str">
        <f ca="1">IFERROR(_xludf.AGGREGATE(15,6,ROW('Wash Sale Tracker'!$K$18:$K$498)/(('Wash Sale Tracker'!$K$18:$K$498="Yes")*(ROW('Wash Sale Tracker'!$K$18:$K$498)&gt;A284)),1),"")</f>
        <v/>
      </c>
      <c r="B285" s="69"/>
      <c r="C285" s="30"/>
      <c r="D285" s="69"/>
      <c r="E285" s="51"/>
      <c r="F285" s="51"/>
      <c r="G285" s="51"/>
      <c r="H285" s="63"/>
      <c r="I285" s="63"/>
      <c r="J285" s="25"/>
      <c r="K285" s="24"/>
      <c r="L285" s="74"/>
      <c r="M285" s="24"/>
    </row>
    <row r="286" spans="1:13" ht="20.100000000000001" customHeight="1" x14ac:dyDescent="0.2">
      <c r="A286" s="9" t="str">
        <f ca="1">IFERROR(_xludf.AGGREGATE(15,6,ROW('Wash Sale Tracker'!$K$18:$K$498)/(('Wash Sale Tracker'!$K$18:$K$498="Yes")*(ROW('Wash Sale Tracker'!$K$18:$K$498)&gt;A285)),1),"")</f>
        <v/>
      </c>
      <c r="B286" s="69"/>
      <c r="C286" s="30"/>
      <c r="D286" s="69"/>
      <c r="E286" s="51"/>
      <c r="F286" s="51"/>
      <c r="G286" s="51"/>
      <c r="H286" s="63"/>
      <c r="I286" s="63"/>
      <c r="J286" s="25"/>
      <c r="K286" s="24"/>
      <c r="L286" s="74"/>
      <c r="M286" s="24"/>
    </row>
    <row r="287" spans="1:13" ht="20.100000000000001" customHeight="1" x14ac:dyDescent="0.2">
      <c r="A287" s="9" t="str">
        <f ca="1">IFERROR(_xludf.AGGREGATE(15,6,ROW('Wash Sale Tracker'!$K$18:$K$498)/(('Wash Sale Tracker'!$K$18:$K$498="Yes")*(ROW('Wash Sale Tracker'!$K$18:$K$498)&gt;A286)),1),"")</f>
        <v/>
      </c>
      <c r="B287" s="69"/>
      <c r="C287" s="30"/>
      <c r="D287" s="69"/>
      <c r="E287" s="51"/>
      <c r="F287" s="51"/>
      <c r="G287" s="51"/>
      <c r="H287" s="63"/>
      <c r="I287" s="63"/>
      <c r="J287" s="25"/>
      <c r="K287" s="24"/>
      <c r="L287" s="74"/>
      <c r="M287" s="24"/>
    </row>
    <row r="288" spans="1:13" ht="20.100000000000001" customHeight="1" x14ac:dyDescent="0.2">
      <c r="A288" s="9" t="str">
        <f ca="1">IFERROR(_xludf.AGGREGATE(15,6,ROW('Wash Sale Tracker'!$K$18:$K$498)/(('Wash Sale Tracker'!$K$18:$K$498="Yes")*(ROW('Wash Sale Tracker'!$K$18:$K$498)&gt;A287)),1),"")</f>
        <v/>
      </c>
      <c r="B288" s="69"/>
      <c r="C288" s="30"/>
      <c r="D288" s="69"/>
      <c r="E288" s="51"/>
      <c r="F288" s="51"/>
      <c r="G288" s="51"/>
      <c r="H288" s="63"/>
      <c r="I288" s="63"/>
      <c r="J288" s="25"/>
      <c r="K288" s="24"/>
      <c r="L288" s="74"/>
      <c r="M288" s="24"/>
    </row>
    <row r="289" spans="1:13" ht="20.100000000000001" customHeight="1" x14ac:dyDescent="0.2">
      <c r="A289" s="9" t="str">
        <f ca="1">IFERROR(_xludf.AGGREGATE(15,6,ROW('Wash Sale Tracker'!$K$18:$K$498)/(('Wash Sale Tracker'!$K$18:$K$498="Yes")*(ROW('Wash Sale Tracker'!$K$18:$K$498)&gt;A288)),1),"")</f>
        <v/>
      </c>
      <c r="B289" s="69"/>
      <c r="C289" s="30"/>
      <c r="D289" s="69"/>
      <c r="E289" s="51"/>
      <c r="F289" s="51"/>
      <c r="G289" s="51"/>
      <c r="H289" s="63"/>
      <c r="I289" s="63"/>
      <c r="J289" s="25"/>
      <c r="K289" s="24"/>
      <c r="L289" s="74"/>
      <c r="M289" s="24"/>
    </row>
    <row r="290" spans="1:13" ht="20.100000000000001" customHeight="1" x14ac:dyDescent="0.2">
      <c r="A290" s="9" t="str">
        <f ca="1">IFERROR(_xludf.AGGREGATE(15,6,ROW('Wash Sale Tracker'!$K$18:$K$498)/(('Wash Sale Tracker'!$K$18:$K$498="Yes")*(ROW('Wash Sale Tracker'!$K$18:$K$498)&gt;A289)),1),"")</f>
        <v/>
      </c>
      <c r="B290" s="69"/>
      <c r="C290" s="30"/>
      <c r="D290" s="69"/>
      <c r="E290" s="51"/>
      <c r="F290" s="51"/>
      <c r="G290" s="51"/>
      <c r="H290" s="63"/>
      <c r="I290" s="63"/>
      <c r="J290" s="25"/>
      <c r="K290" s="24"/>
      <c r="L290" s="74"/>
      <c r="M290" s="24"/>
    </row>
    <row r="291" spans="1:13" ht="20.100000000000001" customHeight="1" x14ac:dyDescent="0.2">
      <c r="A291" s="9" t="str">
        <f ca="1">IFERROR(_xludf.AGGREGATE(15,6,ROW('Wash Sale Tracker'!$K$18:$K$498)/(('Wash Sale Tracker'!$K$18:$K$498="Yes")*(ROW('Wash Sale Tracker'!$K$18:$K$498)&gt;A290)),1),"")</f>
        <v/>
      </c>
      <c r="B291" s="69"/>
      <c r="C291" s="30"/>
      <c r="D291" s="69"/>
      <c r="E291" s="51"/>
      <c r="F291" s="51"/>
      <c r="G291" s="51"/>
      <c r="H291" s="63"/>
      <c r="I291" s="63"/>
      <c r="J291" s="25"/>
      <c r="K291" s="24"/>
      <c r="L291" s="74"/>
      <c r="M291" s="24"/>
    </row>
    <row r="292" spans="1:13" ht="20.100000000000001" customHeight="1" x14ac:dyDescent="0.2">
      <c r="A292" s="9" t="str">
        <f ca="1">IFERROR(_xludf.AGGREGATE(15,6,ROW('Wash Sale Tracker'!$K$18:$K$498)/(('Wash Sale Tracker'!$K$18:$K$498="Yes")*(ROW('Wash Sale Tracker'!$K$18:$K$498)&gt;A291)),1),"")</f>
        <v/>
      </c>
      <c r="B292" s="69"/>
      <c r="C292" s="30"/>
      <c r="D292" s="69"/>
      <c r="E292" s="51"/>
      <c r="F292" s="51"/>
      <c r="G292" s="51"/>
      <c r="H292" s="63"/>
      <c r="I292" s="63"/>
      <c r="J292" s="25"/>
      <c r="K292" s="24"/>
      <c r="L292" s="74"/>
      <c r="M292" s="24"/>
    </row>
    <row r="293" spans="1:13" ht="20.100000000000001" customHeight="1" x14ac:dyDescent="0.2">
      <c r="A293" s="9" t="str">
        <f ca="1">IFERROR(_xludf.AGGREGATE(15,6,ROW('Wash Sale Tracker'!$K$18:$K$498)/(('Wash Sale Tracker'!$K$18:$K$498="Yes")*(ROW('Wash Sale Tracker'!$K$18:$K$498)&gt;A292)),1),"")</f>
        <v/>
      </c>
      <c r="B293" s="69"/>
      <c r="C293" s="30"/>
      <c r="D293" s="69"/>
      <c r="E293" s="51"/>
      <c r="F293" s="51"/>
      <c r="G293" s="51"/>
      <c r="H293" s="63"/>
      <c r="I293" s="63"/>
      <c r="J293" s="25"/>
      <c r="K293" s="24"/>
      <c r="L293" s="74"/>
      <c r="M293" s="24"/>
    </row>
    <row r="294" spans="1:13" ht="20.100000000000001" customHeight="1" x14ac:dyDescent="0.2">
      <c r="A294" s="9" t="str">
        <f ca="1">IFERROR(_xludf.AGGREGATE(15,6,ROW('Wash Sale Tracker'!$K$18:$K$498)/(('Wash Sale Tracker'!$K$18:$K$498="Yes")*(ROW('Wash Sale Tracker'!$K$18:$K$498)&gt;A293)),1),"")</f>
        <v/>
      </c>
      <c r="B294" s="69"/>
      <c r="C294" s="30"/>
      <c r="D294" s="69"/>
      <c r="E294" s="51"/>
      <c r="F294" s="51"/>
      <c r="G294" s="51"/>
      <c r="H294" s="63"/>
      <c r="I294" s="63"/>
      <c r="J294" s="25"/>
      <c r="K294" s="24"/>
      <c r="L294" s="74"/>
      <c r="M294" s="24"/>
    </row>
    <row r="295" spans="1:13" ht="20.100000000000001" customHeight="1" x14ac:dyDescent="0.2">
      <c r="A295" s="9" t="str">
        <f ca="1">IFERROR(_xludf.AGGREGATE(15,6,ROW('Wash Sale Tracker'!$K$18:$K$498)/(('Wash Sale Tracker'!$K$18:$K$498="Yes")*(ROW('Wash Sale Tracker'!$K$18:$K$498)&gt;A294)),1),"")</f>
        <v/>
      </c>
      <c r="B295" s="69"/>
      <c r="C295" s="30"/>
      <c r="D295" s="69"/>
      <c r="E295" s="51"/>
      <c r="F295" s="51"/>
      <c r="G295" s="51"/>
      <c r="H295" s="63"/>
      <c r="I295" s="63"/>
      <c r="J295" s="25"/>
      <c r="K295" s="24"/>
      <c r="L295" s="74"/>
      <c r="M295" s="24"/>
    </row>
    <row r="296" spans="1:13" ht="20.100000000000001" customHeight="1" x14ac:dyDescent="0.2">
      <c r="A296" s="9" t="str">
        <f ca="1">IFERROR(_xludf.AGGREGATE(15,6,ROW('Wash Sale Tracker'!$K$18:$K$498)/(('Wash Sale Tracker'!$K$18:$K$498="Yes")*(ROW('Wash Sale Tracker'!$K$18:$K$498)&gt;A295)),1),"")</f>
        <v/>
      </c>
      <c r="B296" s="69"/>
      <c r="C296" s="30"/>
      <c r="D296" s="69"/>
      <c r="E296" s="51"/>
      <c r="F296" s="51"/>
      <c r="G296" s="51"/>
      <c r="H296" s="63"/>
      <c r="I296" s="63"/>
      <c r="J296" s="25"/>
      <c r="K296" s="24"/>
      <c r="L296" s="74"/>
      <c r="M296" s="24"/>
    </row>
    <row r="297" spans="1:13" ht="20.100000000000001" customHeight="1" x14ac:dyDescent="0.2">
      <c r="A297" s="9" t="str">
        <f ca="1">IFERROR(_xludf.AGGREGATE(15,6,ROW('Wash Sale Tracker'!$K$18:$K$498)/(('Wash Sale Tracker'!$K$18:$K$498="Yes")*(ROW('Wash Sale Tracker'!$K$18:$K$498)&gt;A296)),1),"")</f>
        <v/>
      </c>
      <c r="B297" s="69"/>
      <c r="C297" s="30"/>
      <c r="D297" s="69"/>
      <c r="E297" s="51"/>
      <c r="F297" s="51"/>
      <c r="G297" s="51"/>
      <c r="H297" s="63"/>
      <c r="I297" s="63"/>
      <c r="J297" s="25"/>
      <c r="K297" s="24"/>
      <c r="L297" s="74"/>
      <c r="M297" s="24"/>
    </row>
    <row r="298" spans="1:13" ht="20.100000000000001" customHeight="1" x14ac:dyDescent="0.2">
      <c r="A298" s="9" t="str">
        <f ca="1">IFERROR(_xludf.AGGREGATE(15,6,ROW('Wash Sale Tracker'!$K$18:$K$498)/(('Wash Sale Tracker'!$K$18:$K$498="Yes")*(ROW('Wash Sale Tracker'!$K$18:$K$498)&gt;A297)),1),"")</f>
        <v/>
      </c>
      <c r="B298" s="69"/>
      <c r="C298" s="30"/>
      <c r="D298" s="69"/>
      <c r="E298" s="51"/>
      <c r="F298" s="51"/>
      <c r="G298" s="51"/>
      <c r="H298" s="63"/>
      <c r="I298" s="63"/>
      <c r="J298" s="25"/>
      <c r="K298" s="24"/>
      <c r="L298" s="74"/>
      <c r="M298" s="24"/>
    </row>
    <row r="299" spans="1:13" ht="20.100000000000001" customHeight="1" x14ac:dyDescent="0.2">
      <c r="A299" s="9" t="str">
        <f ca="1">IFERROR(_xludf.AGGREGATE(15,6,ROW('Wash Sale Tracker'!$K$18:$K$498)/(('Wash Sale Tracker'!$K$18:$K$498="Yes")*(ROW('Wash Sale Tracker'!$K$18:$K$498)&gt;A298)),1),"")</f>
        <v/>
      </c>
      <c r="B299" s="69"/>
      <c r="C299" s="30"/>
      <c r="D299" s="69"/>
      <c r="E299" s="51"/>
      <c r="F299" s="51"/>
      <c r="G299" s="51"/>
      <c r="H299" s="63"/>
      <c r="I299" s="63"/>
      <c r="J299" s="25"/>
      <c r="K299" s="24"/>
      <c r="L299" s="74"/>
      <c r="M299" s="24"/>
    </row>
    <row r="300" spans="1:13" ht="20.100000000000001" customHeight="1" x14ac:dyDescent="0.2">
      <c r="A300" s="9" t="str">
        <f ca="1">IFERROR(_xludf.AGGREGATE(15,6,ROW('Wash Sale Tracker'!$K$18:$K$498)/(('Wash Sale Tracker'!$K$18:$K$498="Yes")*(ROW('Wash Sale Tracker'!$K$18:$K$498)&gt;A299)),1),"")</f>
        <v/>
      </c>
      <c r="B300" s="69"/>
      <c r="C300" s="30"/>
      <c r="D300" s="69"/>
      <c r="E300" s="51"/>
      <c r="F300" s="51"/>
      <c r="G300" s="51"/>
      <c r="H300" s="63"/>
      <c r="I300" s="63"/>
      <c r="J300" s="25"/>
      <c r="K300" s="24"/>
      <c r="L300" s="74"/>
      <c r="M300" s="24"/>
    </row>
    <row r="301" spans="1:13" ht="20.100000000000001" customHeight="1" x14ac:dyDescent="0.2">
      <c r="A301" s="9">
        <f>ROW('Wash Sale Tracker'!A306)</f>
        <v>306</v>
      </c>
      <c r="B301" s="69"/>
      <c r="C301" s="30"/>
      <c r="D301" s="69"/>
      <c r="E301" s="51"/>
      <c r="F301" s="51"/>
      <c r="G301" s="51"/>
      <c r="H301" s="63"/>
      <c r="I301" s="63"/>
      <c r="J301" s="25"/>
      <c r="K301" s="24"/>
      <c r="L301" s="74"/>
      <c r="M301" s="24"/>
    </row>
    <row r="302" spans="1:13" ht="20.100000000000001" customHeight="1" x14ac:dyDescent="0.2">
      <c r="A302" s="9">
        <f>ROW('Wash Sale Tracker'!A307)</f>
        <v>307</v>
      </c>
      <c r="B302" s="69"/>
      <c r="C302" s="30"/>
      <c r="D302" s="69"/>
      <c r="E302" s="51"/>
      <c r="F302" s="51"/>
      <c r="G302" s="51"/>
      <c r="H302" s="63"/>
      <c r="I302" s="63"/>
      <c r="J302" s="25"/>
      <c r="K302" s="24"/>
      <c r="L302" s="74"/>
      <c r="M302" s="24"/>
    </row>
    <row r="303" spans="1:13" ht="20.100000000000001" customHeight="1" x14ac:dyDescent="0.2">
      <c r="A303" s="9">
        <f>ROW('Wash Sale Tracker'!A308)</f>
        <v>308</v>
      </c>
      <c r="B303" s="69"/>
      <c r="C303" s="30"/>
      <c r="D303" s="69"/>
      <c r="E303" s="51"/>
      <c r="F303" s="51"/>
      <c r="G303" s="51"/>
      <c r="H303" s="63"/>
      <c r="I303" s="63"/>
      <c r="J303" s="25"/>
      <c r="K303" s="24"/>
      <c r="L303" s="74"/>
      <c r="M303" s="24"/>
    </row>
    <row r="304" spans="1:13" ht="20.100000000000001" customHeight="1" x14ac:dyDescent="0.2">
      <c r="A304" s="9">
        <f>ROW('Wash Sale Tracker'!A309)</f>
        <v>309</v>
      </c>
      <c r="B304" s="69"/>
      <c r="C304" s="30"/>
      <c r="D304" s="69"/>
      <c r="E304" s="51"/>
      <c r="F304" s="51"/>
      <c r="G304" s="51"/>
      <c r="H304" s="63"/>
      <c r="I304" s="63"/>
      <c r="J304" s="25"/>
      <c r="K304" s="24"/>
      <c r="L304" s="74"/>
      <c r="M304" s="24"/>
    </row>
    <row r="305" spans="1:13" ht="20.100000000000001" customHeight="1" x14ac:dyDescent="0.2">
      <c r="A305" s="9">
        <f>ROW('Wash Sale Tracker'!A310)</f>
        <v>310</v>
      </c>
      <c r="B305" s="69"/>
      <c r="C305" s="30"/>
      <c r="D305" s="69"/>
      <c r="E305" s="51"/>
      <c r="F305" s="51"/>
      <c r="G305" s="51"/>
      <c r="H305" s="63"/>
      <c r="I305" s="63"/>
      <c r="J305" s="25"/>
      <c r="K305" s="24"/>
      <c r="L305" s="74"/>
      <c r="M305" s="24"/>
    </row>
    <row r="306" spans="1:13" ht="20.100000000000001" customHeight="1" x14ac:dyDescent="0.2">
      <c r="A306" s="9">
        <f>ROW('Wash Sale Tracker'!A311)</f>
        <v>311</v>
      </c>
      <c r="B306" s="69"/>
      <c r="C306" s="30"/>
      <c r="D306" s="69"/>
      <c r="E306" s="51"/>
      <c r="F306" s="51"/>
      <c r="G306" s="51"/>
      <c r="H306" s="63"/>
      <c r="I306" s="63"/>
      <c r="J306" s="25"/>
      <c r="K306" s="24"/>
      <c r="L306" s="74"/>
      <c r="M306" s="24"/>
    </row>
    <row r="307" spans="1:13" ht="20.100000000000001" customHeight="1" x14ac:dyDescent="0.2">
      <c r="A307" s="9">
        <f>ROW('Wash Sale Tracker'!A312)</f>
        <v>312</v>
      </c>
      <c r="B307" s="69"/>
      <c r="C307" s="30"/>
      <c r="D307" s="69"/>
      <c r="E307" s="51"/>
      <c r="F307" s="51"/>
      <c r="G307" s="51"/>
      <c r="H307" s="63"/>
      <c r="I307" s="63"/>
      <c r="J307" s="25"/>
      <c r="K307" s="24"/>
      <c r="L307" s="74"/>
      <c r="M307" s="24"/>
    </row>
    <row r="308" spans="1:13" ht="20.100000000000001" customHeight="1" x14ac:dyDescent="0.2">
      <c r="A308" s="9">
        <f>ROW('Wash Sale Tracker'!A313)</f>
        <v>313</v>
      </c>
      <c r="B308" s="69"/>
      <c r="C308" s="30"/>
      <c r="D308" s="69"/>
      <c r="E308" s="51"/>
      <c r="F308" s="51"/>
      <c r="G308" s="51"/>
      <c r="H308" s="63"/>
      <c r="I308" s="63"/>
      <c r="J308" s="25"/>
      <c r="K308" s="24"/>
      <c r="L308" s="74"/>
      <c r="M308" s="24"/>
    </row>
    <row r="309" spans="1:13" ht="20.100000000000001" customHeight="1" x14ac:dyDescent="0.2">
      <c r="A309" s="9">
        <f>ROW('Wash Sale Tracker'!A314)</f>
        <v>314</v>
      </c>
      <c r="B309" s="69"/>
      <c r="C309" s="30"/>
      <c r="D309" s="69"/>
      <c r="E309" s="51"/>
      <c r="F309" s="51"/>
      <c r="G309" s="51"/>
      <c r="H309" s="63"/>
      <c r="I309" s="63"/>
      <c r="J309" s="25"/>
      <c r="K309" s="24"/>
      <c r="L309" s="74"/>
      <c r="M309" s="24"/>
    </row>
    <row r="310" spans="1:13" ht="20.100000000000001" customHeight="1" x14ac:dyDescent="0.2">
      <c r="A310" s="9">
        <f>ROW('Wash Sale Tracker'!A315)</f>
        <v>315</v>
      </c>
      <c r="B310" s="69"/>
      <c r="C310" s="30"/>
      <c r="D310" s="69"/>
      <c r="E310" s="51"/>
      <c r="F310" s="51"/>
      <c r="G310" s="51"/>
      <c r="H310" s="63"/>
      <c r="I310" s="63"/>
      <c r="J310" s="25"/>
      <c r="K310" s="24"/>
      <c r="L310" s="74"/>
      <c r="M310" s="24"/>
    </row>
    <row r="311" spans="1:13" ht="20.100000000000001" customHeight="1" x14ac:dyDescent="0.2">
      <c r="A311" s="9">
        <f>ROW('Wash Sale Tracker'!A316)</f>
        <v>316</v>
      </c>
      <c r="B311" s="69"/>
      <c r="C311" s="30"/>
      <c r="D311" s="69"/>
      <c r="E311" s="51"/>
      <c r="F311" s="51"/>
      <c r="G311" s="51"/>
      <c r="H311" s="63"/>
      <c r="I311" s="63"/>
      <c r="J311" s="25"/>
      <c r="K311" s="24"/>
      <c r="L311" s="74"/>
      <c r="M311" s="24"/>
    </row>
    <row r="312" spans="1:13" ht="20.100000000000001" customHeight="1" x14ac:dyDescent="0.2">
      <c r="A312" s="9">
        <f>ROW('Wash Sale Tracker'!A317)</f>
        <v>317</v>
      </c>
      <c r="B312" s="69"/>
      <c r="C312" s="30"/>
      <c r="D312" s="69"/>
      <c r="E312" s="51"/>
      <c r="F312" s="51"/>
      <c r="G312" s="51"/>
      <c r="H312" s="63"/>
      <c r="I312" s="63"/>
      <c r="J312" s="25"/>
      <c r="K312" s="24"/>
      <c r="L312" s="74"/>
      <c r="M312" s="24"/>
    </row>
    <row r="313" spans="1:13" ht="20.100000000000001" customHeight="1" x14ac:dyDescent="0.2">
      <c r="A313" s="9">
        <f>ROW('Wash Sale Tracker'!A318)</f>
        <v>318</v>
      </c>
      <c r="B313" s="69"/>
      <c r="C313" s="30"/>
      <c r="D313" s="69"/>
      <c r="E313" s="51"/>
      <c r="F313" s="51"/>
      <c r="G313" s="51"/>
      <c r="H313" s="63"/>
      <c r="I313" s="63"/>
      <c r="J313" s="25"/>
      <c r="K313" s="24"/>
      <c r="L313" s="74"/>
      <c r="M313" s="24"/>
    </row>
    <row r="314" spans="1:13" ht="20.100000000000001" customHeight="1" x14ac:dyDescent="0.2">
      <c r="A314" s="9">
        <f>ROW('Wash Sale Tracker'!A319)</f>
        <v>319</v>
      </c>
      <c r="B314" s="69"/>
      <c r="C314" s="30"/>
      <c r="D314" s="69"/>
      <c r="E314" s="51"/>
      <c r="F314" s="51"/>
      <c r="G314" s="51"/>
      <c r="H314" s="63"/>
      <c r="I314" s="63"/>
      <c r="J314" s="25"/>
      <c r="K314" s="24"/>
      <c r="L314" s="74"/>
      <c r="M314" s="24"/>
    </row>
    <row r="315" spans="1:13" ht="20.100000000000001" customHeight="1" x14ac:dyDescent="0.2">
      <c r="A315" s="9">
        <f>ROW('Wash Sale Tracker'!A320)</f>
        <v>320</v>
      </c>
      <c r="B315" s="69"/>
      <c r="C315" s="30"/>
      <c r="D315" s="69"/>
      <c r="E315" s="51"/>
      <c r="F315" s="51"/>
      <c r="G315" s="51"/>
      <c r="H315" s="63"/>
      <c r="I315" s="63"/>
      <c r="J315" s="25"/>
      <c r="K315" s="24"/>
      <c r="L315" s="74"/>
      <c r="M315" s="24"/>
    </row>
    <row r="316" spans="1:13" ht="20.100000000000001" customHeight="1" x14ac:dyDescent="0.2">
      <c r="A316" s="9">
        <f>ROW('Wash Sale Tracker'!A321)</f>
        <v>321</v>
      </c>
      <c r="B316" s="69"/>
      <c r="C316" s="30"/>
      <c r="D316" s="69"/>
      <c r="E316" s="51"/>
      <c r="F316" s="51"/>
      <c r="G316" s="51"/>
      <c r="H316" s="63"/>
      <c r="I316" s="63"/>
      <c r="J316" s="25"/>
      <c r="K316" s="24"/>
      <c r="L316" s="74"/>
      <c r="M316" s="24"/>
    </row>
    <row r="317" spans="1:13" ht="20.100000000000001" customHeight="1" x14ac:dyDescent="0.2">
      <c r="A317" s="9">
        <f>ROW('Wash Sale Tracker'!A322)</f>
        <v>322</v>
      </c>
      <c r="B317" s="69"/>
      <c r="C317" s="30"/>
      <c r="D317" s="69"/>
      <c r="E317" s="51"/>
      <c r="F317" s="51"/>
      <c r="G317" s="51"/>
      <c r="H317" s="63"/>
      <c r="I317" s="63"/>
      <c r="J317" s="25"/>
      <c r="K317" s="24"/>
      <c r="L317" s="74"/>
      <c r="M317" s="24"/>
    </row>
    <row r="318" spans="1:13" ht="20.100000000000001" customHeight="1" x14ac:dyDescent="0.2">
      <c r="A318" s="9">
        <f>ROW('Wash Sale Tracker'!A323)</f>
        <v>323</v>
      </c>
      <c r="B318" s="69"/>
      <c r="C318" s="30"/>
      <c r="D318" s="69"/>
      <c r="E318" s="51"/>
      <c r="F318" s="51"/>
      <c r="G318" s="51"/>
      <c r="H318" s="63"/>
      <c r="I318" s="63"/>
      <c r="J318" s="25"/>
      <c r="K318" s="24"/>
      <c r="L318" s="74"/>
      <c r="M318" s="24"/>
    </row>
    <row r="319" spans="1:13" ht="20.100000000000001" customHeight="1" x14ac:dyDescent="0.2">
      <c r="A319" s="9">
        <f>ROW('Wash Sale Tracker'!A324)</f>
        <v>324</v>
      </c>
      <c r="B319" s="69"/>
      <c r="C319" s="30"/>
      <c r="D319" s="69"/>
      <c r="E319" s="51"/>
      <c r="F319" s="51"/>
      <c r="G319" s="51"/>
      <c r="H319" s="63"/>
      <c r="I319" s="63"/>
      <c r="J319" s="25"/>
      <c r="K319" s="24"/>
      <c r="L319" s="74"/>
      <c r="M319" s="24"/>
    </row>
    <row r="320" spans="1:13" ht="20.100000000000001" customHeight="1" x14ac:dyDescent="0.2">
      <c r="A320" s="9">
        <f>ROW('Wash Sale Tracker'!A325)</f>
        <v>325</v>
      </c>
      <c r="B320" s="69"/>
      <c r="C320" s="30"/>
      <c r="D320" s="69"/>
      <c r="E320" s="51"/>
      <c r="F320" s="51"/>
      <c r="G320" s="51"/>
      <c r="H320" s="63"/>
      <c r="I320" s="63"/>
      <c r="J320" s="25"/>
      <c r="K320" s="24"/>
      <c r="L320" s="74"/>
      <c r="M320" s="24"/>
    </row>
    <row r="321" spans="1:13" ht="20.100000000000001" customHeight="1" x14ac:dyDescent="0.2">
      <c r="A321" s="9">
        <f>ROW('Wash Sale Tracker'!A326)</f>
        <v>326</v>
      </c>
      <c r="B321" s="69"/>
      <c r="C321" s="30"/>
      <c r="D321" s="69"/>
      <c r="E321" s="51"/>
      <c r="F321" s="51"/>
      <c r="G321" s="51"/>
      <c r="H321" s="63"/>
      <c r="I321" s="63"/>
      <c r="J321" s="25"/>
      <c r="K321" s="24"/>
      <c r="L321" s="74"/>
      <c r="M321" s="24"/>
    </row>
    <row r="322" spans="1:13" ht="20.100000000000001" customHeight="1" x14ac:dyDescent="0.2">
      <c r="A322" s="9">
        <f>ROW('Wash Sale Tracker'!A327)</f>
        <v>327</v>
      </c>
      <c r="B322" s="69"/>
      <c r="C322" s="30"/>
      <c r="D322" s="69"/>
      <c r="E322" s="51"/>
      <c r="F322" s="51"/>
      <c r="G322" s="51"/>
      <c r="H322" s="63"/>
      <c r="I322" s="63"/>
      <c r="J322" s="25"/>
      <c r="K322" s="24"/>
      <c r="L322" s="74"/>
      <c r="M322" s="24"/>
    </row>
    <row r="323" spans="1:13" ht="20.100000000000001" customHeight="1" x14ac:dyDescent="0.2">
      <c r="A323" s="9">
        <f>ROW('Wash Sale Tracker'!A328)</f>
        <v>328</v>
      </c>
      <c r="B323" s="69"/>
      <c r="C323" s="30"/>
      <c r="D323" s="69"/>
      <c r="E323" s="51"/>
      <c r="F323" s="51"/>
      <c r="G323" s="51"/>
      <c r="H323" s="63"/>
      <c r="I323" s="63"/>
      <c r="J323" s="25"/>
      <c r="K323" s="24"/>
      <c r="L323" s="74"/>
      <c r="M323" s="24"/>
    </row>
    <row r="324" spans="1:13" ht="20.100000000000001" customHeight="1" x14ac:dyDescent="0.2">
      <c r="A324" s="9">
        <f>ROW('Wash Sale Tracker'!A329)</f>
        <v>329</v>
      </c>
      <c r="B324" s="69"/>
      <c r="C324" s="30"/>
      <c r="D324" s="69"/>
      <c r="E324" s="51"/>
      <c r="F324" s="51"/>
      <c r="G324" s="51"/>
      <c r="H324" s="63"/>
      <c r="I324" s="63"/>
      <c r="J324" s="25"/>
      <c r="K324" s="24"/>
      <c r="L324" s="74"/>
      <c r="M324" s="24"/>
    </row>
    <row r="325" spans="1:13" ht="20.100000000000001" customHeight="1" x14ac:dyDescent="0.2">
      <c r="A325" s="9">
        <f>ROW('Wash Sale Tracker'!A330)</f>
        <v>330</v>
      </c>
      <c r="B325" s="69"/>
      <c r="C325" s="30"/>
      <c r="D325" s="69"/>
      <c r="E325" s="51"/>
      <c r="F325" s="51"/>
      <c r="G325" s="51"/>
      <c r="H325" s="63"/>
      <c r="I325" s="63"/>
      <c r="J325" s="25"/>
      <c r="K325" s="24"/>
      <c r="L325" s="74"/>
      <c r="M325" s="24"/>
    </row>
    <row r="326" spans="1:13" ht="20.100000000000001" customHeight="1" x14ac:dyDescent="0.2">
      <c r="A326" s="9">
        <f>ROW('Wash Sale Tracker'!A331)</f>
        <v>331</v>
      </c>
      <c r="B326" s="69"/>
      <c r="C326" s="30"/>
      <c r="D326" s="69"/>
      <c r="E326" s="51"/>
      <c r="F326" s="51"/>
      <c r="G326" s="51"/>
      <c r="H326" s="63"/>
      <c r="I326" s="63"/>
      <c r="J326" s="25"/>
      <c r="K326" s="24"/>
      <c r="L326" s="74"/>
      <c r="M326" s="24"/>
    </row>
    <row r="327" spans="1:13" ht="20.100000000000001" customHeight="1" x14ac:dyDescent="0.2">
      <c r="A327" s="9">
        <f>ROW('Wash Sale Tracker'!A332)</f>
        <v>332</v>
      </c>
      <c r="B327" s="69"/>
      <c r="C327" s="30"/>
      <c r="D327" s="69"/>
      <c r="E327" s="51"/>
      <c r="F327" s="51"/>
      <c r="G327" s="51"/>
      <c r="H327" s="63"/>
      <c r="I327" s="63"/>
      <c r="J327" s="25"/>
      <c r="K327" s="24"/>
      <c r="L327" s="74"/>
      <c r="M327" s="24"/>
    </row>
    <row r="328" spans="1:13" ht="20.100000000000001" customHeight="1" x14ac:dyDescent="0.2">
      <c r="A328" s="9">
        <f>ROW('Wash Sale Tracker'!A333)</f>
        <v>333</v>
      </c>
      <c r="B328" s="69"/>
      <c r="C328" s="30"/>
      <c r="D328" s="69"/>
      <c r="E328" s="51"/>
      <c r="F328" s="51"/>
      <c r="G328" s="51"/>
      <c r="H328" s="63"/>
      <c r="I328" s="63"/>
      <c r="J328" s="25"/>
      <c r="K328" s="24"/>
      <c r="L328" s="74"/>
      <c r="M328" s="24"/>
    </row>
    <row r="329" spans="1:13" ht="20.100000000000001" customHeight="1" x14ac:dyDescent="0.2">
      <c r="A329" s="9">
        <f>ROW('Wash Sale Tracker'!A334)</f>
        <v>334</v>
      </c>
      <c r="B329" s="69"/>
      <c r="C329" s="30"/>
      <c r="D329" s="69"/>
      <c r="E329" s="51"/>
      <c r="F329" s="51"/>
      <c r="G329" s="51"/>
      <c r="H329" s="63"/>
      <c r="I329" s="63"/>
      <c r="J329" s="25"/>
      <c r="K329" s="24"/>
      <c r="L329" s="74"/>
      <c r="M329" s="24"/>
    </row>
    <row r="330" spans="1:13" ht="20.100000000000001" customHeight="1" x14ac:dyDescent="0.2">
      <c r="A330" s="9">
        <f>ROW('Wash Sale Tracker'!A335)</f>
        <v>335</v>
      </c>
      <c r="B330" s="69"/>
      <c r="C330" s="30"/>
      <c r="D330" s="69"/>
      <c r="E330" s="51"/>
      <c r="F330" s="51"/>
      <c r="G330" s="51"/>
      <c r="H330" s="63"/>
      <c r="I330" s="63"/>
      <c r="J330" s="25"/>
      <c r="K330" s="24"/>
      <c r="L330" s="74"/>
      <c r="M330" s="24"/>
    </row>
    <row r="331" spans="1:13" ht="20.100000000000001" customHeight="1" x14ac:dyDescent="0.2">
      <c r="A331" s="9">
        <f>ROW('Wash Sale Tracker'!A336)</f>
        <v>336</v>
      </c>
      <c r="B331" s="69"/>
      <c r="C331" s="30"/>
      <c r="D331" s="69"/>
      <c r="E331" s="51"/>
      <c r="F331" s="51"/>
      <c r="G331" s="51"/>
      <c r="H331" s="63"/>
      <c r="I331" s="63"/>
      <c r="J331" s="25"/>
      <c r="K331" s="24"/>
      <c r="L331" s="74"/>
      <c r="M331" s="24"/>
    </row>
    <row r="332" spans="1:13" ht="20.100000000000001" customHeight="1" x14ac:dyDescent="0.2">
      <c r="A332" s="9">
        <f>ROW('Wash Sale Tracker'!A337)</f>
        <v>337</v>
      </c>
      <c r="B332" s="69"/>
      <c r="C332" s="30"/>
      <c r="D332" s="69"/>
      <c r="E332" s="51"/>
      <c r="F332" s="51"/>
      <c r="G332" s="51"/>
      <c r="H332" s="63"/>
      <c r="I332" s="63"/>
      <c r="J332" s="25"/>
      <c r="K332" s="24"/>
      <c r="L332" s="74"/>
      <c r="M332" s="24"/>
    </row>
    <row r="333" spans="1:13" ht="20.100000000000001" customHeight="1" x14ac:dyDescent="0.2">
      <c r="A333" s="9">
        <f>ROW('Wash Sale Tracker'!A338)</f>
        <v>338</v>
      </c>
      <c r="B333" s="69"/>
      <c r="C333" s="30"/>
      <c r="D333" s="69"/>
      <c r="E333" s="51"/>
      <c r="F333" s="51"/>
      <c r="G333" s="51"/>
      <c r="H333" s="63"/>
      <c r="I333" s="63"/>
      <c r="J333" s="25"/>
      <c r="K333" s="24"/>
      <c r="L333" s="74"/>
      <c r="M333" s="24"/>
    </row>
    <row r="334" spans="1:13" ht="20.100000000000001" customHeight="1" x14ac:dyDescent="0.2">
      <c r="A334" s="9">
        <f>ROW('Wash Sale Tracker'!A339)</f>
        <v>339</v>
      </c>
      <c r="B334" s="69"/>
      <c r="C334" s="30"/>
      <c r="D334" s="69"/>
      <c r="E334" s="51"/>
      <c r="F334" s="51"/>
      <c r="G334" s="51"/>
      <c r="H334" s="63"/>
      <c r="I334" s="63"/>
      <c r="J334" s="25"/>
      <c r="K334" s="24"/>
      <c r="L334" s="74"/>
      <c r="M334" s="24"/>
    </row>
    <row r="335" spans="1:13" ht="20.100000000000001" customHeight="1" x14ac:dyDescent="0.2">
      <c r="A335" s="9">
        <f>ROW('Wash Sale Tracker'!A340)</f>
        <v>340</v>
      </c>
      <c r="B335" s="69"/>
      <c r="C335" s="30"/>
      <c r="D335" s="69"/>
      <c r="E335" s="51"/>
      <c r="F335" s="51"/>
      <c r="G335" s="51"/>
      <c r="H335" s="63"/>
      <c r="I335" s="63"/>
      <c r="J335" s="25"/>
      <c r="K335" s="24"/>
      <c r="L335" s="74"/>
      <c r="M335" s="24"/>
    </row>
    <row r="336" spans="1:13" ht="20.100000000000001" customHeight="1" x14ac:dyDescent="0.2">
      <c r="A336" s="9">
        <f>ROW('Wash Sale Tracker'!A341)</f>
        <v>341</v>
      </c>
      <c r="B336" s="69"/>
      <c r="C336" s="30"/>
      <c r="D336" s="69"/>
      <c r="E336" s="51"/>
      <c r="F336" s="51"/>
      <c r="G336" s="51"/>
      <c r="H336" s="63"/>
      <c r="I336" s="63"/>
      <c r="J336" s="25"/>
      <c r="K336" s="24"/>
      <c r="L336" s="74"/>
      <c r="M336" s="24"/>
    </row>
    <row r="337" spans="1:13" ht="20.100000000000001" customHeight="1" x14ac:dyDescent="0.2">
      <c r="A337" s="9">
        <f>ROW('Wash Sale Tracker'!A342)</f>
        <v>342</v>
      </c>
      <c r="B337" s="69"/>
      <c r="C337" s="30"/>
      <c r="D337" s="69"/>
      <c r="E337" s="51"/>
      <c r="F337" s="51"/>
      <c r="G337" s="51"/>
      <c r="H337" s="63"/>
      <c r="I337" s="63"/>
      <c r="J337" s="25"/>
      <c r="K337" s="24"/>
      <c r="L337" s="74"/>
      <c r="M337" s="24"/>
    </row>
    <row r="338" spans="1:13" ht="20.100000000000001" customHeight="1" x14ac:dyDescent="0.2">
      <c r="A338" s="9">
        <f>ROW('Wash Sale Tracker'!A343)</f>
        <v>343</v>
      </c>
      <c r="B338" s="69"/>
      <c r="C338" s="30"/>
      <c r="D338" s="69"/>
      <c r="E338" s="51"/>
      <c r="F338" s="51"/>
      <c r="G338" s="51"/>
      <c r="H338" s="63"/>
      <c r="I338" s="63"/>
      <c r="J338" s="25"/>
      <c r="K338" s="24"/>
      <c r="L338" s="74"/>
      <c r="M338" s="24"/>
    </row>
    <row r="339" spans="1:13" ht="20.100000000000001" customHeight="1" x14ac:dyDescent="0.2">
      <c r="A339" s="9">
        <f>ROW('Wash Sale Tracker'!A344)</f>
        <v>344</v>
      </c>
      <c r="B339" s="69"/>
      <c r="C339" s="30"/>
      <c r="D339" s="69"/>
      <c r="E339" s="51"/>
      <c r="F339" s="51"/>
      <c r="G339" s="51"/>
      <c r="H339" s="63"/>
      <c r="I339" s="63"/>
      <c r="J339" s="25"/>
      <c r="K339" s="24"/>
      <c r="L339" s="74"/>
      <c r="M339" s="24"/>
    </row>
    <row r="340" spans="1:13" ht="20.100000000000001" customHeight="1" x14ac:dyDescent="0.2">
      <c r="A340" s="9">
        <f>ROW('Wash Sale Tracker'!A345)</f>
        <v>345</v>
      </c>
      <c r="B340" s="69"/>
      <c r="C340" s="30"/>
      <c r="D340" s="69"/>
      <c r="E340" s="51"/>
      <c r="F340" s="51"/>
      <c r="G340" s="51"/>
      <c r="H340" s="63"/>
      <c r="I340" s="63"/>
      <c r="J340" s="25"/>
      <c r="K340" s="24"/>
      <c r="L340" s="74"/>
      <c r="M340" s="24"/>
    </row>
    <row r="341" spans="1:13" ht="20.100000000000001" customHeight="1" x14ac:dyDescent="0.2">
      <c r="A341" s="9">
        <f>ROW('Wash Sale Tracker'!A346)</f>
        <v>346</v>
      </c>
      <c r="B341" s="69"/>
      <c r="C341" s="30"/>
      <c r="D341" s="69"/>
      <c r="E341" s="51"/>
      <c r="F341" s="51"/>
      <c r="G341" s="51"/>
      <c r="H341" s="63"/>
      <c r="I341" s="63"/>
      <c r="J341" s="25"/>
      <c r="K341" s="24"/>
      <c r="L341" s="74"/>
      <c r="M341" s="24"/>
    </row>
    <row r="342" spans="1:13" ht="20.100000000000001" customHeight="1" x14ac:dyDescent="0.2">
      <c r="A342" s="9">
        <f>ROW('Wash Sale Tracker'!A347)</f>
        <v>347</v>
      </c>
      <c r="B342" s="69"/>
      <c r="C342" s="30"/>
      <c r="D342" s="69"/>
      <c r="E342" s="51"/>
      <c r="F342" s="51"/>
      <c r="G342" s="51"/>
      <c r="H342" s="63"/>
      <c r="I342" s="63"/>
      <c r="J342" s="25"/>
      <c r="K342" s="24"/>
      <c r="L342" s="74"/>
      <c r="M342" s="24"/>
    </row>
    <row r="343" spans="1:13" ht="20.100000000000001" customHeight="1" x14ac:dyDescent="0.2">
      <c r="A343" s="9">
        <f>ROW('Wash Sale Tracker'!A348)</f>
        <v>348</v>
      </c>
      <c r="B343" s="69"/>
      <c r="C343" s="30"/>
      <c r="D343" s="69"/>
      <c r="E343" s="51"/>
      <c r="F343" s="51"/>
      <c r="G343" s="51"/>
      <c r="H343" s="63"/>
      <c r="I343" s="63"/>
      <c r="J343" s="25"/>
      <c r="K343" s="24"/>
      <c r="L343" s="74"/>
      <c r="M343" s="24"/>
    </row>
    <row r="344" spans="1:13" ht="20.100000000000001" customHeight="1" x14ac:dyDescent="0.2">
      <c r="A344" s="9">
        <f>ROW('Wash Sale Tracker'!A349)</f>
        <v>349</v>
      </c>
      <c r="B344" s="69"/>
      <c r="C344" s="30"/>
      <c r="D344" s="69"/>
      <c r="E344" s="51"/>
      <c r="F344" s="51"/>
      <c r="G344" s="51"/>
      <c r="H344" s="63"/>
      <c r="I344" s="63"/>
      <c r="J344" s="25"/>
      <c r="K344" s="24"/>
      <c r="L344" s="74"/>
      <c r="M344" s="24"/>
    </row>
    <row r="345" spans="1:13" ht="20.100000000000001" customHeight="1" x14ac:dyDescent="0.2">
      <c r="A345" s="9">
        <f>ROW('Wash Sale Tracker'!A350)</f>
        <v>350</v>
      </c>
      <c r="B345" s="69"/>
      <c r="C345" s="30"/>
      <c r="D345" s="69"/>
      <c r="E345" s="51"/>
      <c r="F345" s="51"/>
      <c r="G345" s="51"/>
      <c r="H345" s="63"/>
      <c r="I345" s="63"/>
      <c r="J345" s="25"/>
      <c r="K345" s="24"/>
      <c r="L345" s="74"/>
      <c r="M345" s="24"/>
    </row>
    <row r="346" spans="1:13" ht="20.100000000000001" customHeight="1" x14ac:dyDescent="0.2">
      <c r="A346" s="9">
        <f>ROW('Wash Sale Tracker'!A351)</f>
        <v>351</v>
      </c>
      <c r="B346" s="69"/>
      <c r="C346" s="30"/>
      <c r="D346" s="69"/>
      <c r="E346" s="51"/>
      <c r="F346" s="51"/>
      <c r="G346" s="51"/>
      <c r="H346" s="63"/>
      <c r="I346" s="63"/>
      <c r="J346" s="25"/>
      <c r="K346" s="24"/>
      <c r="L346" s="74"/>
      <c r="M346" s="24"/>
    </row>
    <row r="347" spans="1:13" ht="20.100000000000001" customHeight="1" x14ac:dyDescent="0.2">
      <c r="A347" s="9">
        <f>ROW('Wash Sale Tracker'!A352)</f>
        <v>352</v>
      </c>
      <c r="B347" s="69"/>
      <c r="C347" s="30"/>
      <c r="D347" s="69"/>
      <c r="E347" s="51"/>
      <c r="F347" s="51"/>
      <c r="G347" s="51"/>
      <c r="H347" s="63"/>
      <c r="I347" s="63"/>
      <c r="J347" s="25"/>
      <c r="K347" s="24"/>
      <c r="L347" s="74"/>
      <c r="M347" s="24"/>
    </row>
    <row r="348" spans="1:13" ht="20.100000000000001" customHeight="1" x14ac:dyDescent="0.2">
      <c r="A348" s="9">
        <f>ROW('Wash Sale Tracker'!A353)</f>
        <v>353</v>
      </c>
      <c r="B348" s="69"/>
      <c r="C348" s="30"/>
      <c r="D348" s="69"/>
      <c r="E348" s="51"/>
      <c r="F348" s="51"/>
      <c r="G348" s="51"/>
      <c r="H348" s="63"/>
      <c r="I348" s="63"/>
      <c r="J348" s="25"/>
      <c r="K348" s="24"/>
      <c r="L348" s="74"/>
      <c r="M348" s="24"/>
    </row>
    <row r="349" spans="1:13" ht="20.100000000000001" customHeight="1" x14ac:dyDescent="0.2">
      <c r="A349" s="9">
        <f>ROW('Wash Sale Tracker'!A354)</f>
        <v>354</v>
      </c>
      <c r="B349" s="69"/>
      <c r="C349" s="30"/>
      <c r="D349" s="69"/>
      <c r="E349" s="51"/>
      <c r="F349" s="51"/>
      <c r="G349" s="51"/>
      <c r="H349" s="63"/>
      <c r="I349" s="63"/>
      <c r="J349" s="25"/>
      <c r="K349" s="24"/>
      <c r="L349" s="74"/>
      <c r="M349" s="24"/>
    </row>
    <row r="350" spans="1:13" ht="20.100000000000001" customHeight="1" x14ac:dyDescent="0.2">
      <c r="A350" s="9">
        <f>ROW('Wash Sale Tracker'!A355)</f>
        <v>355</v>
      </c>
      <c r="B350" s="69"/>
      <c r="C350" s="30"/>
      <c r="D350" s="69"/>
      <c r="E350" s="51"/>
      <c r="F350" s="51"/>
      <c r="G350" s="51"/>
      <c r="H350" s="63"/>
      <c r="I350" s="63"/>
      <c r="J350" s="25"/>
      <c r="K350" s="24"/>
      <c r="L350" s="74"/>
      <c r="M350" s="24"/>
    </row>
    <row r="351" spans="1:13" ht="20.100000000000001" customHeight="1" x14ac:dyDescent="0.2">
      <c r="A351" s="9">
        <f>ROW('Wash Sale Tracker'!A356)</f>
        <v>356</v>
      </c>
      <c r="B351" s="69"/>
      <c r="C351" s="30"/>
      <c r="D351" s="69"/>
      <c r="E351" s="51"/>
      <c r="F351" s="51"/>
      <c r="G351" s="51"/>
      <c r="H351" s="63"/>
      <c r="I351" s="63"/>
      <c r="J351" s="25"/>
      <c r="K351" s="24"/>
      <c r="L351" s="74"/>
      <c r="M351" s="24"/>
    </row>
    <row r="352" spans="1:13" ht="20.100000000000001" customHeight="1" x14ac:dyDescent="0.2">
      <c r="A352" s="9">
        <f>ROW('Wash Sale Tracker'!A357)</f>
        <v>357</v>
      </c>
      <c r="B352" s="69"/>
      <c r="C352" s="30"/>
      <c r="D352" s="69"/>
      <c r="E352" s="51"/>
      <c r="F352" s="51"/>
      <c r="G352" s="51"/>
      <c r="H352" s="63"/>
      <c r="I352" s="63"/>
      <c r="J352" s="25"/>
      <c r="K352" s="24"/>
      <c r="L352" s="74"/>
      <c r="M352" s="24"/>
    </row>
    <row r="353" spans="1:13" ht="20.100000000000001" customHeight="1" x14ac:dyDescent="0.2">
      <c r="A353" s="9">
        <f>ROW('Wash Sale Tracker'!A358)</f>
        <v>358</v>
      </c>
      <c r="B353" s="69"/>
      <c r="C353" s="30"/>
      <c r="D353" s="69"/>
      <c r="E353" s="51"/>
      <c r="F353" s="51"/>
      <c r="G353" s="51"/>
      <c r="H353" s="63"/>
      <c r="I353" s="63"/>
      <c r="J353" s="25"/>
      <c r="K353" s="24"/>
      <c r="L353" s="74"/>
      <c r="M353" s="24"/>
    </row>
    <row r="354" spans="1:13" ht="20.100000000000001" customHeight="1" x14ac:dyDescent="0.2">
      <c r="A354" s="9">
        <f>ROW('Wash Sale Tracker'!A359)</f>
        <v>359</v>
      </c>
      <c r="B354" s="69"/>
      <c r="C354" s="30"/>
      <c r="D354" s="69"/>
      <c r="E354" s="51"/>
      <c r="F354" s="51"/>
      <c r="G354" s="51"/>
      <c r="H354" s="63"/>
      <c r="I354" s="63"/>
      <c r="J354" s="25"/>
      <c r="K354" s="24"/>
      <c r="L354" s="74"/>
      <c r="M354" s="24"/>
    </row>
    <row r="355" spans="1:13" ht="20.100000000000001" customHeight="1" x14ac:dyDescent="0.2">
      <c r="A355" s="9">
        <f>ROW('Wash Sale Tracker'!A360)</f>
        <v>360</v>
      </c>
      <c r="B355" s="69"/>
      <c r="C355" s="30"/>
      <c r="D355" s="69"/>
      <c r="E355" s="51"/>
      <c r="F355" s="51"/>
      <c r="G355" s="51"/>
      <c r="H355" s="63"/>
      <c r="I355" s="63"/>
      <c r="J355" s="25"/>
      <c r="K355" s="24"/>
      <c r="L355" s="74"/>
      <c r="M355" s="24"/>
    </row>
    <row r="356" spans="1:13" ht="20.100000000000001" customHeight="1" x14ac:dyDescent="0.2">
      <c r="A356" s="9">
        <f>ROW('Wash Sale Tracker'!A361)</f>
        <v>361</v>
      </c>
      <c r="B356" s="69"/>
      <c r="C356" s="30"/>
      <c r="D356" s="69"/>
      <c r="E356" s="51"/>
      <c r="F356" s="51"/>
      <c r="G356" s="51"/>
      <c r="H356" s="63"/>
      <c r="I356" s="63"/>
      <c r="J356" s="25"/>
      <c r="K356" s="24"/>
      <c r="L356" s="74"/>
      <c r="M356" s="24"/>
    </row>
    <row r="357" spans="1:13" ht="20.100000000000001" customHeight="1" x14ac:dyDescent="0.2">
      <c r="A357" s="9">
        <f>ROW('Wash Sale Tracker'!A362)</f>
        <v>362</v>
      </c>
      <c r="B357" s="69"/>
      <c r="C357" s="30"/>
      <c r="D357" s="69"/>
      <c r="E357" s="51"/>
      <c r="F357" s="51"/>
      <c r="G357" s="51"/>
      <c r="H357" s="63"/>
      <c r="I357" s="63"/>
      <c r="J357" s="25"/>
      <c r="K357" s="24"/>
      <c r="L357" s="74"/>
      <c r="M357" s="24"/>
    </row>
    <row r="358" spans="1:13" ht="20.100000000000001" customHeight="1" x14ac:dyDescent="0.2">
      <c r="A358" s="9">
        <f>ROW('Wash Sale Tracker'!A363)</f>
        <v>363</v>
      </c>
      <c r="B358" s="69"/>
      <c r="C358" s="30"/>
      <c r="D358" s="69"/>
      <c r="E358" s="51"/>
      <c r="F358" s="51"/>
      <c r="G358" s="51"/>
      <c r="H358" s="63"/>
      <c r="I358" s="63"/>
      <c r="J358" s="25"/>
      <c r="K358" s="24"/>
      <c r="L358" s="74"/>
      <c r="M358" s="24"/>
    </row>
    <row r="359" spans="1:13" ht="20.100000000000001" customHeight="1" x14ac:dyDescent="0.2">
      <c r="A359" s="9">
        <f>ROW('Wash Sale Tracker'!A364)</f>
        <v>364</v>
      </c>
      <c r="B359" s="69"/>
      <c r="C359" s="30"/>
      <c r="D359" s="69"/>
      <c r="E359" s="51"/>
      <c r="F359" s="51"/>
      <c r="G359" s="51"/>
      <c r="H359" s="63"/>
      <c r="I359" s="63"/>
      <c r="J359" s="25"/>
      <c r="K359" s="24"/>
      <c r="L359" s="74"/>
      <c r="M359" s="24"/>
    </row>
    <row r="360" spans="1:13" ht="20.100000000000001" customHeight="1" x14ac:dyDescent="0.2">
      <c r="A360" s="9">
        <f>ROW('Wash Sale Tracker'!A365)</f>
        <v>365</v>
      </c>
      <c r="B360" s="69"/>
      <c r="C360" s="30"/>
      <c r="D360" s="69"/>
      <c r="E360" s="51"/>
      <c r="F360" s="51"/>
      <c r="G360" s="51"/>
      <c r="H360" s="63"/>
      <c r="I360" s="63"/>
      <c r="J360" s="25"/>
      <c r="K360" s="24"/>
      <c r="L360" s="74"/>
      <c r="M360" s="24"/>
    </row>
    <row r="361" spans="1:13" ht="20.100000000000001" customHeight="1" x14ac:dyDescent="0.2">
      <c r="A361" s="9">
        <f>ROW('Wash Sale Tracker'!A366)</f>
        <v>366</v>
      </c>
      <c r="B361" s="69"/>
      <c r="C361" s="30"/>
      <c r="D361" s="69"/>
      <c r="E361" s="51"/>
      <c r="F361" s="51"/>
      <c r="G361" s="51"/>
      <c r="H361" s="63"/>
      <c r="I361" s="63"/>
      <c r="J361" s="25"/>
      <c r="K361" s="24"/>
      <c r="L361" s="74"/>
      <c r="M361" s="24"/>
    </row>
    <row r="362" spans="1:13" ht="20.100000000000001" customHeight="1" x14ac:dyDescent="0.2">
      <c r="A362" s="9">
        <f>ROW('Wash Sale Tracker'!A367)</f>
        <v>367</v>
      </c>
      <c r="B362" s="69"/>
      <c r="C362" s="30"/>
      <c r="D362" s="69"/>
      <c r="E362" s="51"/>
      <c r="F362" s="51"/>
      <c r="G362" s="51"/>
      <c r="H362" s="63"/>
      <c r="I362" s="63"/>
      <c r="J362" s="25"/>
      <c r="K362" s="24"/>
      <c r="L362" s="74"/>
      <c r="M362" s="24"/>
    </row>
    <row r="363" spans="1:13" ht="20.100000000000001" customHeight="1" x14ac:dyDescent="0.2">
      <c r="A363" s="9">
        <f>ROW('Wash Sale Tracker'!A368)</f>
        <v>368</v>
      </c>
      <c r="B363" s="69"/>
      <c r="C363" s="30"/>
      <c r="D363" s="69"/>
      <c r="E363" s="51"/>
      <c r="F363" s="51"/>
      <c r="G363" s="51"/>
      <c r="H363" s="63"/>
      <c r="I363" s="63"/>
      <c r="J363" s="25"/>
      <c r="K363" s="24"/>
      <c r="L363" s="74"/>
      <c r="M363" s="24"/>
    </row>
    <row r="364" spans="1:13" ht="20.100000000000001" customHeight="1" x14ac:dyDescent="0.2">
      <c r="A364" s="9">
        <f>ROW('Wash Sale Tracker'!A369)</f>
        <v>369</v>
      </c>
      <c r="B364" s="69"/>
      <c r="C364" s="30"/>
      <c r="D364" s="69"/>
      <c r="E364" s="51"/>
      <c r="F364" s="51"/>
      <c r="G364" s="51"/>
      <c r="H364" s="63"/>
      <c r="I364" s="63"/>
      <c r="J364" s="25"/>
      <c r="K364" s="24"/>
      <c r="L364" s="74"/>
      <c r="M364" s="24"/>
    </row>
    <row r="365" spans="1:13" ht="20.100000000000001" customHeight="1" x14ac:dyDescent="0.2">
      <c r="A365" s="9">
        <f>ROW('Wash Sale Tracker'!A370)</f>
        <v>370</v>
      </c>
      <c r="B365" s="69"/>
      <c r="C365" s="30"/>
      <c r="D365" s="69"/>
      <c r="E365" s="51"/>
      <c r="F365" s="51"/>
      <c r="G365" s="51"/>
      <c r="H365" s="63"/>
      <c r="I365" s="63"/>
      <c r="J365" s="25"/>
      <c r="K365" s="24"/>
      <c r="L365" s="74"/>
      <c r="M365" s="24"/>
    </row>
    <row r="366" spans="1:13" ht="20.100000000000001" customHeight="1" x14ac:dyDescent="0.2">
      <c r="A366" s="9">
        <f>ROW('Wash Sale Tracker'!A371)</f>
        <v>371</v>
      </c>
      <c r="B366" s="69"/>
      <c r="C366" s="30"/>
      <c r="D366" s="69"/>
      <c r="E366" s="51"/>
      <c r="F366" s="51"/>
      <c r="G366" s="51"/>
      <c r="H366" s="63"/>
      <c r="I366" s="63"/>
      <c r="J366" s="25"/>
      <c r="K366" s="24"/>
      <c r="L366" s="74"/>
      <c r="M366" s="24"/>
    </row>
    <row r="367" spans="1:13" ht="20.100000000000001" customHeight="1" x14ac:dyDescent="0.2">
      <c r="A367" s="9">
        <f>ROW('Wash Sale Tracker'!A372)</f>
        <v>372</v>
      </c>
      <c r="B367" s="69"/>
      <c r="C367" s="30"/>
      <c r="D367" s="69"/>
      <c r="E367" s="51"/>
      <c r="F367" s="51"/>
      <c r="G367" s="51"/>
      <c r="H367" s="63"/>
      <c r="I367" s="63"/>
      <c r="J367" s="25"/>
      <c r="K367" s="24"/>
      <c r="L367" s="74"/>
      <c r="M367" s="24"/>
    </row>
    <row r="368" spans="1:13" ht="20.100000000000001" customHeight="1" x14ac:dyDescent="0.2">
      <c r="A368" s="9">
        <f>ROW('Wash Sale Tracker'!A373)</f>
        <v>373</v>
      </c>
      <c r="B368" s="69"/>
      <c r="C368" s="30"/>
      <c r="D368" s="69"/>
      <c r="E368" s="51"/>
      <c r="F368" s="51"/>
      <c r="G368" s="51"/>
      <c r="H368" s="63"/>
      <c r="I368" s="63"/>
      <c r="J368" s="25"/>
      <c r="K368" s="24"/>
      <c r="L368" s="74"/>
      <c r="M368" s="24"/>
    </row>
    <row r="369" spans="1:13" ht="20.100000000000001" customHeight="1" x14ac:dyDescent="0.2">
      <c r="A369" s="9">
        <f>ROW('Wash Sale Tracker'!A374)</f>
        <v>374</v>
      </c>
      <c r="B369" s="69"/>
      <c r="C369" s="30"/>
      <c r="D369" s="69"/>
      <c r="E369" s="51"/>
      <c r="F369" s="51"/>
      <c r="G369" s="51"/>
      <c r="H369" s="63"/>
      <c r="I369" s="63"/>
      <c r="J369" s="25"/>
      <c r="K369" s="24"/>
      <c r="L369" s="74"/>
      <c r="M369" s="24"/>
    </row>
    <row r="370" spans="1:13" ht="20.100000000000001" customHeight="1" x14ac:dyDescent="0.2">
      <c r="A370" s="9">
        <f>ROW('Wash Sale Tracker'!A375)</f>
        <v>375</v>
      </c>
      <c r="B370" s="69"/>
      <c r="C370" s="30"/>
      <c r="D370" s="69"/>
      <c r="E370" s="51"/>
      <c r="F370" s="51"/>
      <c r="G370" s="51"/>
      <c r="H370" s="63"/>
      <c r="I370" s="63"/>
      <c r="J370" s="25"/>
      <c r="K370" s="24"/>
      <c r="L370" s="74"/>
      <c r="M370" s="24"/>
    </row>
    <row r="371" spans="1:13" ht="20.100000000000001" customHeight="1" x14ac:dyDescent="0.2">
      <c r="A371" s="9">
        <f>ROW('Wash Sale Tracker'!A376)</f>
        <v>376</v>
      </c>
      <c r="B371" s="69"/>
      <c r="C371" s="30"/>
      <c r="D371" s="69"/>
      <c r="E371" s="51"/>
      <c r="F371" s="51"/>
      <c r="G371" s="51"/>
      <c r="H371" s="63"/>
      <c r="I371" s="63"/>
      <c r="J371" s="25"/>
      <c r="K371" s="24"/>
      <c r="L371" s="74"/>
      <c r="M371" s="24"/>
    </row>
    <row r="372" spans="1:13" ht="20.100000000000001" customHeight="1" x14ac:dyDescent="0.2">
      <c r="A372" s="9">
        <f>ROW('Wash Sale Tracker'!A377)</f>
        <v>377</v>
      </c>
      <c r="B372" s="69"/>
      <c r="C372" s="30"/>
      <c r="D372" s="69"/>
      <c r="E372" s="51"/>
      <c r="F372" s="51"/>
      <c r="G372" s="51"/>
      <c r="H372" s="63"/>
      <c r="I372" s="63"/>
      <c r="J372" s="25"/>
      <c r="K372" s="24"/>
      <c r="L372" s="74"/>
      <c r="M372" s="24"/>
    </row>
    <row r="373" spans="1:13" ht="20.100000000000001" customHeight="1" x14ac:dyDescent="0.2">
      <c r="A373" s="9">
        <f>ROW('Wash Sale Tracker'!A378)</f>
        <v>378</v>
      </c>
      <c r="B373" s="69"/>
      <c r="C373" s="30"/>
      <c r="D373" s="69"/>
      <c r="E373" s="51"/>
      <c r="F373" s="51"/>
      <c r="G373" s="51"/>
      <c r="H373" s="63"/>
      <c r="I373" s="63"/>
      <c r="J373" s="25"/>
      <c r="K373" s="24"/>
      <c r="L373" s="74"/>
      <c r="M373" s="24"/>
    </row>
    <row r="374" spans="1:13" ht="20.100000000000001" customHeight="1" x14ac:dyDescent="0.2">
      <c r="A374" s="9">
        <f>ROW('Wash Sale Tracker'!A379)</f>
        <v>379</v>
      </c>
      <c r="B374" s="69"/>
      <c r="C374" s="30"/>
      <c r="D374" s="69"/>
      <c r="E374" s="51"/>
      <c r="F374" s="51"/>
      <c r="G374" s="51"/>
      <c r="H374" s="63"/>
      <c r="I374" s="63"/>
      <c r="J374" s="25"/>
      <c r="K374" s="24"/>
      <c r="L374" s="74"/>
      <c r="M374" s="24"/>
    </row>
    <row r="375" spans="1:13" ht="20.100000000000001" customHeight="1" x14ac:dyDescent="0.2">
      <c r="A375" s="9">
        <f>ROW('Wash Sale Tracker'!A380)</f>
        <v>380</v>
      </c>
      <c r="B375" s="69"/>
      <c r="C375" s="30"/>
      <c r="D375" s="69"/>
      <c r="E375" s="51"/>
      <c r="F375" s="51"/>
      <c r="G375" s="51"/>
      <c r="H375" s="63"/>
      <c r="I375" s="63"/>
      <c r="J375" s="25"/>
      <c r="K375" s="24"/>
      <c r="L375" s="74"/>
      <c r="M375" s="24"/>
    </row>
    <row r="376" spans="1:13" ht="20.100000000000001" customHeight="1" x14ac:dyDescent="0.2">
      <c r="A376" s="9">
        <f>ROW('Wash Sale Tracker'!A381)</f>
        <v>381</v>
      </c>
      <c r="B376" s="69"/>
      <c r="C376" s="30"/>
      <c r="D376" s="69"/>
      <c r="E376" s="51"/>
      <c r="F376" s="51"/>
      <c r="G376" s="51"/>
      <c r="H376" s="63"/>
      <c r="I376" s="63"/>
      <c r="J376" s="25"/>
      <c r="K376" s="24"/>
      <c r="L376" s="74"/>
      <c r="M376" s="24"/>
    </row>
    <row r="377" spans="1:13" ht="20.100000000000001" customHeight="1" x14ac:dyDescent="0.2">
      <c r="A377" s="9">
        <f>ROW('Wash Sale Tracker'!A382)</f>
        <v>382</v>
      </c>
      <c r="B377" s="69"/>
      <c r="C377" s="30"/>
      <c r="D377" s="69"/>
      <c r="E377" s="51"/>
      <c r="F377" s="51"/>
      <c r="G377" s="51"/>
      <c r="H377" s="63"/>
      <c r="I377" s="63"/>
      <c r="J377" s="25"/>
      <c r="K377" s="24"/>
      <c r="L377" s="74"/>
      <c r="M377" s="24"/>
    </row>
    <row r="378" spans="1:13" ht="20.100000000000001" customHeight="1" x14ac:dyDescent="0.2">
      <c r="A378" s="9">
        <f>ROW('Wash Sale Tracker'!A383)</f>
        <v>383</v>
      </c>
      <c r="B378" s="69"/>
      <c r="C378" s="30"/>
      <c r="D378" s="69"/>
      <c r="E378" s="51"/>
      <c r="F378" s="51"/>
      <c r="G378" s="51"/>
      <c r="H378" s="63"/>
      <c r="I378" s="63"/>
      <c r="J378" s="25"/>
      <c r="K378" s="24"/>
      <c r="L378" s="74"/>
      <c r="M378" s="24"/>
    </row>
    <row r="379" spans="1:13" ht="20.100000000000001" customHeight="1" x14ac:dyDescent="0.2">
      <c r="A379" s="9">
        <f>ROW('Wash Sale Tracker'!A384)</f>
        <v>384</v>
      </c>
      <c r="B379" s="69"/>
      <c r="C379" s="30"/>
      <c r="D379" s="69"/>
      <c r="E379" s="51"/>
      <c r="F379" s="51"/>
      <c r="G379" s="51"/>
      <c r="H379" s="63"/>
      <c r="I379" s="63"/>
      <c r="J379" s="25"/>
      <c r="K379" s="24"/>
      <c r="L379" s="74"/>
      <c r="M379" s="24"/>
    </row>
    <row r="380" spans="1:13" ht="20.100000000000001" customHeight="1" x14ac:dyDescent="0.2">
      <c r="A380" s="9">
        <f>ROW('Wash Sale Tracker'!A385)</f>
        <v>385</v>
      </c>
      <c r="B380" s="69"/>
      <c r="C380" s="30"/>
      <c r="D380" s="69"/>
      <c r="E380" s="51"/>
      <c r="F380" s="51"/>
      <c r="G380" s="51"/>
      <c r="H380" s="63"/>
      <c r="I380" s="63"/>
      <c r="J380" s="25"/>
      <c r="K380" s="24"/>
      <c r="L380" s="74"/>
      <c r="M380" s="24"/>
    </row>
    <row r="381" spans="1:13" ht="20.100000000000001" customHeight="1" x14ac:dyDescent="0.2">
      <c r="A381" s="9">
        <f>ROW('Wash Sale Tracker'!A386)</f>
        <v>386</v>
      </c>
      <c r="B381" s="69"/>
      <c r="C381" s="30"/>
      <c r="D381" s="69"/>
      <c r="E381" s="51"/>
      <c r="F381" s="51"/>
      <c r="G381" s="51"/>
      <c r="H381" s="63"/>
      <c r="I381" s="63"/>
      <c r="J381" s="25"/>
      <c r="K381" s="24"/>
      <c r="L381" s="74"/>
      <c r="M381" s="24"/>
    </row>
    <row r="382" spans="1:13" ht="20.100000000000001" customHeight="1" x14ac:dyDescent="0.2">
      <c r="A382" s="9">
        <f>ROW('Wash Sale Tracker'!A387)</f>
        <v>387</v>
      </c>
      <c r="B382" s="69"/>
      <c r="C382" s="30"/>
      <c r="D382" s="69"/>
      <c r="E382" s="51"/>
      <c r="F382" s="51"/>
      <c r="G382" s="51"/>
      <c r="H382" s="63"/>
      <c r="I382" s="63"/>
      <c r="J382" s="25"/>
      <c r="K382" s="24"/>
      <c r="L382" s="74"/>
      <c r="M382" s="24"/>
    </row>
    <row r="383" spans="1:13" ht="20.100000000000001" customHeight="1" x14ac:dyDescent="0.2">
      <c r="A383" s="9">
        <f>ROW('Wash Sale Tracker'!A388)</f>
        <v>388</v>
      </c>
      <c r="B383" s="69"/>
      <c r="C383" s="30"/>
      <c r="D383" s="69"/>
      <c r="E383" s="51"/>
      <c r="F383" s="51"/>
      <c r="G383" s="51"/>
      <c r="H383" s="63"/>
      <c r="I383" s="63"/>
      <c r="J383" s="25"/>
      <c r="K383" s="24"/>
      <c r="L383" s="74"/>
      <c r="M383" s="24"/>
    </row>
    <row r="384" spans="1:13" ht="20.100000000000001" customHeight="1" x14ac:dyDescent="0.2">
      <c r="A384" s="9">
        <f>ROW('Wash Sale Tracker'!A389)</f>
        <v>389</v>
      </c>
      <c r="B384" s="69"/>
      <c r="C384" s="30"/>
      <c r="D384" s="69"/>
      <c r="E384" s="51"/>
      <c r="F384" s="51"/>
      <c r="G384" s="51"/>
      <c r="H384" s="63"/>
      <c r="I384" s="63"/>
      <c r="J384" s="25"/>
      <c r="K384" s="24"/>
      <c r="L384" s="74"/>
      <c r="M384" s="24"/>
    </row>
    <row r="385" spans="1:13" ht="20.100000000000001" customHeight="1" x14ac:dyDescent="0.2">
      <c r="A385" s="9">
        <f>ROW('Wash Sale Tracker'!A390)</f>
        <v>390</v>
      </c>
      <c r="B385" s="69"/>
      <c r="C385" s="30"/>
      <c r="D385" s="69"/>
      <c r="E385" s="51"/>
      <c r="F385" s="51"/>
      <c r="G385" s="51"/>
      <c r="H385" s="63"/>
      <c r="I385" s="63"/>
      <c r="J385" s="25"/>
      <c r="K385" s="24"/>
      <c r="L385" s="74"/>
      <c r="M385" s="24"/>
    </row>
    <row r="386" spans="1:13" ht="20.100000000000001" customHeight="1" x14ac:dyDescent="0.2">
      <c r="A386" s="9">
        <f>ROW('Wash Sale Tracker'!A391)</f>
        <v>391</v>
      </c>
      <c r="B386" s="69"/>
      <c r="C386" s="30"/>
      <c r="D386" s="69"/>
      <c r="E386" s="51"/>
      <c r="F386" s="51"/>
      <c r="G386" s="51"/>
      <c r="H386" s="63"/>
      <c r="I386" s="63"/>
      <c r="J386" s="25"/>
      <c r="K386" s="24"/>
      <c r="L386" s="74"/>
      <c r="M386" s="24"/>
    </row>
    <row r="387" spans="1:13" ht="20.100000000000001" customHeight="1" x14ac:dyDescent="0.2">
      <c r="A387" s="9">
        <f>ROW('Wash Sale Tracker'!A392)</f>
        <v>392</v>
      </c>
      <c r="B387" s="69"/>
      <c r="C387" s="30"/>
      <c r="D387" s="69"/>
      <c r="E387" s="51"/>
      <c r="F387" s="51"/>
      <c r="G387" s="51"/>
      <c r="H387" s="63"/>
      <c r="I387" s="63"/>
      <c r="J387" s="25"/>
      <c r="K387" s="24"/>
      <c r="L387" s="74"/>
      <c r="M387" s="24"/>
    </row>
    <row r="388" spans="1:13" ht="20.100000000000001" customHeight="1" x14ac:dyDescent="0.2">
      <c r="A388" s="9">
        <f>ROW('Wash Sale Tracker'!A393)</f>
        <v>393</v>
      </c>
      <c r="B388" s="69"/>
      <c r="C388" s="30"/>
      <c r="D388" s="69"/>
      <c r="E388" s="51"/>
      <c r="F388" s="51"/>
      <c r="G388" s="51"/>
      <c r="H388" s="63"/>
      <c r="I388" s="63"/>
      <c r="J388" s="25"/>
      <c r="K388" s="24"/>
      <c r="L388" s="74"/>
      <c r="M388" s="24"/>
    </row>
    <row r="389" spans="1:13" ht="20.100000000000001" customHeight="1" x14ac:dyDescent="0.2">
      <c r="A389" s="9">
        <f>ROW('Wash Sale Tracker'!A394)</f>
        <v>394</v>
      </c>
      <c r="B389" s="69"/>
      <c r="C389" s="30"/>
      <c r="D389" s="69"/>
      <c r="E389" s="51"/>
      <c r="F389" s="51"/>
      <c r="G389" s="51"/>
      <c r="H389" s="63"/>
      <c r="I389" s="63"/>
      <c r="J389" s="25"/>
      <c r="K389" s="24"/>
      <c r="L389" s="74"/>
      <c r="M389" s="24"/>
    </row>
    <row r="390" spans="1:13" ht="20.100000000000001" customHeight="1" x14ac:dyDescent="0.2">
      <c r="A390" s="9">
        <f>ROW('Wash Sale Tracker'!A395)</f>
        <v>395</v>
      </c>
      <c r="B390" s="69"/>
      <c r="C390" s="30"/>
      <c r="D390" s="69"/>
      <c r="E390" s="51"/>
      <c r="F390" s="51"/>
      <c r="G390" s="51"/>
      <c r="H390" s="63"/>
      <c r="I390" s="63"/>
      <c r="J390" s="25"/>
      <c r="K390" s="24"/>
      <c r="L390" s="74"/>
      <c r="M390" s="24"/>
    </row>
    <row r="391" spans="1:13" ht="20.100000000000001" customHeight="1" x14ac:dyDescent="0.2">
      <c r="A391" s="9">
        <f>ROW('Wash Sale Tracker'!A396)</f>
        <v>396</v>
      </c>
      <c r="B391" s="69"/>
      <c r="C391" s="30"/>
      <c r="D391" s="69"/>
      <c r="E391" s="51"/>
      <c r="F391" s="51"/>
      <c r="G391" s="51"/>
      <c r="H391" s="63"/>
      <c r="I391" s="63"/>
      <c r="J391" s="25"/>
      <c r="K391" s="24"/>
      <c r="L391" s="74"/>
      <c r="M391" s="24"/>
    </row>
    <row r="392" spans="1:13" ht="20.100000000000001" customHeight="1" x14ac:dyDescent="0.2">
      <c r="A392" s="9">
        <f>ROW('Wash Sale Tracker'!A397)</f>
        <v>397</v>
      </c>
      <c r="B392" s="69"/>
      <c r="C392" s="30"/>
      <c r="D392" s="69"/>
      <c r="E392" s="51"/>
      <c r="F392" s="51"/>
      <c r="G392" s="51"/>
      <c r="H392" s="63"/>
      <c r="I392" s="63"/>
      <c r="J392" s="25"/>
      <c r="K392" s="24"/>
      <c r="L392" s="74"/>
      <c r="M392" s="24"/>
    </row>
    <row r="393" spans="1:13" ht="20.100000000000001" customHeight="1" x14ac:dyDescent="0.2">
      <c r="A393" s="9">
        <f>ROW('Wash Sale Tracker'!A398)</f>
        <v>398</v>
      </c>
      <c r="B393" s="69"/>
      <c r="C393" s="30"/>
      <c r="D393" s="69"/>
      <c r="E393" s="51"/>
      <c r="F393" s="51"/>
      <c r="G393" s="51"/>
      <c r="H393" s="63"/>
      <c r="I393" s="63"/>
      <c r="J393" s="25"/>
      <c r="K393" s="24"/>
      <c r="L393" s="74"/>
      <c r="M393" s="24"/>
    </row>
    <row r="394" spans="1:13" ht="20.100000000000001" customHeight="1" x14ac:dyDescent="0.2">
      <c r="A394" s="9">
        <f>ROW('Wash Sale Tracker'!A399)</f>
        <v>399</v>
      </c>
      <c r="B394" s="69"/>
      <c r="C394" s="30"/>
      <c r="D394" s="69"/>
      <c r="E394" s="51"/>
      <c r="F394" s="51"/>
      <c r="G394" s="51"/>
      <c r="H394" s="63"/>
      <c r="I394" s="63"/>
      <c r="J394" s="25"/>
      <c r="K394" s="24"/>
      <c r="L394" s="74"/>
      <c r="M394" s="24"/>
    </row>
    <row r="395" spans="1:13" ht="20.100000000000001" customHeight="1" x14ac:dyDescent="0.2">
      <c r="A395" s="9">
        <f>ROW('Wash Sale Tracker'!A400)</f>
        <v>400</v>
      </c>
      <c r="B395" s="69"/>
      <c r="C395" s="30"/>
      <c r="D395" s="69"/>
      <c r="E395" s="51"/>
      <c r="F395" s="51"/>
      <c r="G395" s="51"/>
      <c r="H395" s="63"/>
      <c r="I395" s="63"/>
      <c r="J395" s="25"/>
      <c r="K395" s="24"/>
      <c r="L395" s="74"/>
      <c r="M395" s="24"/>
    </row>
    <row r="396" spans="1:13" ht="20.100000000000001" customHeight="1" x14ac:dyDescent="0.2">
      <c r="A396" s="9">
        <f>ROW('Wash Sale Tracker'!A401)</f>
        <v>401</v>
      </c>
      <c r="B396" s="69"/>
      <c r="C396" s="30"/>
      <c r="D396" s="69"/>
      <c r="E396" s="51"/>
      <c r="F396" s="51"/>
      <c r="G396" s="51"/>
      <c r="H396" s="63"/>
      <c r="I396" s="63"/>
      <c r="J396" s="25"/>
      <c r="K396" s="24"/>
      <c r="L396" s="74"/>
      <c r="M396" s="24"/>
    </row>
    <row r="397" spans="1:13" ht="20.100000000000001" customHeight="1" x14ac:dyDescent="0.2">
      <c r="A397" s="9">
        <f>ROW('Wash Sale Tracker'!A402)</f>
        <v>402</v>
      </c>
      <c r="B397" s="69"/>
      <c r="C397" s="30"/>
      <c r="D397" s="69"/>
      <c r="E397" s="51"/>
      <c r="F397" s="51"/>
      <c r="G397" s="51"/>
      <c r="H397" s="63"/>
      <c r="I397" s="63"/>
      <c r="J397" s="25"/>
      <c r="K397" s="24"/>
      <c r="L397" s="74"/>
      <c r="M397" s="24"/>
    </row>
    <row r="398" spans="1:13" ht="20.100000000000001" customHeight="1" x14ac:dyDescent="0.2">
      <c r="A398" s="9">
        <f>ROW('Wash Sale Tracker'!A403)</f>
        <v>403</v>
      </c>
      <c r="B398" s="69"/>
      <c r="C398" s="30"/>
      <c r="D398" s="69"/>
      <c r="E398" s="51"/>
      <c r="F398" s="51"/>
      <c r="G398" s="51"/>
      <c r="H398" s="63"/>
      <c r="I398" s="63"/>
      <c r="J398" s="25"/>
      <c r="K398" s="24"/>
      <c r="L398" s="74"/>
      <c r="M398" s="24"/>
    </row>
    <row r="399" spans="1:13" ht="20.100000000000001" customHeight="1" x14ac:dyDescent="0.2">
      <c r="A399" s="9">
        <f>ROW('Wash Sale Tracker'!A404)</f>
        <v>404</v>
      </c>
      <c r="B399" s="69"/>
      <c r="C399" s="30"/>
      <c r="D399" s="69"/>
      <c r="E399" s="51"/>
      <c r="F399" s="51"/>
      <c r="G399" s="51"/>
      <c r="H399" s="63"/>
      <c r="I399" s="63"/>
      <c r="J399" s="25"/>
      <c r="K399" s="24"/>
      <c r="L399" s="74"/>
      <c r="M399" s="24"/>
    </row>
    <row r="400" spans="1:13" ht="20.100000000000001" customHeight="1" x14ac:dyDescent="0.2">
      <c r="A400" s="9">
        <f>ROW('Wash Sale Tracker'!A405)</f>
        <v>405</v>
      </c>
      <c r="B400" s="69"/>
      <c r="C400" s="30"/>
      <c r="D400" s="69"/>
      <c r="E400" s="51"/>
      <c r="F400" s="51"/>
      <c r="G400" s="51"/>
      <c r="H400" s="63"/>
      <c r="I400" s="63"/>
      <c r="J400" s="25"/>
      <c r="K400" s="24"/>
      <c r="L400" s="74"/>
      <c r="M400" s="24"/>
    </row>
    <row r="401" spans="1:13" ht="20.100000000000001" customHeight="1" x14ac:dyDescent="0.2">
      <c r="A401" s="9">
        <f>ROW('Wash Sale Tracker'!A406)</f>
        <v>406</v>
      </c>
      <c r="B401" s="69"/>
      <c r="C401" s="30"/>
      <c r="D401" s="69"/>
      <c r="E401" s="51"/>
      <c r="F401" s="51"/>
      <c r="G401" s="51"/>
      <c r="H401" s="63"/>
      <c r="I401" s="63"/>
      <c r="J401" s="25"/>
      <c r="K401" s="24"/>
      <c r="L401" s="74"/>
      <c r="M401" s="24"/>
    </row>
    <row r="402" spans="1:13" ht="20.100000000000001" customHeight="1" x14ac:dyDescent="0.2">
      <c r="A402" s="9">
        <f>ROW('Wash Sale Tracker'!A407)</f>
        <v>407</v>
      </c>
      <c r="B402" s="69"/>
      <c r="C402" s="30"/>
      <c r="D402" s="69"/>
      <c r="E402" s="51"/>
      <c r="F402" s="51"/>
      <c r="G402" s="51"/>
      <c r="H402" s="63"/>
      <c r="I402" s="63"/>
      <c r="J402" s="25"/>
      <c r="K402" s="24"/>
      <c r="L402" s="74"/>
      <c r="M402" s="24"/>
    </row>
    <row r="403" spans="1:13" ht="20.100000000000001" customHeight="1" x14ac:dyDescent="0.2">
      <c r="A403" s="9">
        <f>ROW('Wash Sale Tracker'!A408)</f>
        <v>408</v>
      </c>
      <c r="B403" s="69"/>
      <c r="C403" s="30"/>
      <c r="D403" s="69"/>
      <c r="E403" s="51"/>
      <c r="F403" s="51"/>
      <c r="G403" s="51"/>
      <c r="H403" s="63"/>
      <c r="I403" s="63"/>
      <c r="J403" s="25"/>
      <c r="K403" s="24"/>
      <c r="L403" s="74"/>
      <c r="M403" s="24"/>
    </row>
    <row r="404" spans="1:13" ht="20.100000000000001" customHeight="1" x14ac:dyDescent="0.2">
      <c r="A404" s="9">
        <f>ROW('Wash Sale Tracker'!A409)</f>
        <v>409</v>
      </c>
      <c r="B404" s="69"/>
      <c r="C404" s="30"/>
      <c r="D404" s="69"/>
      <c r="E404" s="51"/>
      <c r="F404" s="51"/>
      <c r="G404" s="51"/>
      <c r="H404" s="63"/>
      <c r="I404" s="63"/>
      <c r="J404" s="25"/>
      <c r="K404" s="24"/>
      <c r="L404" s="74"/>
      <c r="M404" s="24"/>
    </row>
    <row r="405" spans="1:13" ht="20.100000000000001" customHeight="1" x14ac:dyDescent="0.2">
      <c r="A405" s="9">
        <f>ROW('Wash Sale Tracker'!A410)</f>
        <v>410</v>
      </c>
      <c r="B405" s="69"/>
      <c r="C405" s="30"/>
      <c r="D405" s="69"/>
      <c r="E405" s="51"/>
      <c r="F405" s="51"/>
      <c r="G405" s="51"/>
      <c r="H405" s="63"/>
      <c r="I405" s="63"/>
      <c r="J405" s="25"/>
      <c r="K405" s="24"/>
      <c r="L405" s="74"/>
      <c r="M405" s="24"/>
    </row>
    <row r="406" spans="1:13" ht="20.100000000000001" customHeight="1" x14ac:dyDescent="0.2">
      <c r="A406" s="9">
        <f>ROW('Wash Sale Tracker'!A411)</f>
        <v>411</v>
      </c>
      <c r="B406" s="69"/>
      <c r="C406" s="30"/>
      <c r="D406" s="69"/>
      <c r="E406" s="51"/>
      <c r="F406" s="51"/>
      <c r="G406" s="51"/>
      <c r="H406" s="63"/>
      <c r="I406" s="63"/>
      <c r="J406" s="25"/>
      <c r="K406" s="24"/>
      <c r="L406" s="74"/>
      <c r="M406" s="24"/>
    </row>
    <row r="407" spans="1:13" ht="20.100000000000001" customHeight="1" x14ac:dyDescent="0.2">
      <c r="A407" s="9">
        <f>ROW('Wash Sale Tracker'!A412)</f>
        <v>412</v>
      </c>
      <c r="B407" s="69"/>
      <c r="C407" s="30"/>
      <c r="D407" s="69"/>
      <c r="E407" s="51"/>
      <c r="F407" s="51"/>
      <c r="G407" s="51"/>
      <c r="H407" s="63"/>
      <c r="I407" s="63"/>
      <c r="J407" s="25"/>
      <c r="K407" s="24"/>
      <c r="L407" s="74"/>
      <c r="M407" s="24"/>
    </row>
    <row r="408" spans="1:13" ht="20.100000000000001" customHeight="1" x14ac:dyDescent="0.2">
      <c r="A408" s="9">
        <f>ROW('Wash Sale Tracker'!A413)</f>
        <v>413</v>
      </c>
      <c r="B408" s="69"/>
      <c r="C408" s="30"/>
      <c r="D408" s="69"/>
      <c r="E408" s="51"/>
      <c r="F408" s="51"/>
      <c r="G408" s="51"/>
      <c r="H408" s="63"/>
      <c r="I408" s="63"/>
      <c r="J408" s="25"/>
      <c r="K408" s="24"/>
      <c r="L408" s="74"/>
      <c r="M408" s="24"/>
    </row>
    <row r="409" spans="1:13" ht="20.100000000000001" customHeight="1" x14ac:dyDescent="0.2">
      <c r="A409" s="9">
        <f>ROW('Wash Sale Tracker'!A414)</f>
        <v>414</v>
      </c>
      <c r="B409" s="69"/>
      <c r="C409" s="30"/>
      <c r="D409" s="69"/>
      <c r="E409" s="51"/>
      <c r="F409" s="51"/>
      <c r="G409" s="51"/>
      <c r="H409" s="63"/>
      <c r="I409" s="63"/>
      <c r="J409" s="25"/>
      <c r="K409" s="24"/>
      <c r="L409" s="74"/>
      <c r="M409" s="24"/>
    </row>
    <row r="410" spans="1:13" ht="20.100000000000001" customHeight="1" x14ac:dyDescent="0.2">
      <c r="A410" s="9">
        <f>ROW('Wash Sale Tracker'!A415)</f>
        <v>415</v>
      </c>
      <c r="B410" s="69"/>
      <c r="C410" s="30"/>
      <c r="D410" s="69"/>
      <c r="E410" s="51"/>
      <c r="F410" s="51"/>
      <c r="G410" s="51"/>
      <c r="H410" s="63"/>
      <c r="I410" s="63"/>
      <c r="J410" s="25"/>
      <c r="K410" s="24"/>
      <c r="L410" s="74"/>
      <c r="M410" s="24"/>
    </row>
    <row r="411" spans="1:13" ht="20.100000000000001" customHeight="1" x14ac:dyDescent="0.2">
      <c r="A411" s="9">
        <f>ROW('Wash Sale Tracker'!A416)</f>
        <v>416</v>
      </c>
      <c r="B411" s="69"/>
      <c r="C411" s="30"/>
      <c r="D411" s="69"/>
      <c r="E411" s="51"/>
      <c r="F411" s="51"/>
      <c r="G411" s="51"/>
      <c r="H411" s="63"/>
      <c r="I411" s="63"/>
      <c r="J411" s="25"/>
      <c r="K411" s="24"/>
      <c r="L411" s="74"/>
      <c r="M411" s="24"/>
    </row>
    <row r="412" spans="1:13" ht="20.100000000000001" customHeight="1" x14ac:dyDescent="0.2">
      <c r="A412" s="9">
        <f>ROW('Wash Sale Tracker'!A417)</f>
        <v>417</v>
      </c>
      <c r="B412" s="69"/>
      <c r="C412" s="30"/>
      <c r="D412" s="69"/>
      <c r="E412" s="51"/>
      <c r="F412" s="51"/>
      <c r="G412" s="51"/>
      <c r="H412" s="63"/>
      <c r="I412" s="63"/>
      <c r="J412" s="25"/>
      <c r="K412" s="24"/>
      <c r="L412" s="74"/>
      <c r="M412" s="24"/>
    </row>
    <row r="413" spans="1:13" ht="20.100000000000001" customHeight="1" x14ac:dyDescent="0.2">
      <c r="A413" s="9">
        <f>ROW('Wash Sale Tracker'!A418)</f>
        <v>418</v>
      </c>
      <c r="B413" s="69"/>
      <c r="C413" s="30"/>
      <c r="D413" s="69"/>
      <c r="E413" s="51"/>
      <c r="F413" s="51"/>
      <c r="G413" s="51"/>
      <c r="H413" s="63"/>
      <c r="I413" s="63"/>
      <c r="J413" s="25"/>
      <c r="K413" s="24"/>
      <c r="L413" s="74"/>
      <c r="M413" s="24"/>
    </row>
    <row r="414" spans="1:13" ht="20.100000000000001" customHeight="1" x14ac:dyDescent="0.2">
      <c r="A414" s="9">
        <f>ROW('Wash Sale Tracker'!A419)</f>
        <v>419</v>
      </c>
      <c r="B414" s="69"/>
      <c r="C414" s="30"/>
      <c r="D414" s="69"/>
      <c r="E414" s="51"/>
      <c r="F414" s="51"/>
      <c r="G414" s="51"/>
      <c r="H414" s="63"/>
      <c r="I414" s="63"/>
      <c r="J414" s="25"/>
      <c r="K414" s="24"/>
      <c r="L414" s="74"/>
      <c r="M414" s="24"/>
    </row>
    <row r="415" spans="1:13" ht="20.100000000000001" customHeight="1" x14ac:dyDescent="0.2">
      <c r="A415" s="9">
        <f>ROW('Wash Sale Tracker'!A420)</f>
        <v>420</v>
      </c>
      <c r="B415" s="69"/>
      <c r="C415" s="30"/>
      <c r="D415" s="69"/>
      <c r="E415" s="51"/>
      <c r="F415" s="51"/>
      <c r="G415" s="51"/>
      <c r="H415" s="63"/>
      <c r="I415" s="63"/>
      <c r="J415" s="25"/>
      <c r="K415" s="24"/>
      <c r="L415" s="74"/>
      <c r="M415" s="24"/>
    </row>
    <row r="416" spans="1:13" ht="20.100000000000001" customHeight="1" x14ac:dyDescent="0.2">
      <c r="A416" s="9">
        <f>ROW('Wash Sale Tracker'!A421)</f>
        <v>421</v>
      </c>
      <c r="B416" s="69"/>
      <c r="C416" s="30"/>
      <c r="D416" s="69"/>
      <c r="E416" s="51"/>
      <c r="F416" s="51"/>
      <c r="G416" s="51"/>
      <c r="H416" s="63"/>
      <c r="I416" s="63"/>
      <c r="J416" s="25"/>
      <c r="K416" s="24"/>
      <c r="L416" s="74"/>
      <c r="M416" s="24"/>
    </row>
    <row r="417" spans="1:13" ht="20.100000000000001" customHeight="1" x14ac:dyDescent="0.2">
      <c r="A417" s="9">
        <f>ROW('Wash Sale Tracker'!A422)</f>
        <v>422</v>
      </c>
      <c r="B417" s="69"/>
      <c r="C417" s="30"/>
      <c r="D417" s="69"/>
      <c r="E417" s="51"/>
      <c r="F417" s="51"/>
      <c r="G417" s="51"/>
      <c r="H417" s="63"/>
      <c r="I417" s="63"/>
      <c r="J417" s="25"/>
      <c r="K417" s="24"/>
      <c r="L417" s="74"/>
      <c r="M417" s="24"/>
    </row>
    <row r="418" spans="1:13" ht="20.100000000000001" customHeight="1" x14ac:dyDescent="0.2">
      <c r="A418" s="9">
        <f>ROW('Wash Sale Tracker'!A423)</f>
        <v>423</v>
      </c>
      <c r="B418" s="69"/>
      <c r="C418" s="30"/>
      <c r="D418" s="69"/>
      <c r="E418" s="51"/>
      <c r="F418" s="51"/>
      <c r="G418" s="51"/>
      <c r="H418" s="63"/>
      <c r="I418" s="63"/>
      <c r="J418" s="25"/>
      <c r="K418" s="24"/>
      <c r="L418" s="74"/>
      <c r="M418" s="24"/>
    </row>
    <row r="419" spans="1:13" ht="20.100000000000001" customHeight="1" x14ac:dyDescent="0.2">
      <c r="A419" s="9">
        <f>ROW('Wash Sale Tracker'!A424)</f>
        <v>424</v>
      </c>
      <c r="B419" s="69"/>
      <c r="C419" s="30"/>
      <c r="D419" s="69"/>
      <c r="E419" s="51"/>
      <c r="F419" s="51"/>
      <c r="G419" s="51"/>
      <c r="H419" s="63"/>
      <c r="I419" s="63"/>
      <c r="J419" s="25"/>
      <c r="K419" s="24"/>
      <c r="L419" s="74"/>
      <c r="M419" s="24"/>
    </row>
    <row r="420" spans="1:13" ht="20.100000000000001" customHeight="1" x14ac:dyDescent="0.2">
      <c r="A420" s="9">
        <f>ROW('Wash Sale Tracker'!A425)</f>
        <v>425</v>
      </c>
      <c r="B420" s="69"/>
      <c r="C420" s="30"/>
      <c r="D420" s="69"/>
      <c r="E420" s="51"/>
      <c r="F420" s="51"/>
      <c r="G420" s="51"/>
      <c r="H420" s="63"/>
      <c r="I420" s="63"/>
      <c r="J420" s="25"/>
      <c r="K420" s="24"/>
      <c r="L420" s="74"/>
      <c r="M420" s="24"/>
    </row>
    <row r="421" spans="1:13" ht="20.100000000000001" customHeight="1" x14ac:dyDescent="0.2">
      <c r="A421" s="9">
        <f>ROW('Wash Sale Tracker'!A426)</f>
        <v>426</v>
      </c>
      <c r="B421" s="69"/>
      <c r="C421" s="30"/>
      <c r="D421" s="69"/>
      <c r="E421" s="51"/>
      <c r="F421" s="51"/>
      <c r="G421" s="51"/>
      <c r="H421" s="63"/>
      <c r="I421" s="63"/>
      <c r="J421" s="25"/>
      <c r="K421" s="24"/>
      <c r="L421" s="74"/>
      <c r="M421" s="24"/>
    </row>
    <row r="422" spans="1:13" ht="20.100000000000001" customHeight="1" x14ac:dyDescent="0.2">
      <c r="A422" s="9">
        <f>ROW('Wash Sale Tracker'!A427)</f>
        <v>427</v>
      </c>
      <c r="B422" s="69"/>
      <c r="C422" s="30"/>
      <c r="D422" s="69"/>
      <c r="E422" s="51"/>
      <c r="F422" s="51"/>
      <c r="G422" s="51"/>
      <c r="H422" s="63"/>
      <c r="I422" s="63"/>
      <c r="J422" s="25"/>
      <c r="K422" s="24"/>
      <c r="L422" s="74"/>
      <c r="M422" s="24"/>
    </row>
    <row r="423" spans="1:13" ht="20.100000000000001" customHeight="1" x14ac:dyDescent="0.2">
      <c r="A423" s="9">
        <f>ROW('Wash Sale Tracker'!A428)</f>
        <v>428</v>
      </c>
      <c r="B423" s="69"/>
      <c r="C423" s="30"/>
      <c r="D423" s="69"/>
      <c r="E423" s="51"/>
      <c r="F423" s="51"/>
      <c r="G423" s="51"/>
      <c r="H423" s="63"/>
      <c r="I423" s="63"/>
      <c r="J423" s="25"/>
      <c r="K423" s="24"/>
      <c r="L423" s="74"/>
      <c r="M423" s="24"/>
    </row>
    <row r="424" spans="1:13" ht="20.100000000000001" customHeight="1" x14ac:dyDescent="0.2">
      <c r="A424" s="9">
        <f>ROW('Wash Sale Tracker'!A429)</f>
        <v>429</v>
      </c>
      <c r="B424" s="69"/>
      <c r="C424" s="30"/>
      <c r="D424" s="69"/>
      <c r="E424" s="51"/>
      <c r="F424" s="51"/>
      <c r="G424" s="51"/>
      <c r="H424" s="63"/>
      <c r="I424" s="63"/>
      <c r="J424" s="25"/>
      <c r="K424" s="24"/>
      <c r="L424" s="74"/>
      <c r="M424" s="24"/>
    </row>
    <row r="425" spans="1:13" ht="20.100000000000001" customHeight="1" x14ac:dyDescent="0.2">
      <c r="A425" s="9">
        <f>ROW('Wash Sale Tracker'!A430)</f>
        <v>430</v>
      </c>
      <c r="B425" s="69"/>
      <c r="C425" s="30"/>
      <c r="D425" s="69"/>
      <c r="E425" s="51"/>
      <c r="F425" s="51"/>
      <c r="G425" s="51"/>
      <c r="H425" s="63"/>
      <c r="I425" s="63"/>
      <c r="J425" s="25"/>
      <c r="K425" s="24"/>
      <c r="L425" s="74"/>
      <c r="M425" s="24"/>
    </row>
    <row r="426" spans="1:13" ht="20.100000000000001" customHeight="1" x14ac:dyDescent="0.2">
      <c r="A426" s="9">
        <f>ROW('Wash Sale Tracker'!A431)</f>
        <v>431</v>
      </c>
      <c r="B426" s="69"/>
      <c r="C426" s="30"/>
      <c r="D426" s="69"/>
      <c r="E426" s="51"/>
      <c r="F426" s="51"/>
      <c r="G426" s="51"/>
      <c r="H426" s="63"/>
      <c r="I426" s="63"/>
      <c r="J426" s="25"/>
      <c r="K426" s="24"/>
      <c r="L426" s="74"/>
      <c r="M426" s="24"/>
    </row>
    <row r="427" spans="1:13" ht="20.100000000000001" customHeight="1" x14ac:dyDescent="0.2">
      <c r="A427" s="9">
        <f>ROW('Wash Sale Tracker'!A432)</f>
        <v>432</v>
      </c>
      <c r="B427" s="69"/>
      <c r="C427" s="30"/>
      <c r="D427" s="69"/>
      <c r="E427" s="51"/>
      <c r="F427" s="51"/>
      <c r="G427" s="51"/>
      <c r="H427" s="63"/>
      <c r="I427" s="63"/>
      <c r="J427" s="25"/>
      <c r="K427" s="24"/>
      <c r="L427" s="74"/>
      <c r="M427" s="24"/>
    </row>
    <row r="428" spans="1:13" ht="20.100000000000001" customHeight="1" x14ac:dyDescent="0.2">
      <c r="A428" s="9">
        <f>ROW('Wash Sale Tracker'!A433)</f>
        <v>433</v>
      </c>
      <c r="B428" s="69"/>
      <c r="C428" s="30"/>
      <c r="D428" s="69"/>
      <c r="E428" s="51"/>
      <c r="F428" s="51"/>
      <c r="G428" s="51"/>
      <c r="H428" s="63"/>
      <c r="I428" s="63"/>
      <c r="J428" s="25"/>
      <c r="K428" s="24"/>
      <c r="L428" s="74"/>
      <c r="M428" s="24"/>
    </row>
    <row r="429" spans="1:13" ht="20.100000000000001" customHeight="1" x14ac:dyDescent="0.2">
      <c r="A429" s="9">
        <f>ROW('Wash Sale Tracker'!A434)</f>
        <v>434</v>
      </c>
      <c r="B429" s="69"/>
      <c r="C429" s="30"/>
      <c r="D429" s="69"/>
      <c r="E429" s="51"/>
      <c r="F429" s="51"/>
      <c r="G429" s="51"/>
      <c r="H429" s="63"/>
      <c r="I429" s="63"/>
      <c r="J429" s="25"/>
      <c r="K429" s="24"/>
      <c r="L429" s="74"/>
      <c r="M429" s="24"/>
    </row>
    <row r="430" spans="1:13" ht="20.100000000000001" customHeight="1" x14ac:dyDescent="0.2">
      <c r="A430" s="9">
        <f>ROW('Wash Sale Tracker'!A435)</f>
        <v>435</v>
      </c>
      <c r="B430" s="69"/>
      <c r="C430" s="30"/>
      <c r="D430" s="69"/>
      <c r="E430" s="51"/>
      <c r="F430" s="51"/>
      <c r="G430" s="51"/>
      <c r="H430" s="63"/>
      <c r="I430" s="63"/>
      <c r="J430" s="25"/>
      <c r="K430" s="24"/>
      <c r="L430" s="74"/>
      <c r="M430" s="24"/>
    </row>
    <row r="431" spans="1:13" ht="20.100000000000001" customHeight="1" x14ac:dyDescent="0.2">
      <c r="A431" s="9">
        <f>ROW('Wash Sale Tracker'!A436)</f>
        <v>436</v>
      </c>
      <c r="B431" s="69"/>
      <c r="C431" s="30"/>
      <c r="D431" s="69"/>
      <c r="E431" s="51"/>
      <c r="F431" s="51"/>
      <c r="G431" s="51"/>
      <c r="H431" s="63"/>
      <c r="I431" s="63"/>
      <c r="J431" s="25"/>
      <c r="K431" s="24"/>
      <c r="L431" s="74"/>
      <c r="M431" s="24"/>
    </row>
    <row r="432" spans="1:13" ht="20.100000000000001" customHeight="1" x14ac:dyDescent="0.2">
      <c r="A432" s="9">
        <f>ROW('Wash Sale Tracker'!A437)</f>
        <v>437</v>
      </c>
      <c r="B432" s="69"/>
      <c r="C432" s="30"/>
      <c r="D432" s="69"/>
      <c r="E432" s="51"/>
      <c r="F432" s="51"/>
      <c r="G432" s="51"/>
      <c r="H432" s="63"/>
      <c r="I432" s="63"/>
      <c r="J432" s="25"/>
      <c r="K432" s="24"/>
      <c r="L432" s="74"/>
      <c r="M432" s="24"/>
    </row>
    <row r="433" spans="1:13" ht="20.100000000000001" customHeight="1" x14ac:dyDescent="0.2">
      <c r="A433" s="9">
        <f>ROW('Wash Sale Tracker'!A438)</f>
        <v>438</v>
      </c>
      <c r="B433" s="69"/>
      <c r="C433" s="30"/>
      <c r="D433" s="69"/>
      <c r="E433" s="51"/>
      <c r="F433" s="51"/>
      <c r="G433" s="51"/>
      <c r="H433" s="63"/>
      <c r="I433" s="63"/>
      <c r="J433" s="25"/>
      <c r="K433" s="24"/>
      <c r="L433" s="74"/>
      <c r="M433" s="24"/>
    </row>
    <row r="434" spans="1:13" ht="20.100000000000001" customHeight="1" x14ac:dyDescent="0.2">
      <c r="A434" s="9">
        <f>ROW('Wash Sale Tracker'!A439)</f>
        <v>439</v>
      </c>
      <c r="B434" s="69"/>
      <c r="C434" s="30"/>
      <c r="D434" s="69"/>
      <c r="E434" s="51"/>
      <c r="F434" s="51"/>
      <c r="G434" s="51"/>
      <c r="H434" s="63"/>
      <c r="I434" s="63"/>
      <c r="J434" s="25"/>
      <c r="K434" s="24"/>
      <c r="L434" s="74"/>
      <c r="M434" s="24"/>
    </row>
    <row r="435" spans="1:13" ht="20.100000000000001" customHeight="1" x14ac:dyDescent="0.2">
      <c r="A435" s="9">
        <f>ROW('Wash Sale Tracker'!A440)</f>
        <v>440</v>
      </c>
      <c r="B435" s="69"/>
      <c r="C435" s="30"/>
      <c r="D435" s="69"/>
      <c r="E435" s="51"/>
      <c r="F435" s="51"/>
      <c r="G435" s="51"/>
      <c r="H435" s="63"/>
      <c r="I435" s="63"/>
      <c r="J435" s="25"/>
      <c r="K435" s="24"/>
      <c r="L435" s="74"/>
      <c r="M435" s="24"/>
    </row>
    <row r="436" spans="1:13" ht="20.100000000000001" customHeight="1" x14ac:dyDescent="0.2">
      <c r="A436" s="9">
        <f>ROW('Wash Sale Tracker'!A441)</f>
        <v>441</v>
      </c>
      <c r="B436" s="69"/>
      <c r="C436" s="30"/>
      <c r="D436" s="69"/>
      <c r="E436" s="51"/>
      <c r="F436" s="51"/>
      <c r="G436" s="51"/>
      <c r="H436" s="63"/>
      <c r="I436" s="63"/>
      <c r="J436" s="25"/>
      <c r="K436" s="24"/>
      <c r="L436" s="74"/>
      <c r="M436" s="24"/>
    </row>
    <row r="437" spans="1:13" ht="20.100000000000001" customHeight="1" x14ac:dyDescent="0.2">
      <c r="A437" s="9">
        <f>ROW('Wash Sale Tracker'!A442)</f>
        <v>442</v>
      </c>
      <c r="B437" s="69"/>
      <c r="C437" s="30"/>
      <c r="D437" s="69"/>
      <c r="E437" s="51"/>
      <c r="F437" s="51"/>
      <c r="G437" s="51"/>
      <c r="H437" s="63"/>
      <c r="I437" s="63"/>
      <c r="J437" s="25"/>
      <c r="K437" s="24"/>
      <c r="L437" s="74"/>
      <c r="M437" s="24"/>
    </row>
    <row r="438" spans="1:13" ht="20.100000000000001" customHeight="1" x14ac:dyDescent="0.2">
      <c r="A438" s="9">
        <f>ROW('Wash Sale Tracker'!A443)</f>
        <v>443</v>
      </c>
      <c r="B438" s="69"/>
      <c r="C438" s="30"/>
      <c r="D438" s="69"/>
      <c r="E438" s="51"/>
      <c r="F438" s="51"/>
      <c r="G438" s="51"/>
      <c r="H438" s="63"/>
      <c r="I438" s="63"/>
      <c r="J438" s="25"/>
      <c r="K438" s="24"/>
      <c r="L438" s="74"/>
      <c r="M438" s="24"/>
    </row>
    <row r="439" spans="1:13" ht="20.100000000000001" customHeight="1" x14ac:dyDescent="0.2">
      <c r="A439" s="9">
        <f>ROW('Wash Sale Tracker'!A444)</f>
        <v>444</v>
      </c>
      <c r="B439" s="69"/>
      <c r="C439" s="30"/>
      <c r="D439" s="69"/>
      <c r="E439" s="51"/>
      <c r="F439" s="51"/>
      <c r="G439" s="51"/>
      <c r="H439" s="63"/>
      <c r="I439" s="63"/>
      <c r="J439" s="25"/>
      <c r="K439" s="24"/>
      <c r="L439" s="74"/>
      <c r="M439" s="24"/>
    </row>
    <row r="440" spans="1:13" ht="20.100000000000001" customHeight="1" x14ac:dyDescent="0.2">
      <c r="A440" s="9">
        <f>ROW('Wash Sale Tracker'!A445)</f>
        <v>445</v>
      </c>
      <c r="B440" s="69"/>
      <c r="C440" s="30"/>
      <c r="D440" s="69"/>
      <c r="E440" s="51"/>
      <c r="F440" s="51"/>
      <c r="G440" s="51"/>
      <c r="H440" s="63"/>
      <c r="I440" s="63"/>
      <c r="J440" s="25"/>
      <c r="K440" s="24"/>
      <c r="L440" s="74"/>
      <c r="M440" s="24"/>
    </row>
    <row r="441" spans="1:13" ht="20.100000000000001" customHeight="1" x14ac:dyDescent="0.2">
      <c r="A441" s="9">
        <f>ROW('Wash Sale Tracker'!A446)</f>
        <v>446</v>
      </c>
      <c r="B441" s="69"/>
      <c r="C441" s="30"/>
      <c r="D441" s="69"/>
      <c r="E441" s="51"/>
      <c r="F441" s="51"/>
      <c r="G441" s="51"/>
      <c r="H441" s="63"/>
      <c r="I441" s="63"/>
      <c r="J441" s="25"/>
      <c r="K441" s="24"/>
      <c r="L441" s="74"/>
      <c r="M441" s="24"/>
    </row>
    <row r="442" spans="1:13" ht="20.100000000000001" customHeight="1" x14ac:dyDescent="0.2">
      <c r="A442" s="9">
        <f>ROW('Wash Sale Tracker'!A447)</f>
        <v>447</v>
      </c>
      <c r="B442" s="69"/>
      <c r="C442" s="30"/>
      <c r="D442" s="69"/>
      <c r="E442" s="51"/>
      <c r="F442" s="51"/>
      <c r="G442" s="51"/>
      <c r="H442" s="63"/>
      <c r="I442" s="63"/>
      <c r="J442" s="25"/>
      <c r="K442" s="24"/>
      <c r="L442" s="74"/>
      <c r="M442" s="24"/>
    </row>
    <row r="443" spans="1:13" ht="20.100000000000001" customHeight="1" x14ac:dyDescent="0.2">
      <c r="A443" s="9">
        <f>ROW('Wash Sale Tracker'!A448)</f>
        <v>448</v>
      </c>
      <c r="B443" s="69"/>
      <c r="C443" s="30"/>
      <c r="D443" s="69"/>
      <c r="E443" s="51"/>
      <c r="F443" s="51"/>
      <c r="G443" s="51"/>
      <c r="H443" s="63"/>
      <c r="I443" s="63"/>
      <c r="J443" s="25"/>
      <c r="K443" s="24"/>
      <c r="L443" s="74"/>
      <c r="M443" s="24"/>
    </row>
    <row r="444" spans="1:13" ht="20.100000000000001" customHeight="1" x14ac:dyDescent="0.2">
      <c r="A444" s="9">
        <f>ROW('Wash Sale Tracker'!A449)</f>
        <v>449</v>
      </c>
      <c r="B444" s="69"/>
      <c r="C444" s="30"/>
      <c r="D444" s="69"/>
      <c r="E444" s="51"/>
      <c r="F444" s="51"/>
      <c r="G444" s="51"/>
      <c r="H444" s="63"/>
      <c r="I444" s="63"/>
      <c r="J444" s="25"/>
      <c r="K444" s="24"/>
      <c r="L444" s="74"/>
      <c r="M444" s="24"/>
    </row>
    <row r="445" spans="1:13" ht="20.100000000000001" customHeight="1" x14ac:dyDescent="0.2">
      <c r="A445" s="9">
        <f>ROW('Wash Sale Tracker'!A450)</f>
        <v>450</v>
      </c>
      <c r="B445" s="69"/>
      <c r="C445" s="30"/>
      <c r="D445" s="69"/>
      <c r="E445" s="51"/>
      <c r="F445" s="51"/>
      <c r="G445" s="51"/>
      <c r="H445" s="63"/>
      <c r="I445" s="63"/>
      <c r="J445" s="25"/>
      <c r="K445" s="24"/>
      <c r="L445" s="74"/>
      <c r="M445" s="24"/>
    </row>
    <row r="446" spans="1:13" ht="20.100000000000001" customHeight="1" x14ac:dyDescent="0.2">
      <c r="A446" s="9">
        <f>ROW('Wash Sale Tracker'!A451)</f>
        <v>451</v>
      </c>
      <c r="B446" s="69"/>
      <c r="C446" s="30"/>
      <c r="D446" s="69"/>
      <c r="E446" s="51"/>
      <c r="F446" s="51"/>
      <c r="G446" s="51"/>
      <c r="H446" s="63"/>
      <c r="I446" s="63"/>
      <c r="J446" s="25"/>
      <c r="K446" s="24"/>
      <c r="L446" s="74"/>
      <c r="M446" s="24"/>
    </row>
    <row r="447" spans="1:13" ht="20.100000000000001" customHeight="1" x14ac:dyDescent="0.2">
      <c r="A447" s="9">
        <f>ROW('Wash Sale Tracker'!A452)</f>
        <v>452</v>
      </c>
      <c r="B447" s="69"/>
      <c r="C447" s="30"/>
      <c r="D447" s="69"/>
      <c r="E447" s="51"/>
      <c r="F447" s="51"/>
      <c r="G447" s="51"/>
      <c r="H447" s="63"/>
      <c r="I447" s="63"/>
      <c r="J447" s="25"/>
      <c r="K447" s="24"/>
      <c r="L447" s="74"/>
      <c r="M447" s="24"/>
    </row>
    <row r="448" spans="1:13" ht="20.100000000000001" customHeight="1" x14ac:dyDescent="0.2">
      <c r="A448" s="9">
        <f>ROW('Wash Sale Tracker'!A453)</f>
        <v>453</v>
      </c>
      <c r="B448" s="69"/>
      <c r="C448" s="30"/>
      <c r="D448" s="69"/>
      <c r="E448" s="51"/>
      <c r="F448" s="51"/>
      <c r="G448" s="51"/>
      <c r="H448" s="63"/>
      <c r="I448" s="63"/>
      <c r="J448" s="25"/>
      <c r="K448" s="24"/>
      <c r="L448" s="74"/>
      <c r="M448" s="24"/>
    </row>
    <row r="449" spans="1:13" ht="20.100000000000001" customHeight="1" x14ac:dyDescent="0.2">
      <c r="A449" s="9">
        <f>ROW('Wash Sale Tracker'!A454)</f>
        <v>454</v>
      </c>
      <c r="B449" s="69"/>
      <c r="C449" s="30"/>
      <c r="D449" s="69"/>
      <c r="E449" s="51"/>
      <c r="F449" s="51"/>
      <c r="G449" s="51"/>
      <c r="H449" s="63"/>
      <c r="I449" s="63"/>
      <c r="J449" s="25"/>
      <c r="K449" s="24"/>
      <c r="L449" s="74"/>
      <c r="M449" s="24"/>
    </row>
    <row r="450" spans="1:13" ht="20.100000000000001" customHeight="1" x14ac:dyDescent="0.2">
      <c r="A450" s="9">
        <f>ROW('Wash Sale Tracker'!A455)</f>
        <v>455</v>
      </c>
      <c r="B450" s="69"/>
      <c r="C450" s="30"/>
      <c r="D450" s="69"/>
      <c r="E450" s="51"/>
      <c r="F450" s="51"/>
      <c r="G450" s="51"/>
      <c r="H450" s="63"/>
      <c r="I450" s="63"/>
      <c r="J450" s="25"/>
      <c r="K450" s="24"/>
      <c r="L450" s="74"/>
      <c r="M450" s="24"/>
    </row>
    <row r="451" spans="1:13" ht="20.100000000000001" customHeight="1" x14ac:dyDescent="0.2">
      <c r="A451" s="9">
        <f>ROW('Wash Sale Tracker'!A456)</f>
        <v>456</v>
      </c>
      <c r="B451" s="69"/>
      <c r="C451" s="30"/>
      <c r="D451" s="69"/>
      <c r="E451" s="51"/>
      <c r="F451" s="51"/>
      <c r="G451" s="51"/>
      <c r="H451" s="63"/>
      <c r="I451" s="63"/>
      <c r="J451" s="25"/>
      <c r="K451" s="24"/>
      <c r="L451" s="74"/>
      <c r="M451" s="24"/>
    </row>
    <row r="452" spans="1:13" ht="20.100000000000001" customHeight="1" x14ac:dyDescent="0.2">
      <c r="A452" s="9">
        <f>ROW('Wash Sale Tracker'!A457)</f>
        <v>457</v>
      </c>
      <c r="B452" s="69"/>
      <c r="C452" s="30"/>
      <c r="D452" s="69"/>
      <c r="E452" s="51"/>
      <c r="F452" s="51"/>
      <c r="G452" s="51"/>
      <c r="H452" s="63"/>
      <c r="I452" s="63"/>
      <c r="J452" s="25"/>
      <c r="K452" s="24"/>
      <c r="L452" s="74"/>
      <c r="M452" s="24"/>
    </row>
    <row r="453" spans="1:13" ht="20.100000000000001" customHeight="1" x14ac:dyDescent="0.2">
      <c r="A453" s="9">
        <f>ROW('Wash Sale Tracker'!A458)</f>
        <v>458</v>
      </c>
      <c r="B453" s="69"/>
      <c r="C453" s="30"/>
      <c r="D453" s="69"/>
      <c r="E453" s="51"/>
      <c r="F453" s="51"/>
      <c r="G453" s="51"/>
      <c r="H453" s="63"/>
      <c r="I453" s="63"/>
      <c r="J453" s="25"/>
      <c r="K453" s="24"/>
      <c r="L453" s="74"/>
      <c r="M453" s="24"/>
    </row>
    <row r="454" spans="1:13" ht="20.100000000000001" customHeight="1" x14ac:dyDescent="0.2">
      <c r="A454" s="9">
        <f>ROW('Wash Sale Tracker'!A459)</f>
        <v>459</v>
      </c>
      <c r="B454" s="69"/>
      <c r="C454" s="30"/>
      <c r="D454" s="69"/>
      <c r="E454" s="51"/>
      <c r="F454" s="51"/>
      <c r="G454" s="51"/>
      <c r="H454" s="63"/>
      <c r="I454" s="63"/>
      <c r="J454" s="25"/>
      <c r="K454" s="24"/>
      <c r="L454" s="74"/>
      <c r="M454" s="24"/>
    </row>
    <row r="455" spans="1:13" ht="20.100000000000001" customHeight="1" x14ac:dyDescent="0.2">
      <c r="A455" s="9">
        <f>ROW('Wash Sale Tracker'!A460)</f>
        <v>460</v>
      </c>
      <c r="B455" s="69"/>
      <c r="C455" s="30"/>
      <c r="D455" s="69"/>
      <c r="E455" s="51"/>
      <c r="F455" s="51"/>
      <c r="G455" s="51"/>
      <c r="H455" s="63"/>
      <c r="I455" s="63"/>
      <c r="J455" s="25"/>
      <c r="K455" s="24"/>
      <c r="L455" s="74"/>
      <c r="M455" s="24"/>
    </row>
    <row r="456" spans="1:13" ht="20.100000000000001" customHeight="1" x14ac:dyDescent="0.2">
      <c r="A456" s="9">
        <f>ROW('Wash Sale Tracker'!A461)</f>
        <v>461</v>
      </c>
      <c r="B456" s="69"/>
      <c r="C456" s="30"/>
      <c r="D456" s="69"/>
      <c r="E456" s="51"/>
      <c r="F456" s="51"/>
      <c r="G456" s="51"/>
      <c r="H456" s="63"/>
      <c r="I456" s="63"/>
      <c r="J456" s="25"/>
      <c r="K456" s="24"/>
      <c r="L456" s="74"/>
      <c r="M456" s="24"/>
    </row>
    <row r="457" spans="1:13" ht="20.100000000000001" customHeight="1" x14ac:dyDescent="0.2">
      <c r="A457" s="9">
        <f>ROW('Wash Sale Tracker'!A462)</f>
        <v>462</v>
      </c>
      <c r="B457" s="69"/>
      <c r="C457" s="30"/>
      <c r="D457" s="69"/>
      <c r="E457" s="51"/>
      <c r="F457" s="51"/>
      <c r="G457" s="51"/>
      <c r="H457" s="63"/>
      <c r="I457" s="63"/>
      <c r="J457" s="25"/>
      <c r="K457" s="24"/>
      <c r="L457" s="74"/>
      <c r="M457" s="24"/>
    </row>
    <row r="458" spans="1:13" ht="20.100000000000001" customHeight="1" x14ac:dyDescent="0.2">
      <c r="A458" s="9">
        <f>ROW('Wash Sale Tracker'!A463)</f>
        <v>463</v>
      </c>
      <c r="B458" s="69"/>
      <c r="C458" s="30"/>
      <c r="D458" s="69"/>
      <c r="E458" s="51"/>
      <c r="F458" s="51"/>
      <c r="G458" s="51"/>
      <c r="H458" s="63"/>
      <c r="I458" s="63"/>
      <c r="J458" s="25"/>
      <c r="K458" s="24"/>
      <c r="L458" s="74"/>
      <c r="M458" s="24"/>
    </row>
    <row r="459" spans="1:13" ht="20.100000000000001" customHeight="1" x14ac:dyDescent="0.2">
      <c r="A459" s="9">
        <f>ROW('Wash Sale Tracker'!A464)</f>
        <v>464</v>
      </c>
      <c r="B459" s="69"/>
      <c r="C459" s="30"/>
      <c r="D459" s="69"/>
      <c r="E459" s="51"/>
      <c r="F459" s="51"/>
      <c r="G459" s="51"/>
      <c r="H459" s="63"/>
      <c r="I459" s="63"/>
      <c r="J459" s="25"/>
      <c r="K459" s="24"/>
      <c r="L459" s="74"/>
      <c r="M459" s="24"/>
    </row>
    <row r="460" spans="1:13" ht="20.100000000000001" customHeight="1" x14ac:dyDescent="0.2">
      <c r="A460" s="9">
        <f>ROW('Wash Sale Tracker'!A465)</f>
        <v>465</v>
      </c>
      <c r="B460" s="69"/>
      <c r="C460" s="30"/>
      <c r="D460" s="69"/>
      <c r="E460" s="51"/>
      <c r="F460" s="51"/>
      <c r="G460" s="51"/>
      <c r="H460" s="63"/>
      <c r="I460" s="63"/>
      <c r="J460" s="25"/>
      <c r="K460" s="24"/>
      <c r="L460" s="74"/>
      <c r="M460" s="24"/>
    </row>
    <row r="461" spans="1:13" ht="20.100000000000001" customHeight="1" x14ac:dyDescent="0.2">
      <c r="A461" s="9">
        <f>ROW('Wash Sale Tracker'!A466)</f>
        <v>466</v>
      </c>
      <c r="B461" s="69"/>
      <c r="C461" s="30"/>
      <c r="D461" s="69"/>
      <c r="E461" s="51"/>
      <c r="F461" s="51"/>
      <c r="G461" s="51"/>
      <c r="H461" s="63"/>
      <c r="I461" s="63"/>
      <c r="J461" s="25"/>
      <c r="K461" s="24"/>
      <c r="L461" s="74"/>
      <c r="M461" s="24"/>
    </row>
    <row r="462" spans="1:13" ht="20.100000000000001" customHeight="1" x14ac:dyDescent="0.2">
      <c r="A462" s="9">
        <f>ROW('Wash Sale Tracker'!A467)</f>
        <v>467</v>
      </c>
      <c r="B462" s="69"/>
      <c r="C462" s="30"/>
      <c r="D462" s="69"/>
      <c r="E462" s="51"/>
      <c r="F462" s="51"/>
      <c r="G462" s="51"/>
      <c r="H462" s="63"/>
      <c r="I462" s="63"/>
      <c r="J462" s="25"/>
      <c r="K462" s="24"/>
      <c r="L462" s="74"/>
      <c r="M462" s="24"/>
    </row>
    <row r="463" spans="1:13" ht="20.100000000000001" customHeight="1" x14ac:dyDescent="0.2">
      <c r="A463" s="9">
        <f>ROW('Wash Sale Tracker'!A468)</f>
        <v>468</v>
      </c>
      <c r="B463" s="69"/>
      <c r="C463" s="30"/>
      <c r="D463" s="69"/>
      <c r="E463" s="51"/>
      <c r="F463" s="51"/>
      <c r="G463" s="51"/>
      <c r="H463" s="63"/>
      <c r="I463" s="63"/>
      <c r="J463" s="25"/>
      <c r="K463" s="24"/>
      <c r="L463" s="74"/>
      <c r="M463" s="24"/>
    </row>
    <row r="464" spans="1:13" ht="20.100000000000001" customHeight="1" x14ac:dyDescent="0.2">
      <c r="A464" s="9">
        <f>ROW('Wash Sale Tracker'!A469)</f>
        <v>469</v>
      </c>
      <c r="B464" s="69"/>
      <c r="C464" s="30"/>
      <c r="D464" s="69"/>
      <c r="E464" s="51"/>
      <c r="F464" s="51"/>
      <c r="G464" s="51"/>
      <c r="H464" s="63"/>
      <c r="I464" s="63"/>
      <c r="J464" s="25"/>
      <c r="K464" s="24"/>
      <c r="L464" s="74"/>
      <c r="M464" s="24"/>
    </row>
    <row r="465" spans="1:13" ht="20.100000000000001" customHeight="1" x14ac:dyDescent="0.2">
      <c r="A465" s="9">
        <f>ROW('Wash Sale Tracker'!A470)</f>
        <v>470</v>
      </c>
      <c r="B465" s="69"/>
      <c r="C465" s="30"/>
      <c r="D465" s="69"/>
      <c r="E465" s="51"/>
      <c r="F465" s="51"/>
      <c r="G465" s="51"/>
      <c r="H465" s="63"/>
      <c r="I465" s="63"/>
      <c r="J465" s="25"/>
      <c r="K465" s="24"/>
      <c r="L465" s="74"/>
      <c r="M465" s="24"/>
    </row>
    <row r="466" spans="1:13" ht="20.100000000000001" customHeight="1" x14ac:dyDescent="0.2">
      <c r="A466" s="9">
        <f>ROW('Wash Sale Tracker'!A471)</f>
        <v>471</v>
      </c>
      <c r="B466" s="69"/>
      <c r="C466" s="30"/>
      <c r="D466" s="69"/>
      <c r="E466" s="51"/>
      <c r="F466" s="51"/>
      <c r="G466" s="51"/>
      <c r="H466" s="63"/>
      <c r="I466" s="63"/>
      <c r="J466" s="25"/>
      <c r="K466" s="24"/>
      <c r="L466" s="74"/>
      <c r="M466" s="24"/>
    </row>
    <row r="467" spans="1:13" ht="20.100000000000001" customHeight="1" x14ac:dyDescent="0.2">
      <c r="A467" s="9">
        <f>ROW('Wash Sale Tracker'!A472)</f>
        <v>472</v>
      </c>
      <c r="B467" s="69"/>
      <c r="C467" s="30"/>
      <c r="D467" s="69"/>
      <c r="E467" s="51"/>
      <c r="F467" s="51"/>
      <c r="G467" s="51"/>
      <c r="H467" s="63"/>
      <c r="I467" s="63"/>
      <c r="J467" s="25"/>
      <c r="K467" s="24"/>
      <c r="L467" s="74"/>
      <c r="M467" s="24"/>
    </row>
    <row r="468" spans="1:13" ht="20.100000000000001" customHeight="1" x14ac:dyDescent="0.2">
      <c r="A468" s="9">
        <f>ROW('Wash Sale Tracker'!A473)</f>
        <v>473</v>
      </c>
      <c r="B468" s="69"/>
      <c r="C468" s="30"/>
      <c r="D468" s="69"/>
      <c r="E468" s="51"/>
      <c r="F468" s="51"/>
      <c r="G468" s="51"/>
      <c r="H468" s="63"/>
      <c r="I468" s="63"/>
      <c r="J468" s="25"/>
      <c r="K468" s="24"/>
      <c r="L468" s="74"/>
      <c r="M468" s="24"/>
    </row>
    <row r="469" spans="1:13" ht="20.100000000000001" customHeight="1" x14ac:dyDescent="0.2">
      <c r="A469" s="9">
        <f>ROW('Wash Sale Tracker'!A474)</f>
        <v>474</v>
      </c>
      <c r="B469" s="69"/>
      <c r="C469" s="30"/>
      <c r="D469" s="69"/>
      <c r="E469" s="51"/>
      <c r="F469" s="51"/>
      <c r="G469" s="51"/>
      <c r="H469" s="63"/>
      <c r="I469" s="63"/>
      <c r="J469" s="25"/>
      <c r="K469" s="24"/>
      <c r="L469" s="74"/>
      <c r="M469" s="24"/>
    </row>
    <row r="470" spans="1:13" ht="20.100000000000001" customHeight="1" x14ac:dyDescent="0.2">
      <c r="A470" s="9">
        <f>ROW('Wash Sale Tracker'!A475)</f>
        <v>475</v>
      </c>
      <c r="B470" s="69"/>
      <c r="C470" s="30"/>
      <c r="D470" s="69"/>
      <c r="E470" s="51"/>
      <c r="F470" s="51"/>
      <c r="G470" s="51"/>
      <c r="H470" s="63"/>
      <c r="I470" s="63"/>
      <c r="J470" s="25"/>
      <c r="K470" s="24"/>
      <c r="L470" s="74"/>
      <c r="M470" s="24"/>
    </row>
    <row r="471" spans="1:13" ht="20.100000000000001" customHeight="1" x14ac:dyDescent="0.2">
      <c r="A471" s="9">
        <f>ROW('Wash Sale Tracker'!A476)</f>
        <v>476</v>
      </c>
      <c r="B471" s="69"/>
      <c r="C471" s="30"/>
      <c r="D471" s="69"/>
      <c r="E471" s="51"/>
      <c r="F471" s="51"/>
      <c r="G471" s="51"/>
      <c r="H471" s="63"/>
      <c r="I471" s="63"/>
      <c r="J471" s="25"/>
      <c r="K471" s="24"/>
      <c r="L471" s="74"/>
      <c r="M471" s="24"/>
    </row>
    <row r="472" spans="1:13" ht="20.100000000000001" customHeight="1" x14ac:dyDescent="0.2">
      <c r="A472" s="9">
        <f>ROW('Wash Sale Tracker'!A477)</f>
        <v>477</v>
      </c>
      <c r="B472" s="69"/>
      <c r="C472" s="30"/>
      <c r="D472" s="69"/>
      <c r="E472" s="51"/>
      <c r="F472" s="51"/>
      <c r="G472" s="51"/>
      <c r="H472" s="63"/>
      <c r="I472" s="63"/>
      <c r="J472" s="25"/>
      <c r="K472" s="24"/>
      <c r="L472" s="74"/>
      <c r="M472" s="24"/>
    </row>
    <row r="473" spans="1:13" ht="20.100000000000001" customHeight="1" x14ac:dyDescent="0.2">
      <c r="A473" s="9">
        <f>ROW('Wash Sale Tracker'!A478)</f>
        <v>478</v>
      </c>
      <c r="B473" s="69"/>
      <c r="C473" s="30"/>
      <c r="D473" s="69"/>
      <c r="E473" s="51"/>
      <c r="F473" s="51"/>
      <c r="G473" s="51"/>
      <c r="H473" s="63"/>
      <c r="I473" s="63"/>
      <c r="J473" s="25"/>
      <c r="K473" s="24"/>
      <c r="L473" s="74"/>
      <c r="M473" s="24"/>
    </row>
    <row r="474" spans="1:13" ht="20.100000000000001" customHeight="1" x14ac:dyDescent="0.2">
      <c r="A474" s="9">
        <f>ROW('Wash Sale Tracker'!A479)</f>
        <v>479</v>
      </c>
      <c r="B474" s="69"/>
      <c r="C474" s="30"/>
      <c r="D474" s="69"/>
      <c r="E474" s="51"/>
      <c r="F474" s="51"/>
      <c r="G474" s="51"/>
      <c r="H474" s="63"/>
      <c r="I474" s="63"/>
      <c r="J474" s="25"/>
      <c r="K474" s="24"/>
      <c r="L474" s="74"/>
      <c r="M474" s="24"/>
    </row>
    <row r="475" spans="1:13" ht="20.100000000000001" customHeight="1" x14ac:dyDescent="0.2">
      <c r="A475" s="9">
        <f>ROW('Wash Sale Tracker'!A480)</f>
        <v>480</v>
      </c>
      <c r="B475" s="69"/>
      <c r="C475" s="30"/>
      <c r="D475" s="69"/>
      <c r="E475" s="51"/>
      <c r="F475" s="51"/>
      <c r="G475" s="51"/>
      <c r="H475" s="63"/>
      <c r="I475" s="63"/>
      <c r="J475" s="25"/>
      <c r="K475" s="24"/>
      <c r="L475" s="74"/>
      <c r="M475" s="24"/>
    </row>
    <row r="476" spans="1:13" ht="20.100000000000001" customHeight="1" x14ac:dyDescent="0.2">
      <c r="A476" s="9">
        <f>ROW('Wash Sale Tracker'!A481)</f>
        <v>481</v>
      </c>
      <c r="B476" s="69"/>
      <c r="C476" s="30"/>
      <c r="D476" s="69"/>
      <c r="E476" s="51"/>
      <c r="F476" s="51"/>
      <c r="G476" s="51"/>
      <c r="H476" s="63"/>
      <c r="I476" s="63"/>
      <c r="J476" s="25"/>
      <c r="K476" s="24"/>
      <c r="L476" s="74"/>
      <c r="M476" s="24"/>
    </row>
    <row r="477" spans="1:13" ht="20.100000000000001" customHeight="1" x14ac:dyDescent="0.2">
      <c r="A477" s="9">
        <f>ROW('Wash Sale Tracker'!A482)</f>
        <v>482</v>
      </c>
      <c r="B477" s="69"/>
      <c r="C477" s="30"/>
      <c r="D477" s="69"/>
      <c r="E477" s="51"/>
      <c r="F477" s="51"/>
      <c r="G477" s="51"/>
      <c r="H477" s="63"/>
      <c r="I477" s="63"/>
      <c r="J477" s="25"/>
      <c r="K477" s="24"/>
      <c r="L477" s="74"/>
      <c r="M477" s="24"/>
    </row>
    <row r="478" spans="1:13" ht="20.100000000000001" customHeight="1" x14ac:dyDescent="0.2">
      <c r="A478" s="9">
        <f>ROW('Wash Sale Tracker'!A483)</f>
        <v>483</v>
      </c>
      <c r="B478" s="69"/>
      <c r="C478" s="30"/>
      <c r="D478" s="69"/>
      <c r="E478" s="51"/>
      <c r="F478" s="51"/>
      <c r="G478" s="51"/>
      <c r="H478" s="63"/>
      <c r="I478" s="63"/>
      <c r="J478" s="25"/>
      <c r="K478" s="24"/>
      <c r="L478" s="74"/>
      <c r="M478" s="24"/>
    </row>
    <row r="479" spans="1:13" ht="20.100000000000001" customHeight="1" x14ac:dyDescent="0.2">
      <c r="A479" s="9">
        <f>ROW('Wash Sale Tracker'!A484)</f>
        <v>484</v>
      </c>
      <c r="B479" s="69"/>
      <c r="C479" s="30"/>
      <c r="D479" s="69"/>
      <c r="E479" s="51"/>
      <c r="F479" s="51"/>
      <c r="G479" s="51"/>
      <c r="H479" s="63"/>
      <c r="I479" s="63"/>
      <c r="J479" s="25"/>
      <c r="K479" s="24"/>
      <c r="L479" s="74"/>
      <c r="M479" s="24"/>
    </row>
    <row r="480" spans="1:13" ht="20.100000000000001" customHeight="1" x14ac:dyDescent="0.2">
      <c r="A480" s="9">
        <f>ROW('Wash Sale Tracker'!A485)</f>
        <v>485</v>
      </c>
      <c r="B480" s="69"/>
      <c r="C480" s="30"/>
      <c r="D480" s="69"/>
      <c r="E480" s="51"/>
      <c r="F480" s="51"/>
      <c r="G480" s="51"/>
      <c r="H480" s="63"/>
      <c r="I480" s="63"/>
      <c r="J480" s="25"/>
      <c r="K480" s="24"/>
      <c r="L480" s="74"/>
      <c r="M480" s="24"/>
    </row>
    <row r="481" spans="1:13" ht="20.100000000000001" customHeight="1" x14ac:dyDescent="0.2">
      <c r="A481" s="9">
        <f>ROW('Wash Sale Tracker'!A486)</f>
        <v>486</v>
      </c>
      <c r="B481" s="69"/>
      <c r="C481" s="30"/>
      <c r="D481" s="69"/>
      <c r="E481" s="51"/>
      <c r="F481" s="51"/>
      <c r="G481" s="51"/>
      <c r="H481" s="63"/>
      <c r="I481" s="63"/>
      <c r="J481" s="25"/>
      <c r="K481" s="24"/>
      <c r="L481" s="74"/>
      <c r="M481" s="24"/>
    </row>
    <row r="482" spans="1:13" ht="20.100000000000001" customHeight="1" x14ac:dyDescent="0.2">
      <c r="A482" s="9">
        <f>ROW('Wash Sale Tracker'!A487)</f>
        <v>487</v>
      </c>
      <c r="B482" s="69"/>
      <c r="C482" s="30"/>
      <c r="D482" s="69"/>
      <c r="E482" s="51"/>
      <c r="F482" s="51"/>
      <c r="G482" s="51"/>
      <c r="H482" s="63"/>
      <c r="I482" s="63"/>
      <c r="J482" s="25"/>
      <c r="K482" s="24"/>
      <c r="L482" s="74"/>
      <c r="M482" s="24"/>
    </row>
    <row r="483" spans="1:13" ht="20.100000000000001" customHeight="1" x14ac:dyDescent="0.2">
      <c r="A483" s="9">
        <f>ROW('Wash Sale Tracker'!A488)</f>
        <v>488</v>
      </c>
      <c r="B483" s="69"/>
      <c r="C483" s="30"/>
      <c r="D483" s="69"/>
      <c r="E483" s="51"/>
      <c r="F483" s="51"/>
      <c r="G483" s="51"/>
      <c r="H483" s="63"/>
      <c r="I483" s="63"/>
      <c r="J483" s="25"/>
      <c r="K483" s="24"/>
      <c r="L483" s="74"/>
      <c r="M483" s="24"/>
    </row>
    <row r="484" spans="1:13" ht="20.100000000000001" customHeight="1" x14ac:dyDescent="0.2">
      <c r="A484" s="9">
        <f>ROW('Wash Sale Tracker'!A489)</f>
        <v>489</v>
      </c>
      <c r="B484" s="69"/>
      <c r="C484" s="30"/>
      <c r="D484" s="69"/>
      <c r="E484" s="51"/>
      <c r="F484" s="51"/>
      <c r="G484" s="51"/>
      <c r="H484" s="63"/>
      <c r="I484" s="63"/>
      <c r="J484" s="25"/>
      <c r="K484" s="24"/>
      <c r="L484" s="74"/>
      <c r="M484" s="24"/>
    </row>
    <row r="485" spans="1:13" ht="20.100000000000001" customHeight="1" x14ac:dyDescent="0.2">
      <c r="A485" s="9">
        <f>ROW('Wash Sale Tracker'!A490)</f>
        <v>490</v>
      </c>
      <c r="B485" s="69"/>
      <c r="C485" s="30"/>
      <c r="D485" s="69"/>
      <c r="E485" s="51"/>
      <c r="F485" s="51"/>
      <c r="G485" s="51"/>
      <c r="H485" s="63"/>
      <c r="I485" s="63"/>
      <c r="J485" s="25"/>
      <c r="K485" s="24"/>
      <c r="L485" s="74"/>
      <c r="M485" s="24"/>
    </row>
    <row r="486" spans="1:13" ht="20.100000000000001" customHeight="1" x14ac:dyDescent="0.2">
      <c r="A486" s="9">
        <f>ROW('Wash Sale Tracker'!A491)</f>
        <v>491</v>
      </c>
      <c r="B486" s="69"/>
      <c r="C486" s="30"/>
      <c r="D486" s="69"/>
      <c r="E486" s="51"/>
      <c r="F486" s="51"/>
      <c r="G486" s="51"/>
      <c r="H486" s="63"/>
      <c r="I486" s="63"/>
      <c r="J486" s="25"/>
      <c r="K486" s="24"/>
      <c r="L486" s="74"/>
      <c r="M486" s="24"/>
    </row>
    <row r="487" spans="1:13" ht="20.100000000000001" customHeight="1" x14ac:dyDescent="0.2">
      <c r="A487" s="9">
        <f>ROW('Wash Sale Tracker'!A492)</f>
        <v>492</v>
      </c>
      <c r="B487" s="69"/>
      <c r="C487" s="30"/>
      <c r="D487" s="69"/>
      <c r="E487" s="51"/>
      <c r="F487" s="51"/>
      <c r="G487" s="51"/>
      <c r="H487" s="63"/>
      <c r="I487" s="63"/>
      <c r="J487" s="25"/>
      <c r="K487" s="24"/>
      <c r="L487" s="74"/>
      <c r="M487" s="24"/>
    </row>
    <row r="488" spans="1:13" ht="20.100000000000001" customHeight="1" x14ac:dyDescent="0.2">
      <c r="A488" s="9">
        <f>ROW('Wash Sale Tracker'!A493)</f>
        <v>493</v>
      </c>
      <c r="B488" s="69"/>
      <c r="C488" s="30"/>
      <c r="D488" s="69"/>
      <c r="E488" s="51"/>
      <c r="F488" s="51"/>
      <c r="G488" s="51"/>
      <c r="H488" s="63"/>
      <c r="I488" s="63"/>
      <c r="J488" s="25"/>
      <c r="K488" s="24"/>
      <c r="L488" s="74"/>
      <c r="M488" s="24"/>
    </row>
    <row r="489" spans="1:13" ht="20.100000000000001" customHeight="1" x14ac:dyDescent="0.2">
      <c r="A489" s="9">
        <f>ROW('Wash Sale Tracker'!A494)</f>
        <v>494</v>
      </c>
      <c r="B489" s="69"/>
      <c r="C489" s="30"/>
      <c r="D489" s="69"/>
      <c r="E489" s="51"/>
      <c r="F489" s="51"/>
      <c r="G489" s="51"/>
      <c r="H489" s="63"/>
      <c r="I489" s="63"/>
      <c r="J489" s="25"/>
      <c r="K489" s="24"/>
      <c r="L489" s="74"/>
      <c r="M489" s="24"/>
    </row>
    <row r="490" spans="1:13" ht="20.100000000000001" customHeight="1" x14ac:dyDescent="0.2">
      <c r="A490" s="9">
        <f>ROW('Wash Sale Tracker'!A495)</f>
        <v>495</v>
      </c>
      <c r="B490" s="69"/>
      <c r="C490" s="30"/>
      <c r="D490" s="69"/>
      <c r="E490" s="51"/>
      <c r="F490" s="51"/>
      <c r="G490" s="51"/>
      <c r="H490" s="63"/>
      <c r="I490" s="63"/>
      <c r="J490" s="25"/>
      <c r="K490" s="24"/>
      <c r="L490" s="74"/>
      <c r="M490" s="24"/>
    </row>
    <row r="491" spans="1:13" ht="20.100000000000001" customHeight="1" x14ac:dyDescent="0.2">
      <c r="A491" s="9">
        <f>ROW('Wash Sale Tracker'!A496)</f>
        <v>496</v>
      </c>
      <c r="B491" s="69"/>
      <c r="C491" s="30"/>
      <c r="D491" s="69"/>
      <c r="E491" s="51"/>
      <c r="F491" s="51"/>
      <c r="G491" s="51"/>
      <c r="H491" s="63"/>
      <c r="I491" s="63"/>
      <c r="J491" s="25"/>
      <c r="K491" s="24"/>
      <c r="L491" s="74"/>
      <c r="M491" s="24"/>
    </row>
    <row r="492" spans="1:13" ht="20.100000000000001" customHeight="1" x14ac:dyDescent="0.2">
      <c r="A492" s="9">
        <f>ROW('Wash Sale Tracker'!A497)</f>
        <v>497</v>
      </c>
      <c r="B492" s="69"/>
      <c r="C492" s="30"/>
      <c r="D492" s="69"/>
      <c r="E492" s="51"/>
      <c r="F492" s="51"/>
      <c r="G492" s="51"/>
      <c r="H492" s="63"/>
      <c r="I492" s="63"/>
      <c r="J492" s="25"/>
      <c r="K492" s="24"/>
      <c r="L492" s="74"/>
      <c r="M492" s="24"/>
    </row>
    <row r="493" spans="1:13" ht="20.100000000000001" customHeight="1" x14ac:dyDescent="0.2">
      <c r="A493" s="9">
        <f>ROW('Wash Sale Tracker'!A498)</f>
        <v>498</v>
      </c>
      <c r="B493" s="69"/>
      <c r="C493" s="30"/>
      <c r="D493" s="69"/>
      <c r="E493" s="51"/>
      <c r="F493" s="51"/>
      <c r="G493" s="51"/>
      <c r="H493" s="63"/>
      <c r="I493" s="63"/>
      <c r="J493" s="25"/>
      <c r="K493" s="24"/>
      <c r="L493" s="74"/>
      <c r="M493" s="24"/>
    </row>
    <row r="494" spans="1:13" ht="20.100000000000001" customHeight="1" x14ac:dyDescent="0.2">
      <c r="A494" s="9">
        <f>ROW('Wash Sale Tracker'!A499)</f>
        <v>499</v>
      </c>
      <c r="B494" s="69"/>
      <c r="C494" s="30"/>
      <c r="D494" s="69"/>
      <c r="E494" s="51"/>
      <c r="F494" s="51"/>
      <c r="G494" s="51"/>
      <c r="H494" s="63"/>
      <c r="I494" s="63"/>
      <c r="J494" s="25"/>
      <c r="K494" s="24"/>
      <c r="L494" s="74"/>
      <c r="M494" s="24"/>
    </row>
    <row r="495" spans="1:13" ht="20.100000000000001" customHeight="1" x14ac:dyDescent="0.2">
      <c r="A495" s="9">
        <f>ROW('Wash Sale Tracker'!A500)</f>
        <v>500</v>
      </c>
      <c r="B495" s="69"/>
      <c r="C495" s="30"/>
      <c r="D495" s="69"/>
      <c r="E495" s="51"/>
      <c r="F495" s="51"/>
      <c r="G495" s="51"/>
      <c r="H495" s="63"/>
      <c r="I495" s="63"/>
      <c r="J495" s="25"/>
      <c r="K495" s="24"/>
      <c r="L495" s="74"/>
      <c r="M495" s="24"/>
    </row>
    <row r="496" spans="1:13" ht="20.100000000000001" customHeight="1" x14ac:dyDescent="0.2">
      <c r="A496" s="9">
        <f>ROW('Wash Sale Tracker'!A501)</f>
        <v>501</v>
      </c>
      <c r="B496" s="69"/>
      <c r="C496" s="30"/>
      <c r="D496" s="69"/>
      <c r="E496" s="51"/>
      <c r="F496" s="51"/>
      <c r="G496" s="51"/>
      <c r="H496" s="63"/>
      <c r="I496" s="63"/>
      <c r="J496" s="25"/>
      <c r="K496" s="24"/>
      <c r="L496" s="74"/>
      <c r="M496" s="24"/>
    </row>
    <row r="497" spans="1:13" ht="20.100000000000001" customHeight="1" x14ac:dyDescent="0.2">
      <c r="A497" s="9">
        <f>ROW('Wash Sale Tracker'!A502)</f>
        <v>502</v>
      </c>
      <c r="B497" s="69"/>
      <c r="C497" s="30"/>
      <c r="D497" s="69"/>
      <c r="E497" s="51"/>
      <c r="F497" s="51"/>
      <c r="G497" s="51"/>
      <c r="H497" s="63"/>
      <c r="I497" s="63"/>
      <c r="J497" s="25"/>
      <c r="K497" s="24"/>
      <c r="L497" s="74"/>
      <c r="M497" s="24"/>
    </row>
    <row r="498" spans="1:13" ht="20.100000000000001" customHeight="1" x14ac:dyDescent="0.2">
      <c r="A498" s="9">
        <f>ROW('Wash Sale Tracker'!A503)</f>
        <v>503</v>
      </c>
      <c r="B498" s="69"/>
      <c r="C498" s="30"/>
      <c r="D498" s="69"/>
      <c r="E498" s="51"/>
      <c r="F498" s="51"/>
      <c r="G498" s="51"/>
      <c r="H498" s="63"/>
      <c r="I498" s="63"/>
      <c r="J498" s="25"/>
      <c r="K498" s="24"/>
      <c r="L498" s="74"/>
      <c r="M498" s="24"/>
    </row>
    <row r="499" spans="1:13" ht="20.100000000000001" customHeight="1" x14ac:dyDescent="0.2">
      <c r="A499" s="9">
        <f>ROW('Wash Sale Tracker'!A504)</f>
        <v>504</v>
      </c>
      <c r="B499" s="69"/>
      <c r="C499" s="30"/>
      <c r="D499" s="69"/>
      <c r="E499" s="51"/>
      <c r="F499" s="51"/>
      <c r="G499" s="51"/>
      <c r="H499" s="63"/>
      <c r="I499" s="63"/>
      <c r="J499" s="25"/>
      <c r="K499" s="24"/>
      <c r="L499" s="74"/>
      <c r="M499" s="24"/>
    </row>
    <row r="500" spans="1:13" ht="20.100000000000001" customHeight="1" x14ac:dyDescent="0.2">
      <c r="A500" s="9">
        <f>ROW('Wash Sale Tracker'!A505)</f>
        <v>505</v>
      </c>
      <c r="B500" s="69"/>
      <c r="C500" s="30"/>
      <c r="D500" s="69"/>
      <c r="E500" s="51"/>
      <c r="F500" s="51"/>
      <c r="G500" s="51"/>
      <c r="H500" s="63"/>
      <c r="I500" s="63"/>
      <c r="J500" s="25"/>
      <c r="K500" s="24"/>
      <c r="L500" s="74"/>
      <c r="M500" s="24"/>
    </row>
    <row r="501" spans="1:13" ht="20.100000000000001" customHeight="1" x14ac:dyDescent="0.2">
      <c r="A501" s="23">
        <f>ROW('Wash Sale Tracker'!A506)</f>
        <v>506</v>
      </c>
      <c r="B501" s="24"/>
      <c r="C501" s="24"/>
      <c r="D501" s="75"/>
      <c r="E501" s="76"/>
      <c r="F501" s="74"/>
      <c r="G501" s="76"/>
      <c r="H501" s="23"/>
      <c r="I501" s="24"/>
      <c r="J501" s="25"/>
      <c r="K501" s="24"/>
      <c r="L501" s="74"/>
      <c r="M501" s="24"/>
    </row>
    <row r="502" spans="1:13" ht="20.100000000000001" customHeight="1" x14ac:dyDescent="0.2">
      <c r="A502" s="23">
        <f>ROW('Wash Sale Tracker'!A507)</f>
        <v>507</v>
      </c>
      <c r="B502" s="24"/>
      <c r="C502" s="24"/>
      <c r="D502" s="75"/>
      <c r="E502" s="76"/>
      <c r="F502" s="74"/>
      <c r="G502" s="76"/>
      <c r="H502" s="23"/>
      <c r="I502" s="24"/>
      <c r="J502" s="25"/>
      <c r="K502" s="24"/>
      <c r="L502" s="74"/>
      <c r="M502" s="24"/>
    </row>
    <row r="503" spans="1:13" ht="20.100000000000001" customHeight="1" x14ac:dyDescent="0.2">
      <c r="A503" s="23">
        <f>ROW('Wash Sale Tracker'!A508)</f>
        <v>508</v>
      </c>
      <c r="B503" s="24"/>
      <c r="C503" s="24"/>
      <c r="D503" s="75"/>
      <c r="E503" s="76"/>
      <c r="F503" s="74"/>
      <c r="G503" s="76"/>
      <c r="H503" s="23"/>
      <c r="I503" s="24"/>
      <c r="J503" s="25"/>
      <c r="K503" s="24"/>
      <c r="L503" s="74"/>
      <c r="M503" s="24"/>
    </row>
    <row r="504" spans="1:13" ht="20.100000000000001" customHeight="1" x14ac:dyDescent="0.2">
      <c r="A504" s="23">
        <f>ROW('Wash Sale Tracker'!A509)</f>
        <v>509</v>
      </c>
      <c r="B504" s="24"/>
      <c r="C504" s="24"/>
      <c r="D504" s="75"/>
      <c r="E504" s="76"/>
      <c r="F504" s="74"/>
      <c r="G504" s="76"/>
      <c r="H504" s="23"/>
      <c r="I504" s="24"/>
      <c r="J504" s="25"/>
      <c r="K504" s="24"/>
      <c r="L504" s="74"/>
      <c r="M504" s="24"/>
    </row>
    <row r="505" spans="1:13" ht="20.100000000000001" customHeight="1" x14ac:dyDescent="0.2">
      <c r="A505" s="23">
        <f>ROW('Wash Sale Tracker'!A510)</f>
        <v>510</v>
      </c>
      <c r="B505" s="24"/>
      <c r="C505" s="24"/>
      <c r="D505" s="75"/>
      <c r="E505" s="76"/>
      <c r="F505" s="74"/>
      <c r="G505" s="76"/>
      <c r="H505" s="23"/>
      <c r="I505" s="24"/>
      <c r="J505" s="25"/>
      <c r="K505" s="24"/>
      <c r="L505" s="74"/>
      <c r="M505" s="24"/>
    </row>
    <row r="506" spans="1:13" ht="20.100000000000001" customHeight="1" x14ac:dyDescent="0.2">
      <c r="A506" s="23">
        <f>ROW('Wash Sale Tracker'!A511)</f>
        <v>511</v>
      </c>
      <c r="B506" s="24"/>
      <c r="C506" s="24"/>
      <c r="D506" s="75"/>
      <c r="E506" s="76"/>
      <c r="F506" s="74"/>
      <c r="G506" s="76"/>
      <c r="H506" s="23"/>
      <c r="I506" s="24"/>
      <c r="J506" s="25"/>
      <c r="K506" s="24"/>
      <c r="L506" s="74"/>
      <c r="M506" s="24"/>
    </row>
    <row r="507" spans="1:13" ht="20.100000000000001" customHeight="1" x14ac:dyDescent="0.2">
      <c r="A507" s="23">
        <f>ROW('Wash Sale Tracker'!A512)</f>
        <v>512</v>
      </c>
      <c r="B507" s="24"/>
      <c r="C507" s="24"/>
      <c r="D507" s="75"/>
      <c r="E507" s="76"/>
      <c r="F507" s="74"/>
      <c r="G507" s="76"/>
      <c r="H507" s="23"/>
      <c r="I507" s="24"/>
      <c r="J507" s="25"/>
      <c r="K507" s="24"/>
      <c r="L507" s="74"/>
      <c r="M507" s="24"/>
    </row>
    <row r="508" spans="1:13" ht="20.100000000000001" customHeight="1" x14ac:dyDescent="0.2">
      <c r="A508" s="23">
        <f>ROW('Wash Sale Tracker'!A513)</f>
        <v>513</v>
      </c>
      <c r="B508" s="24"/>
      <c r="C508" s="24"/>
      <c r="D508" s="75"/>
      <c r="E508" s="76"/>
      <c r="F508" s="74"/>
      <c r="G508" s="76"/>
      <c r="H508" s="23"/>
      <c r="I508" s="24"/>
      <c r="J508" s="25"/>
      <c r="K508" s="24"/>
      <c r="L508" s="74"/>
      <c r="M508" s="24"/>
    </row>
    <row r="509" spans="1:13" ht="20.100000000000001" customHeight="1" x14ac:dyDescent="0.2">
      <c r="A509" s="23">
        <f>ROW('Wash Sale Tracker'!A514)</f>
        <v>514</v>
      </c>
      <c r="B509" s="24"/>
      <c r="C509" s="24"/>
      <c r="D509" s="75"/>
      <c r="E509" s="76"/>
      <c r="F509" s="74"/>
      <c r="G509" s="76"/>
      <c r="H509" s="23"/>
      <c r="I509" s="24"/>
      <c r="J509" s="25"/>
      <c r="K509" s="24"/>
      <c r="L509" s="74"/>
      <c r="M509" s="24"/>
    </row>
    <row r="510" spans="1:13" ht="20.100000000000001" customHeight="1" x14ac:dyDescent="0.2">
      <c r="A510" s="23">
        <f>ROW('Wash Sale Tracker'!A515)</f>
        <v>515</v>
      </c>
      <c r="B510" s="24"/>
      <c r="C510" s="24"/>
      <c r="D510" s="75"/>
      <c r="E510" s="76"/>
      <c r="F510" s="74"/>
      <c r="G510" s="76"/>
      <c r="H510" s="23"/>
      <c r="I510" s="24"/>
      <c r="J510" s="25"/>
      <c r="K510" s="24"/>
      <c r="L510" s="74"/>
      <c r="M510" s="24"/>
    </row>
    <row r="511" spans="1:13" ht="20.100000000000001" customHeight="1" x14ac:dyDescent="0.2">
      <c r="A511" s="23">
        <f>ROW('Wash Sale Tracker'!A516)</f>
        <v>516</v>
      </c>
      <c r="B511" s="24"/>
      <c r="C511" s="24"/>
      <c r="D511" s="75"/>
      <c r="E511" s="76"/>
      <c r="F511" s="74"/>
      <c r="G511" s="76"/>
      <c r="H511" s="23"/>
      <c r="I511" s="24"/>
      <c r="J511" s="25"/>
      <c r="K511" s="24"/>
      <c r="L511" s="74"/>
      <c r="M511" s="24"/>
    </row>
    <row r="512" spans="1:13" ht="20.100000000000001" customHeight="1" x14ac:dyDescent="0.2">
      <c r="A512" s="23">
        <f>ROW('Wash Sale Tracker'!A517)</f>
        <v>517</v>
      </c>
      <c r="B512" s="24"/>
      <c r="C512" s="24"/>
      <c r="D512" s="75"/>
      <c r="E512" s="76"/>
      <c r="F512" s="74"/>
      <c r="G512" s="76"/>
      <c r="H512" s="23"/>
      <c r="I512" s="24"/>
      <c r="J512" s="25"/>
      <c r="K512" s="24"/>
      <c r="L512" s="74"/>
      <c r="M512" s="24"/>
    </row>
    <row r="513" spans="1:13" ht="20.100000000000001" customHeight="1" x14ac:dyDescent="0.2">
      <c r="A513" s="23">
        <f>ROW('Wash Sale Tracker'!A518)</f>
        <v>518</v>
      </c>
      <c r="B513" s="24"/>
      <c r="C513" s="24"/>
      <c r="D513" s="75"/>
      <c r="E513" s="76"/>
      <c r="F513" s="74"/>
      <c r="G513" s="76"/>
      <c r="H513" s="23"/>
      <c r="I513" s="24"/>
      <c r="J513" s="25"/>
      <c r="K513" s="24"/>
      <c r="L513" s="74"/>
      <c r="M513" s="24"/>
    </row>
    <row r="514" spans="1:13" ht="20.100000000000001" customHeight="1" x14ac:dyDescent="0.2">
      <c r="A514" s="23">
        <f>ROW('Wash Sale Tracker'!A519)</f>
        <v>519</v>
      </c>
      <c r="B514" s="24"/>
      <c r="C514" s="24"/>
      <c r="D514" s="75"/>
      <c r="E514" s="76"/>
      <c r="F514" s="74"/>
      <c r="G514" s="76"/>
      <c r="H514" s="23"/>
      <c r="I514" s="24"/>
      <c r="J514" s="25"/>
      <c r="K514" s="24"/>
      <c r="L514" s="74"/>
      <c r="M514" s="24"/>
    </row>
    <row r="515" spans="1:13" ht="20.100000000000001" customHeight="1" x14ac:dyDescent="0.2">
      <c r="A515" s="23">
        <f>ROW('Wash Sale Tracker'!A520)</f>
        <v>520</v>
      </c>
      <c r="B515" s="24"/>
      <c r="C515" s="24"/>
      <c r="D515" s="75"/>
      <c r="E515" s="76"/>
      <c r="F515" s="74"/>
      <c r="G515" s="76"/>
      <c r="H515" s="23"/>
      <c r="I515" s="24"/>
      <c r="J515" s="25"/>
      <c r="K515" s="24"/>
      <c r="L515" s="74"/>
      <c r="M515" s="24"/>
    </row>
    <row r="516" spans="1:13" ht="20.100000000000001" customHeight="1" x14ac:dyDescent="0.2">
      <c r="A516" s="23">
        <f>ROW('Wash Sale Tracker'!A521)</f>
        <v>521</v>
      </c>
      <c r="B516" s="24"/>
      <c r="C516" s="24"/>
      <c r="D516" s="75"/>
      <c r="E516" s="76"/>
      <c r="F516" s="74"/>
      <c r="G516" s="76"/>
      <c r="H516" s="23"/>
      <c r="I516" s="24"/>
      <c r="J516" s="25"/>
      <c r="K516" s="24"/>
      <c r="L516" s="74"/>
      <c r="M516" s="24"/>
    </row>
    <row r="517" spans="1:13" ht="20.100000000000001" customHeight="1" x14ac:dyDescent="0.2">
      <c r="A517" s="23">
        <f>ROW('Wash Sale Tracker'!A522)</f>
        <v>522</v>
      </c>
      <c r="B517" s="24"/>
      <c r="C517" s="24"/>
      <c r="D517" s="75"/>
      <c r="E517" s="76"/>
      <c r="F517" s="74"/>
      <c r="G517" s="76"/>
      <c r="H517" s="23"/>
      <c r="I517" s="24"/>
      <c r="J517" s="25"/>
      <c r="K517" s="24"/>
      <c r="L517" s="74"/>
      <c r="M517" s="24"/>
    </row>
    <row r="518" spans="1:13" ht="20.100000000000001" customHeight="1" x14ac:dyDescent="0.2">
      <c r="A518" s="23">
        <f>ROW('Wash Sale Tracker'!A523)</f>
        <v>523</v>
      </c>
      <c r="B518" s="24"/>
      <c r="C518" s="24"/>
      <c r="D518" s="75"/>
      <c r="E518" s="76"/>
      <c r="F518" s="74"/>
      <c r="G518" s="76"/>
      <c r="H518" s="23"/>
      <c r="I518" s="24"/>
      <c r="J518" s="25"/>
      <c r="K518" s="24"/>
      <c r="L518" s="74"/>
      <c r="M518" s="24"/>
    </row>
    <row r="519" spans="1:13" ht="20.100000000000001" customHeight="1" x14ac:dyDescent="0.2">
      <c r="A519" s="23">
        <f>ROW('Wash Sale Tracker'!A524)</f>
        <v>524</v>
      </c>
      <c r="B519" s="24"/>
      <c r="C519" s="24"/>
      <c r="D519" s="75"/>
      <c r="E519" s="76"/>
      <c r="F519" s="74"/>
      <c r="G519" s="76"/>
      <c r="H519" s="23"/>
      <c r="I519" s="24"/>
      <c r="J519" s="25"/>
      <c r="K519" s="24"/>
      <c r="L519" s="74"/>
      <c r="M519" s="24"/>
    </row>
    <row r="520" spans="1:13" ht="20.100000000000001" customHeight="1" x14ac:dyDescent="0.2">
      <c r="A520" s="23">
        <f>ROW('Wash Sale Tracker'!A525)</f>
        <v>525</v>
      </c>
      <c r="B520" s="24"/>
      <c r="C520" s="24"/>
      <c r="D520" s="75"/>
      <c r="E520" s="76"/>
      <c r="F520" s="74"/>
      <c r="G520" s="76"/>
      <c r="H520" s="23"/>
      <c r="I520" s="24"/>
      <c r="J520" s="25"/>
      <c r="K520" s="24"/>
      <c r="L520" s="74"/>
      <c r="M520" s="24"/>
    </row>
    <row r="521" spans="1:13" ht="20.100000000000001" customHeight="1" x14ac:dyDescent="0.2">
      <c r="A521" s="23">
        <f>ROW('Wash Sale Tracker'!A526)</f>
        <v>526</v>
      </c>
      <c r="B521" s="24"/>
      <c r="C521" s="24"/>
      <c r="D521" s="75"/>
      <c r="E521" s="76"/>
      <c r="F521" s="74"/>
      <c r="G521" s="76"/>
      <c r="H521" s="23"/>
      <c r="I521" s="24"/>
      <c r="J521" s="25"/>
      <c r="K521" s="24"/>
      <c r="L521" s="74"/>
      <c r="M521" s="24"/>
    </row>
    <row r="522" spans="1:13" ht="20.100000000000001" customHeight="1" x14ac:dyDescent="0.2">
      <c r="A522" s="23">
        <f>ROW('Wash Sale Tracker'!A527)</f>
        <v>527</v>
      </c>
      <c r="B522" s="24"/>
      <c r="C522" s="24"/>
      <c r="D522" s="75"/>
      <c r="E522" s="76"/>
      <c r="F522" s="74"/>
      <c r="G522" s="76"/>
      <c r="H522" s="23"/>
      <c r="I522" s="24"/>
      <c r="J522" s="25"/>
      <c r="K522" s="24"/>
      <c r="L522" s="74"/>
      <c r="M522" s="24"/>
    </row>
    <row r="523" spans="1:13" ht="20.100000000000001" customHeight="1" x14ac:dyDescent="0.2">
      <c r="A523" s="23">
        <f>ROW('Wash Sale Tracker'!A528)</f>
        <v>528</v>
      </c>
      <c r="B523" s="24"/>
      <c r="C523" s="24"/>
      <c r="D523" s="75"/>
      <c r="E523" s="76"/>
      <c r="F523" s="74"/>
      <c r="G523" s="76"/>
      <c r="H523" s="23"/>
      <c r="I523" s="24"/>
      <c r="J523" s="25"/>
      <c r="K523" s="24"/>
      <c r="L523" s="74"/>
      <c r="M523" s="24"/>
    </row>
    <row r="524" spans="1:13" ht="20.100000000000001" customHeight="1" x14ac:dyDescent="0.2">
      <c r="A524" s="23">
        <f>ROW('Wash Sale Tracker'!A529)</f>
        <v>529</v>
      </c>
      <c r="B524" s="24"/>
      <c r="C524" s="24"/>
      <c r="D524" s="75"/>
      <c r="E524" s="76"/>
      <c r="F524" s="74"/>
      <c r="G524" s="76"/>
      <c r="H524" s="23"/>
      <c r="I524" s="24"/>
      <c r="J524" s="25"/>
      <c r="K524" s="24"/>
      <c r="L524" s="74"/>
      <c r="M524" s="24"/>
    </row>
    <row r="525" spans="1:13" ht="20.100000000000001" customHeight="1" x14ac:dyDescent="0.2">
      <c r="A525" s="23">
        <f>ROW('Wash Sale Tracker'!A530)</f>
        <v>530</v>
      </c>
      <c r="B525" s="24"/>
      <c r="C525" s="24"/>
      <c r="D525" s="75"/>
      <c r="E525" s="76"/>
      <c r="F525" s="74"/>
      <c r="G525" s="76"/>
      <c r="H525" s="23"/>
      <c r="I525" s="24"/>
      <c r="J525" s="25"/>
      <c r="K525" s="24"/>
      <c r="L525" s="74"/>
      <c r="M525" s="24"/>
    </row>
    <row r="526" spans="1:13" ht="20.100000000000001" customHeight="1" x14ac:dyDescent="0.2">
      <c r="A526" s="23">
        <f>ROW('Wash Sale Tracker'!A531)</f>
        <v>531</v>
      </c>
      <c r="B526" s="24"/>
      <c r="C526" s="24"/>
      <c r="D526" s="75"/>
      <c r="E526" s="76"/>
      <c r="F526" s="74"/>
      <c r="G526" s="76"/>
      <c r="H526" s="23"/>
      <c r="I526" s="24"/>
      <c r="J526" s="25"/>
      <c r="K526" s="24"/>
      <c r="L526" s="74"/>
      <c r="M526" s="24"/>
    </row>
    <row r="527" spans="1:13" ht="20.100000000000001" customHeight="1" x14ac:dyDescent="0.2">
      <c r="A527" s="23">
        <f>ROW('Wash Sale Tracker'!A532)</f>
        <v>532</v>
      </c>
      <c r="B527" s="24"/>
      <c r="C527" s="24"/>
      <c r="D527" s="75"/>
      <c r="E527" s="76"/>
      <c r="F527" s="74"/>
      <c r="G527" s="76"/>
      <c r="H527" s="23"/>
      <c r="I527" s="24"/>
      <c r="J527" s="25"/>
      <c r="K527" s="24"/>
      <c r="L527" s="74"/>
      <c r="M527" s="24"/>
    </row>
    <row r="528" spans="1:13" ht="20.100000000000001" customHeight="1" x14ac:dyDescent="0.2">
      <c r="A528" s="23">
        <f>ROW('Wash Sale Tracker'!A533)</f>
        <v>533</v>
      </c>
      <c r="B528" s="24"/>
      <c r="C528" s="24"/>
      <c r="D528" s="75"/>
      <c r="E528" s="76"/>
      <c r="F528" s="74"/>
      <c r="G528" s="76"/>
      <c r="H528" s="23"/>
      <c r="I528" s="24"/>
      <c r="J528" s="25"/>
      <c r="K528" s="24"/>
      <c r="L528" s="74"/>
      <c r="M528" s="24"/>
    </row>
    <row r="529" spans="1:13" ht="20.100000000000001" customHeight="1" x14ac:dyDescent="0.2">
      <c r="A529" s="23">
        <f>ROW('Wash Sale Tracker'!A534)</f>
        <v>534</v>
      </c>
      <c r="B529" s="24"/>
      <c r="C529" s="24"/>
      <c r="D529" s="75"/>
      <c r="E529" s="76"/>
      <c r="F529" s="74"/>
      <c r="G529" s="76"/>
      <c r="H529" s="23"/>
      <c r="I529" s="24"/>
      <c r="J529" s="25"/>
      <c r="K529" s="24"/>
      <c r="L529" s="74"/>
      <c r="M529" s="24"/>
    </row>
    <row r="530" spans="1:13" ht="20.100000000000001" customHeight="1" x14ac:dyDescent="0.2">
      <c r="A530" s="23">
        <f>ROW('Wash Sale Tracker'!A535)</f>
        <v>535</v>
      </c>
      <c r="B530" s="24"/>
      <c r="C530" s="24"/>
      <c r="D530" s="75"/>
      <c r="E530" s="76"/>
      <c r="F530" s="74"/>
      <c r="G530" s="76"/>
      <c r="H530" s="23"/>
      <c r="I530" s="24"/>
      <c r="J530" s="25"/>
      <c r="K530" s="24"/>
      <c r="L530" s="74"/>
      <c r="M530" s="24"/>
    </row>
    <row r="531" spans="1:13" ht="20.100000000000001" customHeight="1" x14ac:dyDescent="0.2">
      <c r="A531" s="23">
        <f>ROW('Wash Sale Tracker'!A536)</f>
        <v>536</v>
      </c>
      <c r="B531" s="24"/>
      <c r="C531" s="24"/>
      <c r="D531" s="75"/>
      <c r="E531" s="76"/>
      <c r="F531" s="74"/>
      <c r="G531" s="76"/>
      <c r="H531" s="23"/>
      <c r="I531" s="24"/>
      <c r="J531" s="25"/>
      <c r="K531" s="24"/>
      <c r="L531" s="74"/>
      <c r="M531" s="24"/>
    </row>
    <row r="532" spans="1:13" ht="20.100000000000001" customHeight="1" x14ac:dyDescent="0.2">
      <c r="A532" s="23">
        <f>ROW('Wash Sale Tracker'!A537)</f>
        <v>537</v>
      </c>
      <c r="B532" s="24"/>
      <c r="C532" s="24"/>
      <c r="D532" s="75"/>
      <c r="E532" s="76"/>
      <c r="F532" s="74"/>
      <c r="G532" s="76"/>
      <c r="H532" s="23"/>
      <c r="I532" s="24"/>
      <c r="J532" s="25"/>
      <c r="K532" s="24"/>
      <c r="L532" s="74"/>
      <c r="M532" s="24"/>
    </row>
    <row r="533" spans="1:13" ht="20.100000000000001" customHeight="1" x14ac:dyDescent="0.2">
      <c r="A533" s="23">
        <f>ROW('Wash Sale Tracker'!A538)</f>
        <v>538</v>
      </c>
      <c r="B533" s="24"/>
      <c r="C533" s="24"/>
      <c r="D533" s="75"/>
      <c r="E533" s="76"/>
      <c r="F533" s="74"/>
      <c r="G533" s="76"/>
      <c r="H533" s="23"/>
      <c r="I533" s="24"/>
      <c r="J533" s="25"/>
      <c r="K533" s="24"/>
      <c r="L533" s="74"/>
      <c r="M533" s="24"/>
    </row>
    <row r="534" spans="1:13" ht="20.100000000000001" customHeight="1" x14ac:dyDescent="0.2">
      <c r="A534" s="23">
        <f>ROW('Wash Sale Tracker'!A539)</f>
        <v>539</v>
      </c>
      <c r="B534" s="24"/>
      <c r="C534" s="24"/>
      <c r="D534" s="75"/>
      <c r="E534" s="76"/>
      <c r="F534" s="74"/>
      <c r="G534" s="76"/>
      <c r="H534" s="23"/>
      <c r="I534" s="24"/>
      <c r="J534" s="25"/>
      <c r="K534" s="24"/>
      <c r="L534" s="74"/>
      <c r="M534" s="24"/>
    </row>
    <row r="535" spans="1:13" ht="20.100000000000001" customHeight="1" x14ac:dyDescent="0.2">
      <c r="A535" s="23">
        <f>ROW('Wash Sale Tracker'!A540)</f>
        <v>540</v>
      </c>
      <c r="B535" s="24"/>
      <c r="C535" s="24"/>
      <c r="D535" s="75"/>
      <c r="E535" s="76"/>
      <c r="F535" s="74"/>
      <c r="G535" s="76"/>
      <c r="H535" s="23"/>
      <c r="I535" s="24"/>
      <c r="J535" s="25"/>
      <c r="K535" s="24"/>
      <c r="L535" s="74"/>
      <c r="M535" s="24"/>
    </row>
    <row r="536" spans="1:13" ht="20.100000000000001" customHeight="1" x14ac:dyDescent="0.2">
      <c r="A536" s="23">
        <f>ROW('Wash Sale Tracker'!A541)</f>
        <v>541</v>
      </c>
      <c r="B536" s="24"/>
      <c r="C536" s="24"/>
      <c r="D536" s="75"/>
      <c r="E536" s="76"/>
      <c r="F536" s="74"/>
      <c r="G536" s="76"/>
      <c r="H536" s="23"/>
      <c r="I536" s="24"/>
      <c r="J536" s="25"/>
      <c r="K536" s="24"/>
      <c r="L536" s="74"/>
      <c r="M536" s="24"/>
    </row>
    <row r="537" spans="1:13" ht="20.100000000000001" customHeight="1" x14ac:dyDescent="0.2">
      <c r="A537" s="23">
        <f>ROW('Wash Sale Tracker'!A542)</f>
        <v>542</v>
      </c>
      <c r="B537" s="24"/>
      <c r="C537" s="24"/>
      <c r="D537" s="75"/>
      <c r="E537" s="76"/>
      <c r="F537" s="74"/>
      <c r="G537" s="76"/>
      <c r="H537" s="23"/>
      <c r="I537" s="24"/>
      <c r="J537" s="25"/>
      <c r="K537" s="24"/>
      <c r="L537" s="74"/>
      <c r="M537" s="24"/>
    </row>
    <row r="538" spans="1:13" ht="20.100000000000001" customHeight="1" x14ac:dyDescent="0.2">
      <c r="A538" s="23">
        <f>ROW('Wash Sale Tracker'!A543)</f>
        <v>543</v>
      </c>
      <c r="B538" s="24"/>
      <c r="C538" s="24"/>
      <c r="D538" s="75"/>
      <c r="E538" s="76"/>
      <c r="F538" s="74"/>
      <c r="G538" s="76"/>
      <c r="H538" s="23"/>
      <c r="I538" s="24"/>
      <c r="J538" s="25"/>
      <c r="K538" s="24"/>
      <c r="L538" s="74"/>
      <c r="M538" s="24"/>
    </row>
    <row r="539" spans="1:13" ht="20.100000000000001" customHeight="1" x14ac:dyDescent="0.2">
      <c r="A539" s="23">
        <f>ROW('Wash Sale Tracker'!A544)</f>
        <v>544</v>
      </c>
      <c r="B539" s="24"/>
      <c r="C539" s="24"/>
      <c r="D539" s="75"/>
      <c r="E539" s="76"/>
      <c r="F539" s="74"/>
      <c r="G539" s="76"/>
      <c r="H539" s="23"/>
      <c r="I539" s="24"/>
      <c r="J539" s="25"/>
      <c r="K539" s="24"/>
      <c r="L539" s="74"/>
      <c r="M539" s="24"/>
    </row>
    <row r="540" spans="1:13" ht="20.100000000000001" customHeight="1" x14ac:dyDescent="0.2">
      <c r="A540" s="23">
        <f>ROW('Wash Sale Tracker'!A545)</f>
        <v>545</v>
      </c>
      <c r="B540" s="24"/>
      <c r="C540" s="24"/>
      <c r="D540" s="75"/>
      <c r="E540" s="76"/>
      <c r="F540" s="74"/>
      <c r="G540" s="76"/>
      <c r="H540" s="23"/>
      <c r="I540" s="24"/>
      <c r="J540" s="25"/>
      <c r="K540" s="24"/>
      <c r="L540" s="74"/>
      <c r="M540" s="24"/>
    </row>
    <row r="541" spans="1:13" ht="20.100000000000001" customHeight="1" x14ac:dyDescent="0.2">
      <c r="A541" s="23">
        <f>ROW('Wash Sale Tracker'!A546)</f>
        <v>546</v>
      </c>
      <c r="B541" s="24"/>
      <c r="C541" s="24"/>
      <c r="D541" s="75"/>
      <c r="E541" s="76"/>
      <c r="F541" s="74"/>
      <c r="G541" s="76"/>
      <c r="H541" s="23"/>
      <c r="I541" s="24"/>
      <c r="J541" s="25"/>
      <c r="K541" s="24"/>
      <c r="L541" s="74"/>
      <c r="M541" s="24"/>
    </row>
    <row r="542" spans="1:13" ht="20.100000000000001" customHeight="1" x14ac:dyDescent="0.2">
      <c r="A542" s="23">
        <f>ROW('Wash Sale Tracker'!A547)</f>
        <v>547</v>
      </c>
      <c r="B542" s="24"/>
      <c r="C542" s="24"/>
      <c r="D542" s="75"/>
      <c r="E542" s="76"/>
      <c r="F542" s="74"/>
      <c r="G542" s="76"/>
      <c r="H542" s="23"/>
      <c r="I542" s="24"/>
      <c r="J542" s="25"/>
      <c r="K542" s="24"/>
      <c r="L542" s="74"/>
      <c r="M542" s="24"/>
    </row>
    <row r="543" spans="1:13" ht="20.100000000000001" customHeight="1" x14ac:dyDescent="0.2">
      <c r="A543" s="23">
        <f>ROW('Wash Sale Tracker'!A548)</f>
        <v>548</v>
      </c>
      <c r="B543" s="24"/>
      <c r="C543" s="24"/>
      <c r="D543" s="75"/>
      <c r="E543" s="76"/>
      <c r="F543" s="74"/>
      <c r="G543" s="76"/>
      <c r="H543" s="23"/>
      <c r="I543" s="24"/>
      <c r="J543" s="25"/>
      <c r="K543" s="24"/>
      <c r="L543" s="74"/>
      <c r="M543" s="24"/>
    </row>
    <row r="544" spans="1:13" ht="20.100000000000001" customHeight="1" x14ac:dyDescent="0.2">
      <c r="A544" s="23">
        <f>ROW('Wash Sale Tracker'!A549)</f>
        <v>549</v>
      </c>
      <c r="B544" s="24"/>
      <c r="C544" s="24"/>
      <c r="D544" s="75"/>
      <c r="E544" s="76"/>
      <c r="F544" s="74"/>
      <c r="G544" s="76"/>
      <c r="H544" s="23"/>
      <c r="I544" s="24"/>
      <c r="J544" s="25"/>
      <c r="K544" s="24"/>
      <c r="L544" s="74"/>
      <c r="M544" s="24"/>
    </row>
    <row r="545" spans="1:13" ht="20.100000000000001" customHeight="1" x14ac:dyDescent="0.2">
      <c r="A545" s="23">
        <f>ROW('Wash Sale Tracker'!A550)</f>
        <v>550</v>
      </c>
      <c r="B545" s="24"/>
      <c r="C545" s="24"/>
      <c r="D545" s="75"/>
      <c r="E545" s="76"/>
      <c r="F545" s="74"/>
      <c r="G545" s="76"/>
      <c r="H545" s="23"/>
      <c r="I545" s="24"/>
      <c r="J545" s="25"/>
      <c r="K545" s="24"/>
      <c r="L545" s="74"/>
      <c r="M545" s="24"/>
    </row>
    <row r="546" spans="1:13" ht="20.100000000000001" customHeight="1" x14ac:dyDescent="0.2">
      <c r="A546" s="23">
        <f>ROW('Wash Sale Tracker'!A551)</f>
        <v>551</v>
      </c>
      <c r="B546" s="24"/>
      <c r="C546" s="24"/>
      <c r="D546" s="75"/>
      <c r="E546" s="76"/>
      <c r="F546" s="74"/>
      <c r="G546" s="76"/>
      <c r="H546" s="23"/>
      <c r="I546" s="24"/>
      <c r="J546" s="25"/>
      <c r="K546" s="24"/>
      <c r="L546" s="74"/>
      <c r="M546" s="24"/>
    </row>
    <row r="547" spans="1:13" ht="20.100000000000001" customHeight="1" x14ac:dyDescent="0.2">
      <c r="A547" s="23">
        <f>ROW('Wash Sale Tracker'!A552)</f>
        <v>552</v>
      </c>
      <c r="B547" s="24"/>
      <c r="C547" s="24"/>
      <c r="D547" s="75"/>
      <c r="E547" s="76"/>
      <c r="F547" s="74"/>
      <c r="G547" s="76"/>
      <c r="H547" s="23"/>
      <c r="I547" s="24"/>
      <c r="J547" s="25"/>
      <c r="K547" s="24"/>
      <c r="L547" s="74"/>
      <c r="M547" s="24"/>
    </row>
    <row r="548" spans="1:13" ht="20.100000000000001" customHeight="1" x14ac:dyDescent="0.2">
      <c r="A548" s="23">
        <f>ROW('Wash Sale Tracker'!A553)</f>
        <v>553</v>
      </c>
      <c r="B548" s="24"/>
      <c r="C548" s="24"/>
      <c r="D548" s="75"/>
      <c r="E548" s="76"/>
      <c r="F548" s="74"/>
      <c r="G548" s="76"/>
      <c r="H548" s="23"/>
      <c r="I548" s="24"/>
      <c r="J548" s="25"/>
      <c r="K548" s="24"/>
      <c r="L548" s="74"/>
      <c r="M548" s="24"/>
    </row>
    <row r="549" spans="1:13" ht="20.100000000000001" customHeight="1" x14ac:dyDescent="0.2">
      <c r="A549" s="23">
        <f>ROW('Wash Sale Tracker'!A554)</f>
        <v>554</v>
      </c>
      <c r="B549" s="24"/>
      <c r="C549" s="24"/>
      <c r="D549" s="75"/>
      <c r="E549" s="76"/>
      <c r="F549" s="74"/>
      <c r="G549" s="76"/>
      <c r="H549" s="23"/>
      <c r="I549" s="24"/>
      <c r="J549" s="25"/>
      <c r="K549" s="24"/>
      <c r="L549" s="74"/>
      <c r="M549" s="24"/>
    </row>
    <row r="550" spans="1:13" ht="20.100000000000001" customHeight="1" x14ac:dyDescent="0.2">
      <c r="A550" s="23">
        <f>ROW('Wash Sale Tracker'!A555)</f>
        <v>555</v>
      </c>
      <c r="B550" s="24"/>
      <c r="C550" s="24"/>
      <c r="D550" s="75"/>
      <c r="E550" s="76"/>
      <c r="F550" s="74"/>
      <c r="G550" s="76"/>
      <c r="H550" s="23"/>
      <c r="I550" s="24"/>
      <c r="J550" s="25"/>
      <c r="K550" s="24"/>
      <c r="L550" s="74"/>
      <c r="M550" s="24"/>
    </row>
    <row r="551" spans="1:13" ht="20.100000000000001" customHeight="1" x14ac:dyDescent="0.2">
      <c r="A551" s="23">
        <f>ROW('Wash Sale Tracker'!A556)</f>
        <v>556</v>
      </c>
      <c r="B551" s="24"/>
      <c r="C551" s="24"/>
      <c r="D551" s="75"/>
      <c r="E551" s="76"/>
      <c r="F551" s="74"/>
      <c r="G551" s="76"/>
      <c r="H551" s="23"/>
      <c r="I551" s="24"/>
      <c r="J551" s="25"/>
      <c r="K551" s="24"/>
      <c r="L551" s="74"/>
      <c r="M551" s="24"/>
    </row>
    <row r="552" spans="1:13" ht="20.100000000000001" customHeight="1" x14ac:dyDescent="0.2">
      <c r="A552" s="23">
        <f>ROW('Wash Sale Tracker'!A557)</f>
        <v>557</v>
      </c>
      <c r="B552" s="24"/>
      <c r="C552" s="24"/>
      <c r="D552" s="75"/>
      <c r="E552" s="76"/>
      <c r="F552" s="74"/>
      <c r="G552" s="76"/>
      <c r="H552" s="23"/>
      <c r="I552" s="24"/>
      <c r="J552" s="25"/>
      <c r="K552" s="24"/>
      <c r="L552" s="74"/>
      <c r="M552" s="24"/>
    </row>
    <row r="553" spans="1:13" ht="20.100000000000001" customHeight="1" x14ac:dyDescent="0.2">
      <c r="A553" s="23">
        <f>ROW('Wash Sale Tracker'!A558)</f>
        <v>558</v>
      </c>
      <c r="B553" s="24"/>
      <c r="C553" s="24"/>
      <c r="D553" s="75"/>
      <c r="E553" s="76"/>
      <c r="F553" s="74"/>
      <c r="G553" s="76"/>
      <c r="H553" s="23"/>
      <c r="I553" s="24"/>
      <c r="J553" s="25"/>
      <c r="K553" s="24"/>
      <c r="L553" s="74"/>
      <c r="M553" s="24"/>
    </row>
    <row r="554" spans="1:13" ht="20.100000000000001" customHeight="1" x14ac:dyDescent="0.2">
      <c r="A554" s="23">
        <f>ROW('Wash Sale Tracker'!A559)</f>
        <v>559</v>
      </c>
      <c r="B554" s="24"/>
      <c r="C554" s="24"/>
      <c r="D554" s="75"/>
      <c r="E554" s="76"/>
      <c r="F554" s="74"/>
      <c r="G554" s="76"/>
      <c r="H554" s="23"/>
      <c r="I554" s="24"/>
      <c r="J554" s="25"/>
      <c r="K554" s="24"/>
      <c r="L554" s="74"/>
      <c r="M554" s="24"/>
    </row>
    <row r="555" spans="1:13" ht="20.100000000000001" customHeight="1" x14ac:dyDescent="0.2">
      <c r="A555" s="23">
        <f>ROW('Wash Sale Tracker'!A560)</f>
        <v>560</v>
      </c>
      <c r="B555" s="24"/>
      <c r="C555" s="24"/>
      <c r="D555" s="75"/>
      <c r="E555" s="76"/>
      <c r="F555" s="74"/>
      <c r="G555" s="76"/>
      <c r="H555" s="23"/>
      <c r="I555" s="24"/>
      <c r="J555" s="25"/>
      <c r="K555" s="24"/>
      <c r="L555" s="74"/>
      <c r="M555" s="24"/>
    </row>
    <row r="556" spans="1:13" ht="20.100000000000001" customHeight="1" x14ac:dyDescent="0.2">
      <c r="A556" s="23">
        <f>ROW('Wash Sale Tracker'!A561)</f>
        <v>561</v>
      </c>
      <c r="B556" s="24"/>
      <c r="C556" s="24"/>
      <c r="D556" s="75"/>
      <c r="E556" s="76"/>
      <c r="F556" s="74"/>
      <c r="G556" s="76"/>
      <c r="H556" s="23"/>
      <c r="I556" s="24"/>
      <c r="J556" s="25"/>
      <c r="K556" s="24"/>
      <c r="L556" s="74"/>
      <c r="M556" s="24"/>
    </row>
    <row r="557" spans="1:13" ht="20.100000000000001" customHeight="1" x14ac:dyDescent="0.2">
      <c r="A557" s="23">
        <f>ROW('Wash Sale Tracker'!A562)</f>
        <v>562</v>
      </c>
      <c r="B557" s="24"/>
      <c r="C557" s="24"/>
      <c r="D557" s="75"/>
      <c r="E557" s="76"/>
      <c r="F557" s="74"/>
      <c r="G557" s="76"/>
      <c r="H557" s="23"/>
      <c r="I557" s="24"/>
      <c r="J557" s="25"/>
      <c r="K557" s="24"/>
      <c r="L557" s="74"/>
      <c r="M557" s="24"/>
    </row>
    <row r="558" spans="1:13" ht="20.100000000000001" customHeight="1" x14ac:dyDescent="0.2">
      <c r="A558" s="23">
        <f>ROW('Wash Sale Tracker'!A563)</f>
        <v>563</v>
      </c>
      <c r="B558" s="24"/>
      <c r="C558" s="24"/>
      <c r="D558" s="75"/>
      <c r="E558" s="76"/>
      <c r="F558" s="74"/>
      <c r="G558" s="76"/>
      <c r="H558" s="23"/>
      <c r="I558" s="24"/>
      <c r="J558" s="25"/>
      <c r="K558" s="24"/>
      <c r="L558" s="74"/>
      <c r="M558" s="24"/>
    </row>
    <row r="559" spans="1:13" ht="20.100000000000001" customHeight="1" x14ac:dyDescent="0.2">
      <c r="A559" s="23">
        <f>ROW('Wash Sale Tracker'!A564)</f>
        <v>564</v>
      </c>
      <c r="B559" s="24"/>
      <c r="C559" s="24"/>
      <c r="D559" s="75"/>
      <c r="E559" s="76"/>
      <c r="F559" s="74"/>
      <c r="G559" s="76"/>
      <c r="H559" s="23"/>
      <c r="I559" s="24"/>
      <c r="J559" s="25"/>
      <c r="K559" s="24"/>
      <c r="L559" s="74"/>
      <c r="M559" s="24"/>
    </row>
    <row r="560" spans="1:13" ht="20.100000000000001" customHeight="1" x14ac:dyDescent="0.2">
      <c r="A560" s="23">
        <f>ROW('Wash Sale Tracker'!A565)</f>
        <v>565</v>
      </c>
      <c r="B560" s="24"/>
      <c r="C560" s="24"/>
      <c r="D560" s="75"/>
      <c r="E560" s="76"/>
      <c r="F560" s="74"/>
      <c r="G560" s="76"/>
      <c r="H560" s="23"/>
      <c r="I560" s="24"/>
      <c r="J560" s="25"/>
      <c r="K560" s="24"/>
      <c r="L560" s="74"/>
      <c r="M560" s="24"/>
    </row>
    <row r="561" spans="1:13" ht="20.100000000000001" customHeight="1" x14ac:dyDescent="0.2">
      <c r="A561" s="23">
        <f>ROW('Wash Sale Tracker'!A566)</f>
        <v>566</v>
      </c>
      <c r="B561" s="24"/>
      <c r="C561" s="24"/>
      <c r="D561" s="75"/>
      <c r="E561" s="76"/>
      <c r="F561" s="74"/>
      <c r="G561" s="76"/>
      <c r="H561" s="23"/>
      <c r="I561" s="24"/>
      <c r="J561" s="25"/>
      <c r="K561" s="24"/>
      <c r="L561" s="74"/>
      <c r="M561" s="24"/>
    </row>
    <row r="562" spans="1:13" ht="20.100000000000001" customHeight="1" x14ac:dyDescent="0.2">
      <c r="A562" s="23">
        <f>ROW('Wash Sale Tracker'!A567)</f>
        <v>567</v>
      </c>
      <c r="B562" s="24"/>
      <c r="C562" s="24"/>
      <c r="D562" s="75"/>
      <c r="E562" s="76"/>
      <c r="F562" s="74"/>
      <c r="G562" s="76"/>
      <c r="H562" s="23"/>
      <c r="I562" s="24"/>
      <c r="J562" s="25"/>
      <c r="K562" s="24"/>
      <c r="L562" s="74"/>
      <c r="M562" s="24"/>
    </row>
    <row r="563" spans="1:13" ht="20.100000000000001" customHeight="1" x14ac:dyDescent="0.2">
      <c r="A563" s="23">
        <f>ROW('Wash Sale Tracker'!A568)</f>
        <v>568</v>
      </c>
      <c r="B563" s="24"/>
      <c r="C563" s="24"/>
      <c r="D563" s="75"/>
      <c r="E563" s="76"/>
      <c r="F563" s="74"/>
      <c r="G563" s="76"/>
      <c r="H563" s="23"/>
      <c r="I563" s="24"/>
      <c r="J563" s="25"/>
      <c r="K563" s="24"/>
      <c r="L563" s="74"/>
      <c r="M563" s="24"/>
    </row>
    <row r="564" spans="1:13" ht="20.100000000000001" customHeight="1" x14ac:dyDescent="0.2">
      <c r="A564" s="23">
        <f>ROW('Wash Sale Tracker'!A569)</f>
        <v>569</v>
      </c>
      <c r="B564" s="24"/>
      <c r="C564" s="24"/>
      <c r="D564" s="75"/>
      <c r="E564" s="76"/>
      <c r="F564" s="74"/>
      <c r="G564" s="76"/>
      <c r="H564" s="23"/>
      <c r="I564" s="24"/>
      <c r="J564" s="25"/>
      <c r="K564" s="24"/>
      <c r="L564" s="74"/>
      <c r="M564" s="24"/>
    </row>
    <row r="565" spans="1:13" ht="20.100000000000001" customHeight="1" x14ac:dyDescent="0.2">
      <c r="A565" s="23">
        <f>ROW('Wash Sale Tracker'!A570)</f>
        <v>570</v>
      </c>
      <c r="B565" s="24"/>
      <c r="C565" s="24"/>
      <c r="D565" s="75"/>
      <c r="E565" s="76"/>
      <c r="F565" s="74"/>
      <c r="G565" s="76"/>
      <c r="H565" s="23"/>
      <c r="I565" s="24"/>
      <c r="J565" s="25"/>
      <c r="K565" s="24"/>
      <c r="L565" s="74"/>
      <c r="M565" s="24"/>
    </row>
    <row r="566" spans="1:13" ht="20.100000000000001" customHeight="1" x14ac:dyDescent="0.2">
      <c r="A566" s="23">
        <f>ROW('Wash Sale Tracker'!A571)</f>
        <v>571</v>
      </c>
      <c r="B566" s="24"/>
      <c r="C566" s="24"/>
      <c r="D566" s="75"/>
      <c r="E566" s="76"/>
      <c r="F566" s="74"/>
      <c r="G566" s="76"/>
      <c r="H566" s="23"/>
      <c r="I566" s="24"/>
      <c r="J566" s="25"/>
      <c r="K566" s="24"/>
      <c r="L566" s="74"/>
      <c r="M566" s="24"/>
    </row>
    <row r="567" spans="1:13" ht="20.100000000000001" customHeight="1" x14ac:dyDescent="0.2">
      <c r="A567" s="23">
        <f>ROW('Wash Sale Tracker'!A572)</f>
        <v>572</v>
      </c>
      <c r="B567" s="24"/>
      <c r="C567" s="24"/>
      <c r="D567" s="75"/>
      <c r="E567" s="76"/>
      <c r="F567" s="74"/>
      <c r="G567" s="76"/>
      <c r="H567" s="23"/>
      <c r="I567" s="24"/>
      <c r="J567" s="25"/>
      <c r="K567" s="24"/>
      <c r="L567" s="74"/>
      <c r="M567" s="24"/>
    </row>
    <row r="568" spans="1:13" ht="20.100000000000001" customHeight="1" x14ac:dyDescent="0.2">
      <c r="A568" s="23">
        <f>ROW('Wash Sale Tracker'!A573)</f>
        <v>573</v>
      </c>
      <c r="B568" s="24"/>
      <c r="C568" s="24"/>
      <c r="D568" s="75"/>
      <c r="E568" s="76"/>
      <c r="F568" s="74"/>
      <c r="G568" s="76"/>
      <c r="H568" s="23"/>
      <c r="I568" s="24"/>
      <c r="J568" s="25"/>
      <c r="K568" s="24"/>
      <c r="L568" s="74"/>
      <c r="M568" s="24"/>
    </row>
    <row r="569" spans="1:13" ht="20.100000000000001" customHeight="1" x14ac:dyDescent="0.2">
      <c r="A569" s="23">
        <f>ROW('Wash Sale Tracker'!A574)</f>
        <v>574</v>
      </c>
      <c r="B569" s="24"/>
      <c r="C569" s="24"/>
      <c r="D569" s="75"/>
      <c r="E569" s="76"/>
      <c r="F569" s="74"/>
      <c r="G569" s="76"/>
      <c r="H569" s="23"/>
      <c r="I569" s="24"/>
      <c r="J569" s="25"/>
      <c r="K569" s="24"/>
      <c r="L569" s="74"/>
      <c r="M569" s="24"/>
    </row>
    <row r="570" spans="1:13" ht="20.100000000000001" customHeight="1" x14ac:dyDescent="0.2">
      <c r="A570" s="23">
        <f>ROW('Wash Sale Tracker'!A575)</f>
        <v>575</v>
      </c>
      <c r="B570" s="24"/>
      <c r="C570" s="24"/>
      <c r="D570" s="75"/>
      <c r="E570" s="76"/>
      <c r="F570" s="74"/>
      <c r="G570" s="76"/>
      <c r="H570" s="23"/>
      <c r="I570" s="24"/>
      <c r="J570" s="25"/>
      <c r="K570" s="24"/>
      <c r="L570" s="74"/>
      <c r="M570" s="24"/>
    </row>
    <row r="571" spans="1:13" ht="20.100000000000001" customHeight="1" x14ac:dyDescent="0.2">
      <c r="A571" s="23">
        <f>ROW('Wash Sale Tracker'!A576)</f>
        <v>576</v>
      </c>
      <c r="B571" s="24"/>
      <c r="C571" s="24"/>
      <c r="D571" s="75"/>
      <c r="E571" s="76"/>
      <c r="F571" s="74"/>
      <c r="G571" s="76"/>
      <c r="H571" s="23"/>
      <c r="I571" s="24"/>
      <c r="J571" s="25"/>
      <c r="K571" s="24"/>
      <c r="L571" s="74"/>
      <c r="M571" s="24"/>
    </row>
    <row r="572" spans="1:13" ht="20.100000000000001" customHeight="1" x14ac:dyDescent="0.2">
      <c r="A572" s="23">
        <f>ROW('Wash Sale Tracker'!A577)</f>
        <v>577</v>
      </c>
      <c r="B572" s="24"/>
      <c r="C572" s="24"/>
      <c r="D572" s="75"/>
      <c r="E572" s="76"/>
      <c r="F572" s="74"/>
      <c r="G572" s="76"/>
      <c r="H572" s="23"/>
      <c r="I572" s="24"/>
      <c r="J572" s="25"/>
      <c r="K572" s="24"/>
      <c r="L572" s="74"/>
      <c r="M572" s="24"/>
    </row>
    <row r="573" spans="1:13" ht="20.100000000000001" customHeight="1" x14ac:dyDescent="0.2">
      <c r="A573" s="23">
        <f>ROW('Wash Sale Tracker'!A578)</f>
        <v>578</v>
      </c>
      <c r="B573" s="24"/>
      <c r="C573" s="24"/>
      <c r="D573" s="75"/>
      <c r="E573" s="76"/>
      <c r="F573" s="74"/>
      <c r="G573" s="76"/>
      <c r="H573" s="23"/>
      <c r="I573" s="24"/>
      <c r="J573" s="25"/>
      <c r="K573" s="24"/>
      <c r="L573" s="74"/>
      <c r="M573" s="24"/>
    </row>
    <row r="574" spans="1:13" ht="20.100000000000001" customHeight="1" x14ac:dyDescent="0.2">
      <c r="A574" s="23">
        <f>ROW('Wash Sale Tracker'!A579)</f>
        <v>579</v>
      </c>
      <c r="B574" s="24"/>
      <c r="C574" s="24"/>
      <c r="D574" s="75"/>
      <c r="E574" s="76"/>
      <c r="F574" s="74"/>
      <c r="G574" s="76"/>
      <c r="H574" s="23"/>
      <c r="I574" s="24"/>
      <c r="J574" s="25"/>
      <c r="K574" s="24"/>
      <c r="L574" s="74"/>
      <c r="M574" s="24"/>
    </row>
    <row r="575" spans="1:13" ht="20.100000000000001" customHeight="1" x14ac:dyDescent="0.2">
      <c r="A575" s="23">
        <f>ROW('Wash Sale Tracker'!A580)</f>
        <v>580</v>
      </c>
      <c r="B575" s="24"/>
      <c r="C575" s="24"/>
      <c r="D575" s="75"/>
      <c r="E575" s="76"/>
      <c r="F575" s="74"/>
      <c r="G575" s="76"/>
      <c r="H575" s="23"/>
      <c r="I575" s="24"/>
      <c r="J575" s="25"/>
      <c r="K575" s="24"/>
      <c r="L575" s="74"/>
      <c r="M575" s="24"/>
    </row>
    <row r="576" spans="1:13" ht="20.100000000000001" customHeight="1" x14ac:dyDescent="0.2">
      <c r="A576" s="23">
        <f>ROW('Wash Sale Tracker'!A581)</f>
        <v>581</v>
      </c>
      <c r="B576" s="24"/>
      <c r="C576" s="24"/>
      <c r="D576" s="75"/>
      <c r="E576" s="76"/>
      <c r="F576" s="74"/>
      <c r="G576" s="76"/>
      <c r="H576" s="23"/>
      <c r="I576" s="24"/>
      <c r="J576" s="25"/>
      <c r="K576" s="24"/>
      <c r="L576" s="74"/>
      <c r="M576" s="24"/>
    </row>
    <row r="577" spans="1:13" ht="20.100000000000001" customHeight="1" x14ac:dyDescent="0.2">
      <c r="A577" s="23">
        <f>ROW('Wash Sale Tracker'!A582)</f>
        <v>582</v>
      </c>
      <c r="B577" s="24"/>
      <c r="C577" s="24"/>
      <c r="D577" s="75"/>
      <c r="E577" s="76"/>
      <c r="F577" s="74"/>
      <c r="G577" s="76"/>
      <c r="H577" s="23"/>
      <c r="I577" s="24"/>
      <c r="J577" s="25"/>
      <c r="K577" s="24"/>
      <c r="L577" s="74"/>
      <c r="M577" s="24"/>
    </row>
    <row r="578" spans="1:13" ht="20.100000000000001" customHeight="1" x14ac:dyDescent="0.2">
      <c r="A578" s="23">
        <f>ROW('Wash Sale Tracker'!A583)</f>
        <v>583</v>
      </c>
      <c r="B578" s="24"/>
      <c r="C578" s="24"/>
      <c r="D578" s="75"/>
      <c r="E578" s="76"/>
      <c r="F578" s="74"/>
      <c r="G578" s="76"/>
      <c r="H578" s="23"/>
      <c r="I578" s="24"/>
      <c r="J578" s="25"/>
      <c r="K578" s="24"/>
      <c r="L578" s="74"/>
      <c r="M578" s="24"/>
    </row>
    <row r="579" spans="1:13" ht="20.100000000000001" customHeight="1" x14ac:dyDescent="0.2">
      <c r="A579" s="23">
        <f>ROW('Wash Sale Tracker'!A584)</f>
        <v>584</v>
      </c>
      <c r="B579" s="24"/>
      <c r="C579" s="24"/>
      <c r="D579" s="75"/>
      <c r="E579" s="76"/>
      <c r="F579" s="74"/>
      <c r="G579" s="76"/>
      <c r="H579" s="23"/>
      <c r="I579" s="24"/>
      <c r="J579" s="25"/>
      <c r="K579" s="24"/>
      <c r="L579" s="74"/>
      <c r="M579" s="24"/>
    </row>
    <row r="580" spans="1:13" ht="20.100000000000001" customHeight="1" x14ac:dyDescent="0.2">
      <c r="A580" s="23">
        <f>ROW('Wash Sale Tracker'!A585)</f>
        <v>585</v>
      </c>
      <c r="B580" s="24"/>
      <c r="C580" s="24"/>
      <c r="D580" s="75"/>
      <c r="E580" s="76"/>
      <c r="F580" s="74"/>
      <c r="G580" s="76"/>
      <c r="H580" s="23"/>
      <c r="I580" s="24"/>
      <c r="J580" s="25"/>
      <c r="K580" s="24"/>
      <c r="L580" s="74"/>
      <c r="M580" s="24"/>
    </row>
    <row r="581" spans="1:13" ht="20.100000000000001" customHeight="1" x14ac:dyDescent="0.2">
      <c r="A581" s="23">
        <f>ROW('Wash Sale Tracker'!A586)</f>
        <v>586</v>
      </c>
      <c r="B581" s="24"/>
      <c r="C581" s="24"/>
      <c r="D581" s="75"/>
      <c r="E581" s="76"/>
      <c r="F581" s="74"/>
      <c r="G581" s="76"/>
      <c r="H581" s="23"/>
      <c r="I581" s="24"/>
      <c r="J581" s="25"/>
      <c r="K581" s="24"/>
      <c r="L581" s="74"/>
      <c r="M581" s="24"/>
    </row>
    <row r="582" spans="1:13" ht="20.100000000000001" customHeight="1" x14ac:dyDescent="0.2">
      <c r="A582" s="23">
        <f>ROW('Wash Sale Tracker'!A587)</f>
        <v>587</v>
      </c>
      <c r="B582" s="24"/>
      <c r="C582" s="24"/>
      <c r="D582" s="75"/>
      <c r="E582" s="76"/>
      <c r="F582" s="74"/>
      <c r="G582" s="76"/>
      <c r="H582" s="23"/>
      <c r="I582" s="24"/>
      <c r="J582" s="25"/>
      <c r="K582" s="24"/>
      <c r="L582" s="74"/>
      <c r="M582" s="24"/>
    </row>
    <row r="583" spans="1:13" ht="20.100000000000001" customHeight="1" x14ac:dyDescent="0.2">
      <c r="A583" s="23">
        <f>ROW('Wash Sale Tracker'!A588)</f>
        <v>588</v>
      </c>
      <c r="B583" s="24"/>
      <c r="C583" s="24"/>
      <c r="D583" s="75"/>
      <c r="E583" s="76"/>
      <c r="F583" s="74"/>
      <c r="G583" s="76"/>
      <c r="H583" s="23"/>
      <c r="I583" s="24"/>
      <c r="J583" s="25"/>
      <c r="K583" s="24"/>
      <c r="L583" s="74"/>
      <c r="M583" s="24"/>
    </row>
    <row r="584" spans="1:13" ht="20.100000000000001" customHeight="1" x14ac:dyDescent="0.2">
      <c r="A584" s="23">
        <f>ROW('Wash Sale Tracker'!A589)</f>
        <v>589</v>
      </c>
      <c r="B584" s="24"/>
      <c r="C584" s="24"/>
      <c r="D584" s="75"/>
      <c r="E584" s="76"/>
      <c r="F584" s="74"/>
      <c r="G584" s="76"/>
      <c r="H584" s="23"/>
      <c r="I584" s="24"/>
      <c r="J584" s="25"/>
      <c r="K584" s="24"/>
      <c r="L584" s="74"/>
      <c r="M584" s="24"/>
    </row>
    <row r="585" spans="1:13" ht="20.100000000000001" customHeight="1" x14ac:dyDescent="0.2">
      <c r="A585" s="23">
        <f>ROW('Wash Sale Tracker'!A590)</f>
        <v>590</v>
      </c>
      <c r="B585" s="24"/>
      <c r="C585" s="24"/>
      <c r="D585" s="75"/>
      <c r="E585" s="76"/>
      <c r="F585" s="74"/>
      <c r="G585" s="76"/>
      <c r="H585" s="23"/>
      <c r="I585" s="24"/>
      <c r="J585" s="25"/>
      <c r="K585" s="24"/>
      <c r="L585" s="74"/>
      <c r="M585" s="24"/>
    </row>
    <row r="586" spans="1:13" ht="20.100000000000001" customHeight="1" x14ac:dyDescent="0.2">
      <c r="A586" s="23">
        <f>ROW('Wash Sale Tracker'!A591)</f>
        <v>591</v>
      </c>
      <c r="B586" s="24"/>
      <c r="C586" s="24"/>
      <c r="D586" s="75"/>
      <c r="E586" s="76"/>
      <c r="F586" s="74"/>
      <c r="G586" s="76"/>
      <c r="H586" s="23"/>
      <c r="I586" s="24"/>
      <c r="J586" s="25"/>
      <c r="K586" s="24"/>
      <c r="L586" s="74"/>
      <c r="M586" s="24"/>
    </row>
    <row r="587" spans="1:13" ht="20.100000000000001" customHeight="1" x14ac:dyDescent="0.2">
      <c r="A587" s="23">
        <f>ROW('Wash Sale Tracker'!A592)</f>
        <v>592</v>
      </c>
      <c r="B587" s="24"/>
      <c r="C587" s="24"/>
      <c r="D587" s="75"/>
      <c r="E587" s="76"/>
      <c r="F587" s="74"/>
      <c r="G587" s="76"/>
      <c r="H587" s="23"/>
      <c r="I587" s="24"/>
      <c r="J587" s="25"/>
      <c r="K587" s="24"/>
      <c r="L587" s="74"/>
      <c r="M587" s="24"/>
    </row>
    <row r="588" spans="1:13" ht="20.100000000000001" customHeight="1" x14ac:dyDescent="0.2">
      <c r="A588" s="23">
        <f>ROW('Wash Sale Tracker'!A593)</f>
        <v>593</v>
      </c>
      <c r="B588" s="24"/>
      <c r="C588" s="24"/>
      <c r="D588" s="75"/>
      <c r="E588" s="76"/>
      <c r="F588" s="74"/>
      <c r="G588" s="76"/>
      <c r="H588" s="23"/>
      <c r="I588" s="24"/>
      <c r="J588" s="25"/>
      <c r="K588" s="24"/>
      <c r="L588" s="74"/>
      <c r="M588" s="24"/>
    </row>
    <row r="589" spans="1:13" ht="20.100000000000001" customHeight="1" x14ac:dyDescent="0.2">
      <c r="A589" s="23">
        <f>ROW('Wash Sale Tracker'!A594)</f>
        <v>594</v>
      </c>
      <c r="B589" s="24"/>
      <c r="C589" s="24"/>
      <c r="D589" s="75"/>
      <c r="E589" s="76"/>
      <c r="F589" s="74"/>
      <c r="G589" s="76"/>
      <c r="H589" s="23"/>
      <c r="I589" s="24"/>
      <c r="J589" s="25"/>
      <c r="K589" s="24"/>
      <c r="L589" s="74"/>
      <c r="M589" s="24"/>
    </row>
    <row r="590" spans="1:13" ht="20.100000000000001" customHeight="1" x14ac:dyDescent="0.2">
      <c r="A590" s="23">
        <f>ROW('Wash Sale Tracker'!A595)</f>
        <v>595</v>
      </c>
      <c r="B590" s="24"/>
      <c r="C590" s="24"/>
      <c r="D590" s="75"/>
      <c r="E590" s="76"/>
      <c r="F590" s="74"/>
      <c r="G590" s="76"/>
      <c r="H590" s="23"/>
      <c r="I590" s="24"/>
      <c r="J590" s="25"/>
      <c r="K590" s="24"/>
      <c r="L590" s="74"/>
      <c r="M590" s="24"/>
    </row>
    <row r="591" spans="1:13" ht="20.100000000000001" customHeight="1" x14ac:dyDescent="0.2">
      <c r="A591" s="23">
        <f>ROW('Wash Sale Tracker'!A596)</f>
        <v>596</v>
      </c>
      <c r="B591" s="24"/>
      <c r="C591" s="24"/>
      <c r="D591" s="75"/>
      <c r="E591" s="76"/>
      <c r="F591" s="74"/>
      <c r="G591" s="76"/>
      <c r="H591" s="23"/>
      <c r="I591" s="24"/>
      <c r="J591" s="25"/>
      <c r="K591" s="24"/>
      <c r="L591" s="74"/>
      <c r="M591" s="24"/>
    </row>
    <row r="592" spans="1:13" ht="20.100000000000001" customHeight="1" x14ac:dyDescent="0.2">
      <c r="A592" s="23">
        <f>ROW('Wash Sale Tracker'!A597)</f>
        <v>597</v>
      </c>
      <c r="B592" s="24"/>
      <c r="C592" s="24"/>
      <c r="D592" s="75"/>
      <c r="E592" s="76"/>
      <c r="F592" s="74"/>
      <c r="G592" s="76"/>
      <c r="H592" s="23"/>
      <c r="I592" s="24"/>
      <c r="J592" s="25"/>
      <c r="K592" s="24"/>
      <c r="L592" s="74"/>
      <c r="M592" s="24"/>
    </row>
    <row r="593" spans="1:13" ht="20.100000000000001" customHeight="1" x14ac:dyDescent="0.2">
      <c r="A593" s="23">
        <f>ROW('Wash Sale Tracker'!A598)</f>
        <v>598</v>
      </c>
      <c r="B593" s="24"/>
      <c r="C593" s="24"/>
      <c r="D593" s="75"/>
      <c r="E593" s="76"/>
      <c r="F593" s="74"/>
      <c r="G593" s="76"/>
      <c r="H593" s="23"/>
      <c r="I593" s="24"/>
      <c r="J593" s="25"/>
      <c r="K593" s="24"/>
      <c r="L593" s="74"/>
      <c r="M593" s="24"/>
    </row>
    <row r="594" spans="1:13" ht="20.100000000000001" customHeight="1" x14ac:dyDescent="0.2">
      <c r="A594" s="23">
        <f>ROW('Wash Sale Tracker'!A599)</f>
        <v>599</v>
      </c>
      <c r="B594" s="24"/>
      <c r="C594" s="24"/>
      <c r="D594" s="75"/>
      <c r="E594" s="76"/>
      <c r="F594" s="74"/>
      <c r="G594" s="76"/>
      <c r="H594" s="23"/>
      <c r="I594" s="24"/>
      <c r="J594" s="25"/>
      <c r="K594" s="24"/>
      <c r="L594" s="74"/>
      <c r="M594" s="24"/>
    </row>
    <row r="595" spans="1:13" ht="20.100000000000001" customHeight="1" x14ac:dyDescent="0.2">
      <c r="A595" s="23">
        <f>ROW('Wash Sale Tracker'!A600)</f>
        <v>600</v>
      </c>
      <c r="B595" s="24"/>
      <c r="C595" s="24"/>
      <c r="D595" s="75"/>
      <c r="E595" s="76"/>
      <c r="F595" s="74"/>
      <c r="G595" s="76"/>
      <c r="H595" s="23"/>
      <c r="I595" s="24"/>
      <c r="J595" s="25"/>
      <c r="K595" s="24"/>
      <c r="L595" s="74"/>
      <c r="M595" s="24"/>
    </row>
    <row r="596" spans="1:13" ht="20.100000000000001" customHeight="1" x14ac:dyDescent="0.2">
      <c r="A596" s="23">
        <f>ROW('Wash Sale Tracker'!A601)</f>
        <v>601</v>
      </c>
      <c r="B596" s="24"/>
      <c r="C596" s="24"/>
      <c r="D596" s="75"/>
      <c r="E596" s="76"/>
      <c r="F596" s="74"/>
      <c r="G596" s="76"/>
      <c r="H596" s="23"/>
      <c r="I596" s="24"/>
      <c r="J596" s="25"/>
      <c r="K596" s="24"/>
      <c r="L596" s="74"/>
      <c r="M596" s="24"/>
    </row>
    <row r="597" spans="1:13" ht="20.100000000000001" customHeight="1" x14ac:dyDescent="0.2">
      <c r="A597" s="23">
        <f>ROW('Wash Sale Tracker'!A602)</f>
        <v>602</v>
      </c>
      <c r="B597" s="24"/>
      <c r="C597" s="24"/>
      <c r="D597" s="75"/>
      <c r="E597" s="76"/>
      <c r="F597" s="74"/>
      <c r="G597" s="76"/>
      <c r="H597" s="23"/>
      <c r="I597" s="24"/>
      <c r="J597" s="25"/>
      <c r="K597" s="24"/>
      <c r="L597" s="74"/>
      <c r="M597" s="24"/>
    </row>
    <row r="598" spans="1:13" ht="20.100000000000001" customHeight="1" x14ac:dyDescent="0.2">
      <c r="A598" s="23">
        <f>ROW('Wash Sale Tracker'!A603)</f>
        <v>603</v>
      </c>
      <c r="B598" s="24"/>
      <c r="C598" s="24"/>
      <c r="D598" s="75"/>
      <c r="E598" s="76"/>
      <c r="F598" s="74"/>
      <c r="G598" s="76"/>
      <c r="H598" s="23"/>
      <c r="I598" s="24"/>
      <c r="J598" s="25"/>
      <c r="K598" s="24"/>
      <c r="L598" s="74"/>
      <c r="M598" s="24"/>
    </row>
    <row r="599" spans="1:13" ht="20.100000000000001" customHeight="1" x14ac:dyDescent="0.2">
      <c r="A599" s="23">
        <f>ROW('Wash Sale Tracker'!A604)</f>
        <v>604</v>
      </c>
      <c r="B599" s="24"/>
      <c r="C599" s="24"/>
      <c r="D599" s="75"/>
      <c r="E599" s="76"/>
      <c r="F599" s="74"/>
      <c r="G599" s="76"/>
      <c r="H599" s="23"/>
      <c r="I599" s="24"/>
      <c r="J599" s="25"/>
      <c r="K599" s="24"/>
      <c r="L599" s="74"/>
      <c r="M599" s="24"/>
    </row>
    <row r="600" spans="1:13" ht="20.100000000000001" customHeight="1" x14ac:dyDescent="0.2">
      <c r="A600" s="23">
        <f>ROW('Wash Sale Tracker'!A605)</f>
        <v>605</v>
      </c>
      <c r="B600" s="24"/>
      <c r="C600" s="24"/>
      <c r="D600" s="75"/>
      <c r="E600" s="76"/>
      <c r="F600" s="74"/>
      <c r="G600" s="76"/>
      <c r="H600" s="23"/>
      <c r="I600" s="24"/>
      <c r="J600" s="25"/>
      <c r="K600" s="24"/>
      <c r="L600" s="74"/>
      <c r="M600" s="24"/>
    </row>
    <row r="601" spans="1:13" ht="20.100000000000001" customHeight="1" x14ac:dyDescent="0.2">
      <c r="A601" s="23">
        <f>ROW('Wash Sale Tracker'!A606)</f>
        <v>606</v>
      </c>
      <c r="B601" s="24"/>
      <c r="C601" s="24"/>
      <c r="D601" s="75"/>
      <c r="E601" s="76"/>
      <c r="F601" s="74"/>
      <c r="G601" s="76"/>
      <c r="H601" s="23"/>
      <c r="I601" s="24"/>
      <c r="J601" s="25"/>
      <c r="K601" s="24"/>
      <c r="L601" s="74"/>
      <c r="M601" s="24"/>
    </row>
    <row r="602" spans="1:13" ht="20.100000000000001" customHeight="1" x14ac:dyDescent="0.2">
      <c r="A602" s="23">
        <f>ROW('Wash Sale Tracker'!A607)</f>
        <v>607</v>
      </c>
      <c r="B602" s="24"/>
      <c r="C602" s="24"/>
      <c r="D602" s="75"/>
      <c r="E602" s="76"/>
      <c r="F602" s="74"/>
      <c r="G602" s="76"/>
      <c r="H602" s="23"/>
      <c r="I602" s="24"/>
      <c r="J602" s="25"/>
      <c r="K602" s="24"/>
      <c r="L602" s="74"/>
      <c r="M602" s="24"/>
    </row>
    <row r="603" spans="1:13" ht="20.100000000000001" customHeight="1" x14ac:dyDescent="0.2">
      <c r="A603" s="23">
        <f>ROW('Wash Sale Tracker'!A608)</f>
        <v>608</v>
      </c>
      <c r="B603" s="24"/>
      <c r="C603" s="24"/>
      <c r="D603" s="75"/>
      <c r="E603" s="76"/>
      <c r="F603" s="74"/>
      <c r="G603" s="76"/>
      <c r="H603" s="23"/>
      <c r="I603" s="24"/>
      <c r="J603" s="25"/>
      <c r="K603" s="24"/>
      <c r="L603" s="74"/>
      <c r="M603" s="24"/>
    </row>
    <row r="604" spans="1:13" ht="20.100000000000001" customHeight="1" x14ac:dyDescent="0.2">
      <c r="A604" s="23">
        <f>ROW('Wash Sale Tracker'!A609)</f>
        <v>609</v>
      </c>
      <c r="B604" s="24"/>
      <c r="C604" s="24"/>
      <c r="D604" s="75"/>
      <c r="E604" s="76"/>
      <c r="F604" s="74"/>
      <c r="G604" s="76"/>
      <c r="H604" s="23"/>
      <c r="I604" s="24"/>
      <c r="J604" s="25"/>
      <c r="K604" s="24"/>
      <c r="L604" s="74"/>
      <c r="M604" s="24"/>
    </row>
    <row r="605" spans="1:13" ht="20.100000000000001" customHeight="1" x14ac:dyDescent="0.2">
      <c r="A605" s="23">
        <f>ROW('Wash Sale Tracker'!A610)</f>
        <v>610</v>
      </c>
      <c r="B605" s="24"/>
      <c r="C605" s="24"/>
      <c r="D605" s="75"/>
      <c r="E605" s="76"/>
      <c r="F605" s="74"/>
      <c r="G605" s="76"/>
      <c r="H605" s="23"/>
      <c r="I605" s="24"/>
      <c r="J605" s="25"/>
      <c r="K605" s="24"/>
      <c r="L605" s="74"/>
      <c r="M605" s="24"/>
    </row>
    <row r="606" spans="1:13" ht="20.100000000000001" customHeight="1" x14ac:dyDescent="0.2">
      <c r="A606" s="23">
        <f>ROW('Wash Sale Tracker'!A611)</f>
        <v>611</v>
      </c>
      <c r="B606" s="24"/>
      <c r="C606" s="24"/>
      <c r="D606" s="75"/>
      <c r="E606" s="76"/>
      <c r="F606" s="74"/>
      <c r="G606" s="76"/>
      <c r="H606" s="23"/>
      <c r="I606" s="24"/>
      <c r="J606" s="25"/>
      <c r="K606" s="24"/>
      <c r="L606" s="74"/>
      <c r="M606" s="24"/>
    </row>
    <row r="607" spans="1:13" ht="20.100000000000001" customHeight="1" x14ac:dyDescent="0.2">
      <c r="A607" s="23">
        <f>ROW('Wash Sale Tracker'!A612)</f>
        <v>612</v>
      </c>
      <c r="B607" s="24"/>
      <c r="C607" s="24"/>
      <c r="D607" s="75"/>
      <c r="E607" s="76"/>
      <c r="F607" s="74"/>
      <c r="G607" s="76"/>
      <c r="H607" s="23"/>
      <c r="I607" s="24"/>
      <c r="J607" s="25"/>
      <c r="K607" s="24"/>
      <c r="L607" s="74"/>
      <c r="M607" s="24"/>
    </row>
    <row r="608" spans="1:13" ht="20.100000000000001" customHeight="1" x14ac:dyDescent="0.2">
      <c r="A608" s="23">
        <f>ROW('Wash Sale Tracker'!A613)</f>
        <v>613</v>
      </c>
      <c r="B608" s="24"/>
      <c r="C608" s="24"/>
      <c r="D608" s="75"/>
      <c r="E608" s="76"/>
      <c r="F608" s="74"/>
      <c r="G608" s="76"/>
      <c r="H608" s="23"/>
      <c r="I608" s="24"/>
      <c r="J608" s="25"/>
      <c r="K608" s="24"/>
      <c r="L608" s="74"/>
      <c r="M608" s="24"/>
    </row>
    <row r="609" spans="1:13" ht="20.100000000000001" customHeight="1" x14ac:dyDescent="0.2">
      <c r="A609" s="23">
        <f>ROW('Wash Sale Tracker'!A614)</f>
        <v>614</v>
      </c>
      <c r="B609" s="24"/>
      <c r="C609" s="24"/>
      <c r="D609" s="75"/>
      <c r="E609" s="76"/>
      <c r="F609" s="74"/>
      <c r="G609" s="76"/>
      <c r="H609" s="23"/>
      <c r="I609" s="24"/>
      <c r="J609" s="25"/>
      <c r="K609" s="24"/>
      <c r="L609" s="74"/>
      <c r="M609" s="24"/>
    </row>
    <row r="610" spans="1:13" ht="20.100000000000001" customHeight="1" x14ac:dyDescent="0.2">
      <c r="A610" s="23">
        <f>ROW('Wash Sale Tracker'!A615)</f>
        <v>615</v>
      </c>
      <c r="B610" s="24"/>
      <c r="C610" s="24"/>
      <c r="D610" s="75"/>
      <c r="E610" s="76"/>
      <c r="F610" s="74"/>
      <c r="G610" s="76"/>
      <c r="H610" s="23"/>
      <c r="I610" s="24"/>
      <c r="J610" s="25"/>
      <c r="K610" s="24"/>
      <c r="L610" s="74"/>
      <c r="M610" s="24"/>
    </row>
    <row r="611" spans="1:13" ht="20.100000000000001" customHeight="1" x14ac:dyDescent="0.2">
      <c r="A611" s="23">
        <f>ROW('Wash Sale Tracker'!A616)</f>
        <v>616</v>
      </c>
      <c r="B611" s="24"/>
      <c r="C611" s="24"/>
      <c r="D611" s="75"/>
      <c r="E611" s="76"/>
      <c r="F611" s="74"/>
      <c r="G611" s="76"/>
      <c r="H611" s="23"/>
      <c r="I611" s="24"/>
      <c r="J611" s="25"/>
      <c r="K611" s="24"/>
      <c r="L611" s="74"/>
      <c r="M611" s="24"/>
    </row>
    <row r="612" spans="1:13" ht="20.100000000000001" customHeight="1" x14ac:dyDescent="0.2">
      <c r="A612" s="23">
        <f>ROW('Wash Sale Tracker'!A617)</f>
        <v>617</v>
      </c>
      <c r="B612" s="24"/>
      <c r="C612" s="24"/>
      <c r="D612" s="75"/>
      <c r="E612" s="76"/>
      <c r="F612" s="74"/>
      <c r="G612" s="76"/>
      <c r="H612" s="23"/>
      <c r="I612" s="24"/>
      <c r="J612" s="25"/>
      <c r="K612" s="24"/>
      <c r="L612" s="74"/>
      <c r="M612" s="24"/>
    </row>
    <row r="613" spans="1:13" ht="20.100000000000001" customHeight="1" x14ac:dyDescent="0.2">
      <c r="A613" s="23">
        <f>ROW('Wash Sale Tracker'!A618)</f>
        <v>618</v>
      </c>
      <c r="B613" s="24"/>
      <c r="C613" s="24"/>
      <c r="D613" s="75"/>
      <c r="E613" s="76"/>
      <c r="F613" s="74"/>
      <c r="G613" s="76"/>
      <c r="H613" s="23"/>
      <c r="I613" s="24"/>
      <c r="J613" s="25"/>
      <c r="K613" s="24"/>
      <c r="L613" s="74"/>
      <c r="M613" s="24"/>
    </row>
    <row r="614" spans="1:13" ht="20.100000000000001" customHeight="1" x14ac:dyDescent="0.2">
      <c r="A614" s="23">
        <f>ROW('Wash Sale Tracker'!A619)</f>
        <v>619</v>
      </c>
      <c r="B614" s="24"/>
      <c r="C614" s="24"/>
      <c r="D614" s="75"/>
      <c r="E614" s="76"/>
      <c r="F614" s="74"/>
      <c r="G614" s="76"/>
      <c r="H614" s="23"/>
      <c r="I614" s="24"/>
      <c r="J614" s="25"/>
      <c r="K614" s="24"/>
      <c r="L614" s="74"/>
      <c r="M614" s="24"/>
    </row>
    <row r="615" spans="1:13" ht="20.100000000000001" customHeight="1" x14ac:dyDescent="0.2">
      <c r="A615" s="23">
        <f>ROW('Wash Sale Tracker'!A620)</f>
        <v>620</v>
      </c>
      <c r="B615" s="24"/>
      <c r="C615" s="24"/>
      <c r="D615" s="75"/>
      <c r="E615" s="76"/>
      <c r="F615" s="74"/>
      <c r="G615" s="76"/>
      <c r="H615" s="23"/>
      <c r="I615" s="24"/>
      <c r="J615" s="25"/>
      <c r="K615" s="24"/>
      <c r="L615" s="74"/>
      <c r="M615" s="24"/>
    </row>
    <row r="616" spans="1:13" ht="20.100000000000001" customHeight="1" x14ac:dyDescent="0.2">
      <c r="A616" s="23">
        <f>ROW('Wash Sale Tracker'!A621)</f>
        <v>621</v>
      </c>
      <c r="B616" s="24"/>
      <c r="C616" s="24"/>
      <c r="D616" s="75"/>
      <c r="E616" s="76"/>
      <c r="F616" s="74"/>
      <c r="G616" s="76"/>
      <c r="H616" s="23"/>
      <c r="I616" s="24"/>
      <c r="J616" s="25"/>
      <c r="K616" s="24"/>
      <c r="L616" s="74"/>
      <c r="M616" s="24"/>
    </row>
    <row r="617" spans="1:13" ht="20.100000000000001" customHeight="1" x14ac:dyDescent="0.2">
      <c r="A617" s="23">
        <f>ROW('Wash Sale Tracker'!A622)</f>
        <v>622</v>
      </c>
      <c r="B617" s="24"/>
      <c r="C617" s="24"/>
      <c r="D617" s="75"/>
      <c r="E617" s="76"/>
      <c r="F617" s="74"/>
      <c r="G617" s="76"/>
      <c r="H617" s="23"/>
      <c r="I617" s="24"/>
      <c r="J617" s="25"/>
      <c r="K617" s="24"/>
      <c r="L617" s="74"/>
      <c r="M617" s="24"/>
    </row>
    <row r="618" spans="1:13" ht="20.100000000000001" customHeight="1" x14ac:dyDescent="0.2">
      <c r="A618" s="23">
        <f>ROW('Wash Sale Tracker'!A623)</f>
        <v>623</v>
      </c>
      <c r="B618" s="24"/>
      <c r="C618" s="24"/>
      <c r="D618" s="75"/>
      <c r="E618" s="76"/>
      <c r="F618" s="74"/>
      <c r="G618" s="76"/>
      <c r="H618" s="23"/>
      <c r="I618" s="24"/>
      <c r="J618" s="25"/>
      <c r="K618" s="24"/>
      <c r="L618" s="74"/>
      <c r="M618" s="24"/>
    </row>
    <row r="619" spans="1:13" ht="20.100000000000001" customHeight="1" x14ac:dyDescent="0.2">
      <c r="A619" s="23">
        <f>ROW('Wash Sale Tracker'!A624)</f>
        <v>624</v>
      </c>
      <c r="B619" s="24"/>
      <c r="C619" s="24"/>
      <c r="D619" s="75"/>
      <c r="E619" s="76"/>
      <c r="F619" s="74"/>
      <c r="G619" s="76"/>
      <c r="H619" s="23"/>
      <c r="I619" s="24"/>
      <c r="J619" s="25"/>
      <c r="K619" s="24"/>
      <c r="L619" s="74"/>
      <c r="M619" s="24"/>
    </row>
    <row r="620" spans="1:13" ht="20.100000000000001" customHeight="1" x14ac:dyDescent="0.2">
      <c r="A620" s="23">
        <f>ROW('Wash Sale Tracker'!A625)</f>
        <v>625</v>
      </c>
      <c r="B620" s="24"/>
      <c r="C620" s="24"/>
      <c r="D620" s="75"/>
      <c r="E620" s="76"/>
      <c r="F620" s="74"/>
      <c r="G620" s="76"/>
      <c r="H620" s="23"/>
      <c r="I620" s="24"/>
      <c r="J620" s="25"/>
      <c r="K620" s="24"/>
      <c r="L620" s="74"/>
      <c r="M620" s="24"/>
    </row>
    <row r="621" spans="1:13" ht="20.100000000000001" customHeight="1" x14ac:dyDescent="0.2">
      <c r="A621" s="23">
        <f>ROW('Wash Sale Tracker'!A626)</f>
        <v>626</v>
      </c>
      <c r="B621" s="24"/>
      <c r="C621" s="24"/>
      <c r="D621" s="75"/>
      <c r="E621" s="76"/>
      <c r="F621" s="74"/>
      <c r="G621" s="76"/>
      <c r="H621" s="23"/>
      <c r="I621" s="24"/>
      <c r="J621" s="25"/>
      <c r="K621" s="24"/>
      <c r="L621" s="74"/>
      <c r="M621" s="24"/>
    </row>
    <row r="622" spans="1:13" ht="20.100000000000001" customHeight="1" x14ac:dyDescent="0.2">
      <c r="A622" s="23">
        <f>ROW('Wash Sale Tracker'!A627)</f>
        <v>627</v>
      </c>
      <c r="B622" s="24"/>
      <c r="C622" s="24"/>
      <c r="D622" s="75"/>
      <c r="E622" s="76"/>
      <c r="F622" s="74"/>
      <c r="G622" s="76"/>
      <c r="H622" s="23"/>
      <c r="I622" s="24"/>
      <c r="J622" s="25"/>
      <c r="K622" s="24"/>
      <c r="L622" s="74"/>
      <c r="M622" s="24"/>
    </row>
    <row r="623" spans="1:13" ht="20.100000000000001" customHeight="1" x14ac:dyDescent="0.2">
      <c r="A623" s="23">
        <f>ROW('Wash Sale Tracker'!A628)</f>
        <v>628</v>
      </c>
      <c r="B623" s="24"/>
      <c r="C623" s="24"/>
      <c r="D623" s="75"/>
      <c r="E623" s="76"/>
      <c r="F623" s="74"/>
      <c r="G623" s="76"/>
      <c r="H623" s="23"/>
      <c r="I623" s="24"/>
      <c r="J623" s="25"/>
      <c r="K623" s="24"/>
      <c r="L623" s="74"/>
      <c r="M623" s="24"/>
    </row>
    <row r="624" spans="1:13" ht="20.100000000000001" customHeight="1" x14ac:dyDescent="0.2">
      <c r="A624" s="23">
        <f>ROW('Wash Sale Tracker'!A629)</f>
        <v>629</v>
      </c>
      <c r="B624" s="24"/>
      <c r="C624" s="24"/>
      <c r="D624" s="75"/>
      <c r="E624" s="76"/>
      <c r="F624" s="74"/>
      <c r="G624" s="76"/>
      <c r="H624" s="23"/>
      <c r="I624" s="24"/>
      <c r="J624" s="25"/>
      <c r="K624" s="24"/>
      <c r="L624" s="74"/>
      <c r="M624" s="24"/>
    </row>
    <row r="625" spans="1:13" ht="20.100000000000001" customHeight="1" x14ac:dyDescent="0.2">
      <c r="A625" s="23">
        <f>ROW('Wash Sale Tracker'!A630)</f>
        <v>630</v>
      </c>
      <c r="B625" s="24"/>
      <c r="C625" s="24"/>
      <c r="D625" s="75"/>
      <c r="E625" s="76"/>
      <c r="F625" s="74"/>
      <c r="G625" s="76"/>
      <c r="H625" s="23"/>
      <c r="I625" s="24"/>
      <c r="J625" s="25"/>
      <c r="K625" s="24"/>
      <c r="L625" s="74"/>
      <c r="M625" s="24"/>
    </row>
    <row r="626" spans="1:13" ht="20.100000000000001" customHeight="1" x14ac:dyDescent="0.2">
      <c r="A626" s="23">
        <f>ROW('Wash Sale Tracker'!A631)</f>
        <v>631</v>
      </c>
      <c r="B626" s="24"/>
      <c r="C626" s="24"/>
      <c r="D626" s="75"/>
      <c r="E626" s="76"/>
      <c r="F626" s="74"/>
      <c r="G626" s="76"/>
      <c r="H626" s="23"/>
      <c r="I626" s="24"/>
      <c r="J626" s="25"/>
      <c r="K626" s="24"/>
      <c r="L626" s="74"/>
      <c r="M626" s="24"/>
    </row>
    <row r="627" spans="1:13" ht="20.100000000000001" customHeight="1" x14ac:dyDescent="0.2">
      <c r="A627" s="23">
        <f>ROW('Wash Sale Tracker'!A632)</f>
        <v>632</v>
      </c>
      <c r="B627" s="24"/>
      <c r="C627" s="24"/>
      <c r="D627" s="75"/>
      <c r="E627" s="76"/>
      <c r="F627" s="74"/>
      <c r="G627" s="76"/>
      <c r="H627" s="23"/>
      <c r="I627" s="24"/>
      <c r="J627" s="25"/>
      <c r="K627" s="24"/>
      <c r="L627" s="74"/>
      <c r="M627" s="24"/>
    </row>
    <row r="628" spans="1:13" ht="20.100000000000001" customHeight="1" x14ac:dyDescent="0.2">
      <c r="A628" s="23">
        <f>ROW('Wash Sale Tracker'!A633)</f>
        <v>633</v>
      </c>
      <c r="B628" s="24"/>
      <c r="C628" s="24"/>
      <c r="D628" s="75"/>
      <c r="E628" s="76"/>
      <c r="F628" s="74"/>
      <c r="G628" s="76"/>
      <c r="H628" s="23"/>
      <c r="I628" s="24"/>
      <c r="J628" s="25"/>
      <c r="K628" s="24"/>
      <c r="L628" s="74"/>
      <c r="M628" s="24"/>
    </row>
    <row r="629" spans="1:13" ht="20.100000000000001" customHeight="1" x14ac:dyDescent="0.2">
      <c r="A629" s="23">
        <f>ROW('Wash Sale Tracker'!A634)</f>
        <v>634</v>
      </c>
      <c r="B629" s="24"/>
      <c r="C629" s="24"/>
      <c r="D629" s="75"/>
      <c r="E629" s="76"/>
      <c r="F629" s="74"/>
      <c r="G629" s="76"/>
      <c r="H629" s="23"/>
      <c r="I629" s="24"/>
      <c r="J629" s="25"/>
      <c r="K629" s="24"/>
      <c r="L629" s="74"/>
      <c r="M629" s="24"/>
    </row>
    <row r="630" spans="1:13" ht="20.100000000000001" customHeight="1" x14ac:dyDescent="0.2">
      <c r="A630" s="23">
        <f>ROW('Wash Sale Tracker'!A635)</f>
        <v>635</v>
      </c>
      <c r="B630" s="24"/>
      <c r="C630" s="24"/>
      <c r="D630" s="75"/>
      <c r="E630" s="76"/>
      <c r="F630" s="74"/>
      <c r="G630" s="76"/>
      <c r="H630" s="23"/>
      <c r="I630" s="24"/>
      <c r="J630" s="25"/>
      <c r="K630" s="24"/>
      <c r="L630" s="74"/>
      <c r="M630" s="24"/>
    </row>
    <row r="631" spans="1:13" ht="20.100000000000001" customHeight="1" x14ac:dyDescent="0.2">
      <c r="A631" s="23">
        <f>ROW('Wash Sale Tracker'!A636)</f>
        <v>636</v>
      </c>
      <c r="B631" s="24"/>
      <c r="C631" s="24"/>
      <c r="D631" s="75"/>
      <c r="E631" s="76"/>
      <c r="F631" s="74"/>
      <c r="G631" s="76"/>
      <c r="H631" s="23"/>
      <c r="I631" s="24"/>
      <c r="J631" s="25"/>
      <c r="K631" s="24"/>
      <c r="L631" s="74"/>
      <c r="M631" s="24"/>
    </row>
    <row r="632" spans="1:13" ht="20.100000000000001" customHeight="1" x14ac:dyDescent="0.2">
      <c r="A632" s="23">
        <f>ROW('Wash Sale Tracker'!A637)</f>
        <v>637</v>
      </c>
      <c r="B632" s="24"/>
      <c r="C632" s="24"/>
      <c r="D632" s="75"/>
      <c r="E632" s="76"/>
      <c r="F632" s="74"/>
      <c r="G632" s="76"/>
      <c r="H632" s="23"/>
      <c r="I632" s="24"/>
      <c r="J632" s="25"/>
      <c r="K632" s="24"/>
      <c r="L632" s="74"/>
      <c r="M632" s="24"/>
    </row>
    <row r="633" spans="1:13" ht="20.100000000000001" customHeight="1" x14ac:dyDescent="0.2">
      <c r="A633" s="23">
        <f>ROW('Wash Sale Tracker'!A638)</f>
        <v>638</v>
      </c>
      <c r="B633" s="24"/>
      <c r="C633" s="24"/>
      <c r="D633" s="75"/>
      <c r="E633" s="76"/>
      <c r="F633" s="74"/>
      <c r="G633" s="76"/>
      <c r="H633" s="23"/>
      <c r="I633" s="24"/>
      <c r="J633" s="25"/>
      <c r="K633" s="24"/>
      <c r="L633" s="74"/>
      <c r="M633" s="24"/>
    </row>
    <row r="634" spans="1:13" ht="20.100000000000001" customHeight="1" x14ac:dyDescent="0.2">
      <c r="A634" s="23">
        <f>ROW('Wash Sale Tracker'!A639)</f>
        <v>639</v>
      </c>
      <c r="B634" s="24"/>
      <c r="C634" s="24"/>
      <c r="D634" s="75"/>
      <c r="E634" s="76"/>
      <c r="F634" s="74"/>
      <c r="G634" s="76"/>
      <c r="H634" s="23"/>
      <c r="I634" s="24"/>
      <c r="J634" s="25"/>
      <c r="K634" s="24"/>
      <c r="L634" s="74"/>
      <c r="M634" s="24"/>
    </row>
    <row r="635" spans="1:13" ht="20.100000000000001" customHeight="1" x14ac:dyDescent="0.2">
      <c r="A635" s="23">
        <f>ROW('Wash Sale Tracker'!A640)</f>
        <v>640</v>
      </c>
      <c r="B635" s="24"/>
      <c r="C635" s="24"/>
      <c r="D635" s="75"/>
      <c r="E635" s="76"/>
      <c r="F635" s="74"/>
      <c r="G635" s="76"/>
      <c r="H635" s="23"/>
      <c r="I635" s="24"/>
      <c r="J635" s="25"/>
      <c r="K635" s="24"/>
      <c r="L635" s="74"/>
      <c r="M635" s="24"/>
    </row>
    <row r="636" spans="1:13" ht="20.100000000000001" customHeight="1" x14ac:dyDescent="0.2">
      <c r="A636" s="23">
        <f>ROW('Wash Sale Tracker'!A641)</f>
        <v>641</v>
      </c>
      <c r="B636" s="24"/>
      <c r="C636" s="24"/>
      <c r="D636" s="75"/>
      <c r="E636" s="76"/>
      <c r="F636" s="74"/>
      <c r="G636" s="76"/>
      <c r="H636" s="23"/>
      <c r="I636" s="24"/>
      <c r="J636" s="25"/>
      <c r="K636" s="24"/>
      <c r="L636" s="74"/>
      <c r="M636" s="24"/>
    </row>
    <row r="637" spans="1:13" ht="20.100000000000001" customHeight="1" x14ac:dyDescent="0.2">
      <c r="A637" s="23">
        <f>ROW('Wash Sale Tracker'!A642)</f>
        <v>642</v>
      </c>
      <c r="B637" s="24"/>
      <c r="C637" s="24"/>
      <c r="D637" s="75"/>
      <c r="E637" s="76"/>
      <c r="F637" s="74"/>
      <c r="G637" s="76"/>
      <c r="H637" s="23"/>
      <c r="I637" s="24"/>
      <c r="J637" s="25"/>
      <c r="K637" s="24"/>
      <c r="L637" s="74"/>
      <c r="M637" s="24"/>
    </row>
    <row r="638" spans="1:13" ht="20.100000000000001" customHeight="1" x14ac:dyDescent="0.2">
      <c r="A638" s="23">
        <f>ROW('Wash Sale Tracker'!A643)</f>
        <v>643</v>
      </c>
      <c r="B638" s="24"/>
      <c r="C638" s="24"/>
      <c r="D638" s="75"/>
      <c r="E638" s="76"/>
      <c r="F638" s="74"/>
      <c r="G638" s="76"/>
      <c r="H638" s="23"/>
      <c r="I638" s="24"/>
      <c r="J638" s="25"/>
      <c r="K638" s="24"/>
      <c r="L638" s="74"/>
      <c r="M638" s="24"/>
    </row>
    <row r="639" spans="1:13" ht="20.100000000000001" customHeight="1" x14ac:dyDescent="0.2">
      <c r="A639" s="23">
        <f>ROW('Wash Sale Tracker'!A644)</f>
        <v>644</v>
      </c>
      <c r="B639" s="24"/>
      <c r="C639" s="24"/>
      <c r="D639" s="75"/>
      <c r="E639" s="76"/>
      <c r="F639" s="74"/>
      <c r="G639" s="76"/>
      <c r="H639" s="23"/>
      <c r="I639" s="24"/>
      <c r="J639" s="25"/>
      <c r="K639" s="24"/>
      <c r="L639" s="74"/>
      <c r="M639" s="24"/>
    </row>
    <row r="640" spans="1:13" ht="20.100000000000001" customHeight="1" x14ac:dyDescent="0.2">
      <c r="A640" s="23">
        <f>ROW('Wash Sale Tracker'!A645)</f>
        <v>645</v>
      </c>
      <c r="B640" s="24"/>
      <c r="C640" s="24"/>
      <c r="D640" s="75"/>
      <c r="E640" s="76"/>
      <c r="F640" s="74"/>
      <c r="G640" s="76"/>
      <c r="H640" s="23"/>
      <c r="I640" s="24"/>
      <c r="J640" s="25"/>
      <c r="K640" s="24"/>
      <c r="L640" s="74"/>
      <c r="M640" s="24"/>
    </row>
    <row r="641" spans="1:13" ht="20.100000000000001" customHeight="1" x14ac:dyDescent="0.2">
      <c r="A641" s="23">
        <f>ROW('Wash Sale Tracker'!A646)</f>
        <v>646</v>
      </c>
      <c r="B641" s="24"/>
      <c r="C641" s="24"/>
      <c r="D641" s="75"/>
      <c r="E641" s="76"/>
      <c r="F641" s="74"/>
      <c r="G641" s="76"/>
      <c r="H641" s="23"/>
      <c r="I641" s="24"/>
      <c r="J641" s="25"/>
      <c r="K641" s="24"/>
      <c r="L641" s="74"/>
      <c r="M641" s="24"/>
    </row>
    <row r="642" spans="1:13" ht="20.100000000000001" customHeight="1" x14ac:dyDescent="0.2">
      <c r="A642" s="23">
        <f>ROW('Wash Sale Tracker'!A647)</f>
        <v>647</v>
      </c>
      <c r="B642" s="24"/>
      <c r="C642" s="24"/>
      <c r="D642" s="75"/>
      <c r="E642" s="76"/>
      <c r="F642" s="74"/>
      <c r="G642" s="76"/>
      <c r="H642" s="23"/>
      <c r="I642" s="24"/>
      <c r="J642" s="25"/>
      <c r="K642" s="24"/>
      <c r="L642" s="74"/>
      <c r="M642" s="24"/>
    </row>
    <row r="643" spans="1:13" ht="20.100000000000001" customHeight="1" x14ac:dyDescent="0.2">
      <c r="A643" s="23">
        <f>ROW('Wash Sale Tracker'!A648)</f>
        <v>648</v>
      </c>
      <c r="B643" s="24"/>
      <c r="C643" s="24"/>
      <c r="D643" s="75"/>
      <c r="E643" s="76"/>
      <c r="F643" s="74"/>
      <c r="G643" s="76"/>
      <c r="H643" s="23"/>
      <c r="I643" s="24"/>
      <c r="J643" s="25"/>
      <c r="K643" s="24"/>
      <c r="L643" s="74"/>
      <c r="M643" s="24"/>
    </row>
    <row r="644" spans="1:13" ht="20.100000000000001" customHeight="1" x14ac:dyDescent="0.2">
      <c r="A644" s="23">
        <f>ROW('Wash Sale Tracker'!A649)</f>
        <v>649</v>
      </c>
      <c r="B644" s="24"/>
      <c r="C644" s="24"/>
      <c r="D644" s="75"/>
      <c r="E644" s="76"/>
      <c r="F644" s="74"/>
      <c r="G644" s="76"/>
      <c r="H644" s="23"/>
      <c r="I644" s="24"/>
      <c r="J644" s="25"/>
      <c r="K644" s="24"/>
      <c r="L644" s="74"/>
      <c r="M644" s="24"/>
    </row>
    <row r="645" spans="1:13" ht="20.100000000000001" customHeight="1" x14ac:dyDescent="0.2">
      <c r="A645" s="23">
        <f>ROW('Wash Sale Tracker'!A650)</f>
        <v>650</v>
      </c>
      <c r="B645" s="24"/>
      <c r="C645" s="24"/>
      <c r="D645" s="75"/>
      <c r="E645" s="76"/>
      <c r="F645" s="74"/>
      <c r="G645" s="76"/>
      <c r="H645" s="23"/>
      <c r="I645" s="24"/>
      <c r="J645" s="25"/>
      <c r="K645" s="24"/>
      <c r="L645" s="74"/>
      <c r="M645" s="24"/>
    </row>
    <row r="646" spans="1:13" ht="20.100000000000001" customHeight="1" x14ac:dyDescent="0.2">
      <c r="A646" s="23">
        <f>ROW('Wash Sale Tracker'!A651)</f>
        <v>651</v>
      </c>
      <c r="B646" s="24"/>
      <c r="C646" s="24"/>
      <c r="D646" s="75"/>
      <c r="E646" s="76"/>
      <c r="F646" s="74"/>
      <c r="G646" s="76"/>
      <c r="H646" s="23"/>
      <c r="I646" s="24"/>
      <c r="J646" s="25"/>
      <c r="K646" s="24"/>
      <c r="L646" s="74"/>
      <c r="M646" s="24"/>
    </row>
    <row r="647" spans="1:13" ht="20.100000000000001" customHeight="1" x14ac:dyDescent="0.2">
      <c r="A647" s="23">
        <f>ROW('Wash Sale Tracker'!A652)</f>
        <v>652</v>
      </c>
      <c r="B647" s="24"/>
      <c r="C647" s="24"/>
      <c r="D647" s="75"/>
      <c r="E647" s="76"/>
      <c r="F647" s="74"/>
      <c r="G647" s="76"/>
      <c r="H647" s="23"/>
      <c r="I647" s="24"/>
      <c r="J647" s="25"/>
      <c r="K647" s="24"/>
      <c r="L647" s="74"/>
      <c r="M647" s="24"/>
    </row>
    <row r="648" spans="1:13" ht="20.100000000000001" customHeight="1" x14ac:dyDescent="0.2">
      <c r="A648" s="23">
        <f>ROW('Wash Sale Tracker'!A653)</f>
        <v>653</v>
      </c>
      <c r="B648" s="24"/>
      <c r="C648" s="24"/>
      <c r="D648" s="75"/>
      <c r="E648" s="76"/>
      <c r="F648" s="74"/>
      <c r="G648" s="76"/>
      <c r="H648" s="23"/>
      <c r="I648" s="24"/>
      <c r="J648" s="25"/>
      <c r="K648" s="24"/>
      <c r="L648" s="74"/>
      <c r="M648" s="24"/>
    </row>
    <row r="649" spans="1:13" ht="20.100000000000001" customHeight="1" x14ac:dyDescent="0.2">
      <c r="A649" s="23">
        <f>ROW('Wash Sale Tracker'!A654)</f>
        <v>654</v>
      </c>
      <c r="B649" s="24"/>
      <c r="C649" s="24"/>
      <c r="D649" s="75"/>
      <c r="E649" s="76"/>
      <c r="F649" s="74"/>
      <c r="G649" s="76"/>
      <c r="H649" s="23"/>
      <c r="I649" s="24"/>
      <c r="J649" s="25"/>
      <c r="K649" s="24"/>
      <c r="L649" s="74"/>
      <c r="M649" s="24"/>
    </row>
    <row r="650" spans="1:13" ht="20.100000000000001" customHeight="1" x14ac:dyDescent="0.2">
      <c r="A650" s="23">
        <f>ROW('Wash Sale Tracker'!A655)</f>
        <v>655</v>
      </c>
      <c r="B650" s="24"/>
      <c r="C650" s="24"/>
      <c r="D650" s="75"/>
      <c r="E650" s="76"/>
      <c r="F650" s="74"/>
      <c r="G650" s="76"/>
      <c r="H650" s="23"/>
      <c r="I650" s="24"/>
      <c r="J650" s="25"/>
      <c r="K650" s="24"/>
      <c r="L650" s="74"/>
      <c r="M650" s="24"/>
    </row>
    <row r="651" spans="1:13" ht="20.100000000000001" customHeight="1" x14ac:dyDescent="0.2">
      <c r="A651" s="23">
        <f>ROW('Wash Sale Tracker'!A656)</f>
        <v>656</v>
      </c>
      <c r="B651" s="24"/>
      <c r="C651" s="24"/>
      <c r="D651" s="75"/>
      <c r="E651" s="76"/>
      <c r="F651" s="74"/>
      <c r="G651" s="76"/>
      <c r="H651" s="23"/>
      <c r="I651" s="24"/>
      <c r="J651" s="25"/>
      <c r="K651" s="24"/>
      <c r="L651" s="74"/>
      <c r="M651" s="24"/>
    </row>
    <row r="652" spans="1:13" ht="20.100000000000001" customHeight="1" x14ac:dyDescent="0.2">
      <c r="A652" s="23">
        <f>ROW('Wash Sale Tracker'!A657)</f>
        <v>657</v>
      </c>
      <c r="B652" s="24"/>
      <c r="C652" s="24"/>
      <c r="D652" s="75"/>
      <c r="E652" s="76"/>
      <c r="F652" s="74"/>
      <c r="G652" s="76"/>
      <c r="H652" s="23"/>
      <c r="I652" s="24"/>
      <c r="J652" s="25"/>
      <c r="K652" s="24"/>
      <c r="L652" s="74"/>
      <c r="M652" s="24"/>
    </row>
    <row r="653" spans="1:13" ht="20.100000000000001" customHeight="1" x14ac:dyDescent="0.2">
      <c r="A653" s="23">
        <f>ROW('Wash Sale Tracker'!A658)</f>
        <v>658</v>
      </c>
      <c r="B653" s="24"/>
      <c r="C653" s="24"/>
      <c r="D653" s="75"/>
      <c r="E653" s="76"/>
      <c r="F653" s="74"/>
      <c r="G653" s="76"/>
      <c r="H653" s="23"/>
      <c r="I653" s="24"/>
      <c r="J653" s="25"/>
      <c r="K653" s="24"/>
      <c r="L653" s="74"/>
      <c r="M653" s="24"/>
    </row>
    <row r="654" spans="1:13" ht="20.100000000000001" customHeight="1" x14ac:dyDescent="0.2">
      <c r="A654" s="23">
        <f>ROW('Wash Sale Tracker'!A659)</f>
        <v>659</v>
      </c>
      <c r="B654" s="24"/>
      <c r="C654" s="24"/>
      <c r="D654" s="75"/>
      <c r="E654" s="76"/>
      <c r="F654" s="74"/>
      <c r="G654" s="76"/>
      <c r="H654" s="23"/>
      <c r="I654" s="24"/>
      <c r="J654" s="25"/>
      <c r="K654" s="24"/>
      <c r="L654" s="74"/>
      <c r="M654" s="24"/>
    </row>
    <row r="655" spans="1:13" ht="20.100000000000001" customHeight="1" x14ac:dyDescent="0.2">
      <c r="A655" s="23">
        <f>ROW('Wash Sale Tracker'!A660)</f>
        <v>660</v>
      </c>
      <c r="B655" s="24"/>
      <c r="C655" s="24"/>
      <c r="D655" s="75"/>
      <c r="E655" s="76"/>
      <c r="F655" s="74"/>
      <c r="G655" s="76"/>
      <c r="H655" s="23"/>
      <c r="I655" s="24"/>
      <c r="J655" s="25"/>
      <c r="K655" s="24"/>
      <c r="L655" s="74"/>
      <c r="M655" s="24"/>
    </row>
    <row r="656" spans="1:13" ht="20.100000000000001" customHeight="1" x14ac:dyDescent="0.2">
      <c r="A656" s="23">
        <f>ROW('Wash Sale Tracker'!A661)</f>
        <v>661</v>
      </c>
      <c r="B656" s="24"/>
      <c r="C656" s="24"/>
      <c r="D656" s="75"/>
      <c r="E656" s="76"/>
      <c r="F656" s="74"/>
      <c r="G656" s="76"/>
      <c r="H656" s="23"/>
      <c r="I656" s="24"/>
      <c r="J656" s="25"/>
      <c r="K656" s="24"/>
      <c r="L656" s="74"/>
      <c r="M656" s="24"/>
    </row>
    <row r="657" spans="1:13" ht="20.100000000000001" customHeight="1" x14ac:dyDescent="0.2">
      <c r="A657" s="23">
        <f>ROW('Wash Sale Tracker'!A662)</f>
        <v>662</v>
      </c>
      <c r="B657" s="24"/>
      <c r="C657" s="24"/>
      <c r="D657" s="75"/>
      <c r="E657" s="76"/>
      <c r="F657" s="74"/>
      <c r="G657" s="76"/>
      <c r="H657" s="23"/>
      <c r="I657" s="24"/>
      <c r="J657" s="25"/>
      <c r="K657" s="24"/>
      <c r="L657" s="74"/>
      <c r="M657" s="24"/>
    </row>
    <row r="658" spans="1:13" ht="20.100000000000001" customHeight="1" x14ac:dyDescent="0.2">
      <c r="A658" s="23">
        <f>ROW('Wash Sale Tracker'!A663)</f>
        <v>663</v>
      </c>
      <c r="B658" s="24"/>
      <c r="C658" s="24"/>
      <c r="D658" s="75"/>
      <c r="E658" s="76"/>
      <c r="F658" s="74"/>
      <c r="G658" s="76"/>
      <c r="H658" s="23"/>
      <c r="I658" s="24"/>
      <c r="J658" s="25"/>
      <c r="K658" s="24"/>
      <c r="L658" s="74"/>
      <c r="M658" s="24"/>
    </row>
    <row r="659" spans="1:13" ht="20.100000000000001" customHeight="1" x14ac:dyDescent="0.2">
      <c r="A659" s="23">
        <f>ROW('Wash Sale Tracker'!A664)</f>
        <v>664</v>
      </c>
      <c r="B659" s="24"/>
      <c r="C659" s="24"/>
      <c r="D659" s="75"/>
      <c r="E659" s="76"/>
      <c r="F659" s="74"/>
      <c r="G659" s="76"/>
      <c r="H659" s="23"/>
      <c r="I659" s="24"/>
      <c r="J659" s="25"/>
      <c r="K659" s="24"/>
      <c r="L659" s="74"/>
      <c r="M659" s="24"/>
    </row>
    <row r="660" spans="1:13" ht="20.100000000000001" customHeight="1" x14ac:dyDescent="0.2">
      <c r="A660" s="23">
        <f>ROW('Wash Sale Tracker'!A665)</f>
        <v>665</v>
      </c>
      <c r="B660" s="24"/>
      <c r="C660" s="24"/>
      <c r="D660" s="75"/>
      <c r="E660" s="76"/>
      <c r="F660" s="74"/>
      <c r="G660" s="76"/>
      <c r="H660" s="23"/>
      <c r="I660" s="24"/>
      <c r="J660" s="25"/>
      <c r="K660" s="24"/>
      <c r="L660" s="74"/>
      <c r="M660" s="24"/>
    </row>
    <row r="661" spans="1:13" ht="20.100000000000001" customHeight="1" x14ac:dyDescent="0.2">
      <c r="A661" s="23">
        <f>ROW('Wash Sale Tracker'!A666)</f>
        <v>666</v>
      </c>
      <c r="B661" s="24"/>
      <c r="C661" s="24"/>
      <c r="D661" s="75"/>
      <c r="E661" s="76"/>
      <c r="F661" s="74"/>
      <c r="G661" s="76"/>
      <c r="H661" s="23"/>
      <c r="I661" s="24"/>
      <c r="J661" s="25"/>
      <c r="K661" s="24"/>
      <c r="L661" s="74"/>
      <c r="M661" s="24"/>
    </row>
    <row r="662" spans="1:13" ht="20.100000000000001" customHeight="1" x14ac:dyDescent="0.2">
      <c r="A662" s="23">
        <f>ROW('Wash Sale Tracker'!A667)</f>
        <v>667</v>
      </c>
      <c r="B662" s="24"/>
      <c r="C662" s="24"/>
      <c r="D662" s="75"/>
      <c r="E662" s="76"/>
      <c r="F662" s="74"/>
      <c r="G662" s="76"/>
      <c r="H662" s="23"/>
      <c r="I662" s="24"/>
      <c r="J662" s="25"/>
      <c r="K662" s="24"/>
      <c r="L662" s="74"/>
      <c r="M662" s="24"/>
    </row>
    <row r="663" spans="1:13" ht="20.100000000000001" customHeight="1" x14ac:dyDescent="0.2">
      <c r="A663" s="23">
        <f>ROW('Wash Sale Tracker'!A668)</f>
        <v>668</v>
      </c>
      <c r="B663" s="24"/>
      <c r="C663" s="24"/>
      <c r="D663" s="75"/>
      <c r="E663" s="76"/>
      <c r="F663" s="74"/>
      <c r="G663" s="76"/>
      <c r="H663" s="23"/>
      <c r="I663" s="24"/>
      <c r="J663" s="25"/>
      <c r="K663" s="24"/>
      <c r="L663" s="74"/>
      <c r="M663" s="24"/>
    </row>
    <row r="664" spans="1:13" ht="20.100000000000001" customHeight="1" x14ac:dyDescent="0.2">
      <c r="A664" s="23">
        <f>ROW('Wash Sale Tracker'!A669)</f>
        <v>669</v>
      </c>
      <c r="B664" s="24"/>
      <c r="C664" s="24"/>
      <c r="D664" s="75"/>
      <c r="E664" s="76"/>
      <c r="F664" s="74"/>
      <c r="G664" s="76"/>
      <c r="H664" s="23"/>
      <c r="I664" s="24"/>
      <c r="J664" s="25"/>
      <c r="K664" s="24"/>
      <c r="L664" s="74"/>
      <c r="M664" s="24"/>
    </row>
    <row r="665" spans="1:13" ht="20.100000000000001" customHeight="1" x14ac:dyDescent="0.2">
      <c r="A665" s="23">
        <f>ROW('Wash Sale Tracker'!A670)</f>
        <v>670</v>
      </c>
      <c r="B665" s="24"/>
      <c r="C665" s="24"/>
      <c r="D665" s="75"/>
      <c r="E665" s="76"/>
      <c r="F665" s="74"/>
      <c r="G665" s="76"/>
      <c r="H665" s="23"/>
      <c r="I665" s="24"/>
      <c r="J665" s="25"/>
      <c r="K665" s="24"/>
      <c r="L665" s="74"/>
      <c r="M665" s="24"/>
    </row>
    <row r="666" spans="1:13" ht="20.100000000000001" customHeight="1" x14ac:dyDescent="0.2">
      <c r="A666" s="23">
        <f>ROW('Wash Sale Tracker'!A671)</f>
        <v>671</v>
      </c>
      <c r="B666" s="24"/>
      <c r="C666" s="24"/>
      <c r="D666" s="75"/>
      <c r="E666" s="76"/>
      <c r="F666" s="74"/>
      <c r="G666" s="76"/>
      <c r="H666" s="23"/>
      <c r="I666" s="24"/>
      <c r="J666" s="25"/>
      <c r="K666" s="24"/>
      <c r="L666" s="74"/>
      <c r="M666" s="24"/>
    </row>
    <row r="667" spans="1:13" ht="20.100000000000001" customHeight="1" x14ac:dyDescent="0.2">
      <c r="A667" s="23">
        <f>ROW('Wash Sale Tracker'!A672)</f>
        <v>672</v>
      </c>
      <c r="B667" s="24"/>
      <c r="C667" s="24"/>
      <c r="D667" s="75"/>
      <c r="E667" s="76"/>
      <c r="F667" s="74"/>
      <c r="G667" s="76"/>
      <c r="H667" s="23"/>
      <c r="I667" s="24"/>
      <c r="J667" s="25"/>
      <c r="K667" s="24"/>
      <c r="L667" s="74"/>
      <c r="M667" s="24"/>
    </row>
    <row r="668" spans="1:13" ht="20.100000000000001" customHeight="1" x14ac:dyDescent="0.2">
      <c r="A668" s="23">
        <f>ROW('Wash Sale Tracker'!A673)</f>
        <v>673</v>
      </c>
      <c r="B668" s="24"/>
      <c r="C668" s="24"/>
      <c r="D668" s="75"/>
      <c r="E668" s="76"/>
      <c r="F668" s="74"/>
      <c r="G668" s="76"/>
      <c r="H668" s="23"/>
      <c r="I668" s="24"/>
      <c r="J668" s="25"/>
      <c r="K668" s="24"/>
      <c r="L668" s="74"/>
      <c r="M668" s="24"/>
    </row>
    <row r="669" spans="1:13" ht="20.100000000000001" customHeight="1" x14ac:dyDescent="0.2">
      <c r="A669" s="23">
        <f>ROW('Wash Sale Tracker'!A674)</f>
        <v>674</v>
      </c>
      <c r="B669" s="24"/>
      <c r="C669" s="24"/>
      <c r="D669" s="75"/>
      <c r="E669" s="76"/>
      <c r="F669" s="74"/>
      <c r="G669" s="76"/>
      <c r="H669" s="23"/>
      <c r="I669" s="24"/>
      <c r="J669" s="25"/>
      <c r="K669" s="24"/>
      <c r="L669" s="74"/>
      <c r="M669" s="24"/>
    </row>
    <row r="670" spans="1:13" ht="20.100000000000001" customHeight="1" x14ac:dyDescent="0.2">
      <c r="A670" s="23">
        <f>ROW('Wash Sale Tracker'!A675)</f>
        <v>675</v>
      </c>
      <c r="B670" s="24"/>
      <c r="C670" s="24"/>
      <c r="D670" s="75"/>
      <c r="E670" s="76"/>
      <c r="F670" s="74"/>
      <c r="G670" s="76"/>
      <c r="H670" s="23"/>
      <c r="I670" s="24"/>
      <c r="J670" s="25"/>
      <c r="K670" s="24"/>
      <c r="L670" s="74"/>
      <c r="M670" s="24"/>
    </row>
    <row r="671" spans="1:13" ht="20.100000000000001" customHeight="1" x14ac:dyDescent="0.2">
      <c r="A671" s="23">
        <f>ROW('Wash Sale Tracker'!A676)</f>
        <v>676</v>
      </c>
      <c r="B671" s="24"/>
      <c r="C671" s="24"/>
      <c r="D671" s="75"/>
      <c r="E671" s="76"/>
      <c r="F671" s="74"/>
      <c r="G671" s="76"/>
      <c r="H671" s="23"/>
      <c r="I671" s="24"/>
      <c r="J671" s="25"/>
      <c r="K671" s="24"/>
      <c r="L671" s="74"/>
      <c r="M671" s="24"/>
    </row>
    <row r="672" spans="1:13" ht="20.100000000000001" customHeight="1" x14ac:dyDescent="0.2">
      <c r="A672" s="23">
        <f>ROW('Wash Sale Tracker'!A677)</f>
        <v>677</v>
      </c>
      <c r="B672" s="24"/>
      <c r="C672" s="24"/>
      <c r="D672" s="75"/>
      <c r="E672" s="76"/>
      <c r="F672" s="74"/>
      <c r="G672" s="76"/>
      <c r="H672" s="23"/>
      <c r="I672" s="24"/>
      <c r="J672" s="25"/>
      <c r="K672" s="24"/>
      <c r="L672" s="74"/>
      <c r="M672" s="24"/>
    </row>
    <row r="673" spans="1:13" ht="20.100000000000001" customHeight="1" x14ac:dyDescent="0.2">
      <c r="A673" s="23">
        <f>ROW('Wash Sale Tracker'!A678)</f>
        <v>678</v>
      </c>
      <c r="B673" s="24"/>
      <c r="C673" s="24"/>
      <c r="D673" s="75"/>
      <c r="E673" s="76"/>
      <c r="F673" s="74"/>
      <c r="G673" s="76"/>
      <c r="H673" s="23"/>
      <c r="I673" s="24"/>
      <c r="J673" s="25"/>
      <c r="K673" s="24"/>
      <c r="L673" s="74"/>
      <c r="M673" s="24"/>
    </row>
    <row r="674" spans="1:13" ht="20.100000000000001" customHeight="1" x14ac:dyDescent="0.2">
      <c r="A674" s="23">
        <f>ROW('Wash Sale Tracker'!A679)</f>
        <v>679</v>
      </c>
      <c r="B674" s="24"/>
      <c r="C674" s="24"/>
      <c r="D674" s="75"/>
      <c r="E674" s="76"/>
      <c r="F674" s="74"/>
      <c r="G674" s="76"/>
      <c r="H674" s="23"/>
      <c r="I674" s="24"/>
      <c r="J674" s="25"/>
      <c r="K674" s="24"/>
      <c r="L674" s="74"/>
      <c r="M674" s="24"/>
    </row>
    <row r="675" spans="1:13" ht="20.100000000000001" customHeight="1" x14ac:dyDescent="0.2">
      <c r="A675" s="23">
        <f>ROW('Wash Sale Tracker'!A680)</f>
        <v>680</v>
      </c>
      <c r="B675" s="24"/>
      <c r="C675" s="24"/>
      <c r="D675" s="75"/>
      <c r="E675" s="76"/>
      <c r="F675" s="74"/>
      <c r="G675" s="76"/>
      <c r="H675" s="23"/>
      <c r="I675" s="24"/>
      <c r="J675" s="25"/>
      <c r="K675" s="24"/>
      <c r="L675" s="74"/>
      <c r="M675" s="24"/>
    </row>
    <row r="676" spans="1:13" ht="20.100000000000001" customHeight="1" x14ac:dyDescent="0.2">
      <c r="A676" s="23">
        <f>ROW('Wash Sale Tracker'!A681)</f>
        <v>681</v>
      </c>
      <c r="B676" s="24"/>
      <c r="C676" s="24"/>
      <c r="D676" s="75"/>
      <c r="E676" s="76"/>
      <c r="F676" s="74"/>
      <c r="G676" s="76"/>
      <c r="H676" s="23"/>
      <c r="I676" s="24"/>
      <c r="J676" s="25"/>
      <c r="K676" s="24"/>
      <c r="L676" s="74"/>
      <c r="M676" s="24"/>
    </row>
    <row r="677" spans="1:13" ht="20.100000000000001" customHeight="1" x14ac:dyDescent="0.2">
      <c r="A677" s="23">
        <f>ROW('Wash Sale Tracker'!A682)</f>
        <v>682</v>
      </c>
      <c r="B677" s="24"/>
      <c r="C677" s="24"/>
      <c r="D677" s="75"/>
      <c r="E677" s="76"/>
      <c r="F677" s="74"/>
      <c r="G677" s="76"/>
      <c r="H677" s="23"/>
      <c r="I677" s="24"/>
      <c r="J677" s="25"/>
      <c r="K677" s="24"/>
      <c r="L677" s="74"/>
      <c r="M677" s="24"/>
    </row>
    <row r="678" spans="1:13" ht="20.100000000000001" customHeight="1" x14ac:dyDescent="0.2">
      <c r="A678" s="23">
        <f>ROW('Wash Sale Tracker'!A683)</f>
        <v>683</v>
      </c>
      <c r="B678" s="24"/>
      <c r="C678" s="24"/>
      <c r="D678" s="75"/>
      <c r="E678" s="76"/>
      <c r="F678" s="74"/>
      <c r="G678" s="76"/>
      <c r="H678" s="23"/>
      <c r="I678" s="24"/>
      <c r="J678" s="25"/>
      <c r="K678" s="24"/>
      <c r="L678" s="74"/>
      <c r="M678" s="24"/>
    </row>
    <row r="679" spans="1:13" ht="20.100000000000001" customHeight="1" x14ac:dyDescent="0.2">
      <c r="A679" s="23">
        <f>ROW('Wash Sale Tracker'!A684)</f>
        <v>684</v>
      </c>
      <c r="B679" s="24"/>
      <c r="C679" s="24"/>
      <c r="D679" s="75"/>
      <c r="E679" s="76"/>
      <c r="F679" s="74"/>
      <c r="G679" s="76"/>
      <c r="H679" s="23"/>
      <c r="I679" s="24"/>
      <c r="J679" s="25"/>
      <c r="K679" s="24"/>
      <c r="L679" s="74"/>
      <c r="M679" s="24"/>
    </row>
    <row r="680" spans="1:13" ht="20.100000000000001" customHeight="1" x14ac:dyDescent="0.2">
      <c r="A680" s="23">
        <f>ROW('Wash Sale Tracker'!A685)</f>
        <v>685</v>
      </c>
      <c r="B680" s="24"/>
      <c r="C680" s="24"/>
      <c r="D680" s="75"/>
      <c r="E680" s="76"/>
      <c r="F680" s="74"/>
      <c r="G680" s="76"/>
      <c r="H680" s="23"/>
      <c r="I680" s="24"/>
      <c r="J680" s="25"/>
      <c r="K680" s="24"/>
      <c r="L680" s="74"/>
      <c r="M680" s="24"/>
    </row>
    <row r="681" spans="1:13" ht="20.100000000000001" customHeight="1" x14ac:dyDescent="0.2">
      <c r="A681" s="23">
        <f>ROW('Wash Sale Tracker'!A686)</f>
        <v>686</v>
      </c>
      <c r="B681" s="24"/>
      <c r="C681" s="24"/>
      <c r="D681" s="75"/>
      <c r="E681" s="76"/>
      <c r="F681" s="74"/>
      <c r="G681" s="76"/>
      <c r="H681" s="23"/>
      <c r="I681" s="24"/>
      <c r="J681" s="25"/>
      <c r="K681" s="24"/>
      <c r="L681" s="74"/>
      <c r="M681" s="24"/>
    </row>
    <row r="682" spans="1:13" ht="20.100000000000001" customHeight="1" x14ac:dyDescent="0.2">
      <c r="A682" s="23">
        <f>ROW('Wash Sale Tracker'!A687)</f>
        <v>687</v>
      </c>
      <c r="B682" s="24"/>
      <c r="C682" s="24"/>
      <c r="D682" s="75"/>
      <c r="E682" s="76"/>
      <c r="F682" s="74"/>
      <c r="G682" s="76"/>
      <c r="H682" s="23"/>
      <c r="I682" s="24"/>
      <c r="J682" s="25"/>
      <c r="K682" s="24"/>
      <c r="L682" s="74"/>
      <c r="M682" s="24"/>
    </row>
    <row r="683" spans="1:13" ht="20.100000000000001" customHeight="1" x14ac:dyDescent="0.2">
      <c r="A683" s="23">
        <f>ROW('Wash Sale Tracker'!A688)</f>
        <v>688</v>
      </c>
      <c r="B683" s="24"/>
      <c r="C683" s="24"/>
      <c r="D683" s="75"/>
      <c r="E683" s="76"/>
      <c r="F683" s="74"/>
      <c r="G683" s="76"/>
      <c r="H683" s="23"/>
      <c r="I683" s="24"/>
      <c r="J683" s="25"/>
      <c r="K683" s="24"/>
      <c r="L683" s="74"/>
      <c r="M683" s="24"/>
    </row>
    <row r="684" spans="1:13" ht="20.100000000000001" customHeight="1" x14ac:dyDescent="0.2">
      <c r="A684" s="23">
        <f>ROW('Wash Sale Tracker'!A689)</f>
        <v>689</v>
      </c>
      <c r="B684" s="24"/>
      <c r="C684" s="24"/>
      <c r="D684" s="75"/>
      <c r="E684" s="76"/>
      <c r="F684" s="74"/>
      <c r="G684" s="76"/>
      <c r="H684" s="23"/>
      <c r="I684" s="24"/>
      <c r="J684" s="25"/>
      <c r="K684" s="24"/>
      <c r="L684" s="74"/>
      <c r="M684" s="24"/>
    </row>
    <row r="685" spans="1:13" ht="20.100000000000001" customHeight="1" x14ac:dyDescent="0.2">
      <c r="A685" s="23">
        <f>ROW('Wash Sale Tracker'!A690)</f>
        <v>690</v>
      </c>
      <c r="B685" s="24"/>
      <c r="C685" s="24"/>
      <c r="D685" s="75"/>
      <c r="E685" s="76"/>
      <c r="F685" s="74"/>
      <c r="G685" s="76"/>
      <c r="H685" s="23"/>
      <c r="I685" s="24"/>
      <c r="J685" s="25"/>
      <c r="K685" s="24"/>
      <c r="L685" s="74"/>
      <c r="M685" s="24"/>
    </row>
    <row r="686" spans="1:13" ht="20.100000000000001" customHeight="1" x14ac:dyDescent="0.2">
      <c r="A686" s="23">
        <f>ROW('Wash Sale Tracker'!A691)</f>
        <v>691</v>
      </c>
      <c r="B686" s="24"/>
      <c r="C686" s="24"/>
      <c r="D686" s="75"/>
      <c r="E686" s="76"/>
      <c r="F686" s="74"/>
      <c r="G686" s="76"/>
      <c r="H686" s="23"/>
      <c r="I686" s="24"/>
      <c r="J686" s="25"/>
      <c r="K686" s="24"/>
      <c r="L686" s="74"/>
      <c r="M686" s="24"/>
    </row>
    <row r="687" spans="1:13" ht="20.100000000000001" customHeight="1" x14ac:dyDescent="0.2">
      <c r="A687" s="23">
        <f>ROW('Wash Sale Tracker'!A692)</f>
        <v>692</v>
      </c>
      <c r="B687" s="24"/>
      <c r="C687" s="24"/>
      <c r="D687" s="75"/>
      <c r="E687" s="76"/>
      <c r="F687" s="74"/>
      <c r="G687" s="76"/>
      <c r="H687" s="23"/>
      <c r="I687" s="24"/>
      <c r="J687" s="25"/>
      <c r="K687" s="24"/>
      <c r="L687" s="74"/>
      <c r="M687" s="24"/>
    </row>
    <row r="688" spans="1:13" ht="20.100000000000001" customHeight="1" x14ac:dyDescent="0.2">
      <c r="A688" s="23">
        <f>ROW('Wash Sale Tracker'!A693)</f>
        <v>693</v>
      </c>
      <c r="B688" s="24"/>
      <c r="C688" s="24"/>
      <c r="D688" s="75"/>
      <c r="E688" s="76"/>
      <c r="F688" s="74"/>
      <c r="G688" s="76"/>
      <c r="H688" s="23"/>
      <c r="I688" s="24"/>
      <c r="J688" s="25"/>
      <c r="K688" s="24"/>
      <c r="L688" s="74"/>
      <c r="M688" s="24"/>
    </row>
    <row r="689" spans="1:13" ht="20.100000000000001" customHeight="1" x14ac:dyDescent="0.2">
      <c r="A689" s="23">
        <f>ROW('Wash Sale Tracker'!A694)</f>
        <v>694</v>
      </c>
      <c r="B689" s="24"/>
      <c r="C689" s="24"/>
      <c r="D689" s="75"/>
      <c r="E689" s="76"/>
      <c r="F689" s="74"/>
      <c r="G689" s="76"/>
      <c r="H689" s="23"/>
      <c r="I689" s="24"/>
      <c r="J689" s="25"/>
      <c r="K689" s="24"/>
      <c r="L689" s="74"/>
      <c r="M689" s="24"/>
    </row>
    <row r="690" spans="1:13" ht="20.100000000000001" customHeight="1" x14ac:dyDescent="0.2">
      <c r="A690" s="23">
        <f>ROW('Wash Sale Tracker'!A695)</f>
        <v>695</v>
      </c>
      <c r="B690" s="24"/>
      <c r="C690" s="24"/>
      <c r="D690" s="75"/>
      <c r="E690" s="76"/>
      <c r="F690" s="74"/>
      <c r="G690" s="76"/>
      <c r="H690" s="23"/>
      <c r="I690" s="24"/>
      <c r="J690" s="25"/>
      <c r="K690" s="24"/>
      <c r="L690" s="74"/>
      <c r="M690" s="24"/>
    </row>
    <row r="691" spans="1:13" ht="20.100000000000001" customHeight="1" x14ac:dyDescent="0.2">
      <c r="A691" s="23">
        <f>ROW('Wash Sale Tracker'!A696)</f>
        <v>696</v>
      </c>
      <c r="B691" s="24"/>
      <c r="C691" s="24"/>
      <c r="D691" s="75"/>
      <c r="E691" s="76"/>
      <c r="F691" s="74"/>
      <c r="G691" s="76"/>
      <c r="H691" s="23"/>
      <c r="I691" s="24"/>
      <c r="J691" s="25"/>
      <c r="K691" s="24"/>
      <c r="L691" s="74"/>
      <c r="M691" s="24"/>
    </row>
    <row r="692" spans="1:13" ht="20.100000000000001" customHeight="1" x14ac:dyDescent="0.2">
      <c r="A692" s="23">
        <f>ROW('Wash Sale Tracker'!A697)</f>
        <v>697</v>
      </c>
      <c r="B692" s="24"/>
      <c r="C692" s="24"/>
      <c r="D692" s="75"/>
      <c r="E692" s="76"/>
      <c r="F692" s="74"/>
      <c r="G692" s="76"/>
      <c r="H692" s="23"/>
      <c r="I692" s="24"/>
      <c r="J692" s="25"/>
      <c r="K692" s="24"/>
      <c r="L692" s="74"/>
      <c r="M692" s="24"/>
    </row>
    <row r="693" spans="1:13" ht="20.100000000000001" customHeight="1" x14ac:dyDescent="0.2">
      <c r="A693" s="23">
        <f>ROW('Wash Sale Tracker'!A698)</f>
        <v>698</v>
      </c>
      <c r="B693" s="24"/>
      <c r="C693" s="24"/>
      <c r="D693" s="75"/>
      <c r="E693" s="76"/>
      <c r="F693" s="74"/>
      <c r="G693" s="76"/>
      <c r="H693" s="23"/>
      <c r="I693" s="24"/>
      <c r="J693" s="25"/>
      <c r="K693" s="24"/>
      <c r="L693" s="74"/>
      <c r="M693" s="24"/>
    </row>
    <row r="694" spans="1:13" ht="20.100000000000001" customHeight="1" x14ac:dyDescent="0.2">
      <c r="A694" s="23">
        <f>ROW('Wash Sale Tracker'!A699)</f>
        <v>699</v>
      </c>
      <c r="B694" s="24"/>
      <c r="C694" s="24"/>
      <c r="D694" s="75"/>
      <c r="E694" s="76"/>
      <c r="F694" s="74"/>
      <c r="G694" s="76"/>
      <c r="H694" s="23"/>
      <c r="I694" s="24"/>
      <c r="J694" s="25"/>
      <c r="K694" s="24"/>
      <c r="L694" s="74"/>
      <c r="M694" s="24"/>
    </row>
    <row r="695" spans="1:13" ht="20.100000000000001" customHeight="1" x14ac:dyDescent="0.2">
      <c r="A695" s="23">
        <f>ROW('Wash Sale Tracker'!A700)</f>
        <v>700</v>
      </c>
      <c r="B695" s="24"/>
      <c r="C695" s="24"/>
      <c r="D695" s="75"/>
      <c r="E695" s="76"/>
      <c r="F695" s="74"/>
      <c r="G695" s="76"/>
      <c r="H695" s="23"/>
      <c r="I695" s="24"/>
      <c r="J695" s="25"/>
      <c r="K695" s="24"/>
      <c r="L695" s="74"/>
      <c r="M695" s="24"/>
    </row>
    <row r="696" spans="1:13" ht="20.100000000000001" customHeight="1" x14ac:dyDescent="0.2">
      <c r="A696" s="23">
        <f>ROW('Wash Sale Tracker'!A701)</f>
        <v>701</v>
      </c>
      <c r="B696" s="24"/>
      <c r="C696" s="24"/>
      <c r="D696" s="75"/>
      <c r="E696" s="76"/>
      <c r="F696" s="74"/>
      <c r="G696" s="76"/>
      <c r="H696" s="23"/>
      <c r="I696" s="24"/>
      <c r="J696" s="25"/>
      <c r="K696" s="24"/>
      <c r="L696" s="74"/>
      <c r="M696" s="24"/>
    </row>
    <row r="697" spans="1:13" ht="20.100000000000001" customHeight="1" x14ac:dyDescent="0.2">
      <c r="A697" s="23">
        <f>ROW('Wash Sale Tracker'!A702)</f>
        <v>702</v>
      </c>
      <c r="B697" s="24"/>
      <c r="C697" s="24"/>
      <c r="D697" s="75"/>
      <c r="E697" s="76"/>
      <c r="F697" s="74"/>
      <c r="G697" s="76"/>
      <c r="H697" s="23"/>
      <c r="I697" s="24"/>
      <c r="J697" s="25"/>
      <c r="K697" s="24"/>
      <c r="L697" s="74"/>
      <c r="M697" s="24"/>
    </row>
    <row r="698" spans="1:13" ht="20.100000000000001" customHeight="1" x14ac:dyDescent="0.2">
      <c r="A698" s="23">
        <f>ROW('Wash Sale Tracker'!A703)</f>
        <v>703</v>
      </c>
      <c r="B698" s="24"/>
      <c r="C698" s="24"/>
      <c r="D698" s="75"/>
      <c r="E698" s="76"/>
      <c r="F698" s="74"/>
      <c r="G698" s="76"/>
      <c r="H698" s="23"/>
      <c r="I698" s="24"/>
      <c r="J698" s="25"/>
      <c r="K698" s="24"/>
      <c r="L698" s="74"/>
      <c r="M698" s="24"/>
    </row>
    <row r="699" spans="1:13" ht="20.100000000000001" customHeight="1" x14ac:dyDescent="0.2">
      <c r="A699" s="23">
        <f>ROW('Wash Sale Tracker'!A704)</f>
        <v>704</v>
      </c>
      <c r="B699" s="24"/>
      <c r="C699" s="24"/>
      <c r="D699" s="75"/>
      <c r="E699" s="76"/>
      <c r="F699" s="74"/>
      <c r="G699" s="76"/>
      <c r="H699" s="23"/>
      <c r="I699" s="24"/>
      <c r="J699" s="25"/>
      <c r="K699" s="24"/>
      <c r="L699" s="74"/>
      <c r="M699" s="24"/>
    </row>
    <row r="700" spans="1:13" ht="20.100000000000001" customHeight="1" x14ac:dyDescent="0.2">
      <c r="A700" s="23">
        <f>ROW('Wash Sale Tracker'!A705)</f>
        <v>705</v>
      </c>
      <c r="B700" s="24"/>
      <c r="C700" s="24"/>
      <c r="D700" s="75"/>
      <c r="E700" s="76"/>
      <c r="F700" s="74"/>
      <c r="G700" s="76"/>
      <c r="H700" s="23"/>
      <c r="I700" s="24"/>
      <c r="J700" s="25"/>
      <c r="K700" s="24"/>
      <c r="L700" s="74"/>
      <c r="M700" s="24"/>
    </row>
    <row r="701" spans="1:13" ht="20.100000000000001" customHeight="1" x14ac:dyDescent="0.2">
      <c r="A701" s="23">
        <f>ROW('Wash Sale Tracker'!A706)</f>
        <v>706</v>
      </c>
      <c r="B701" s="24"/>
      <c r="C701" s="24"/>
      <c r="D701" s="75"/>
      <c r="E701" s="76"/>
      <c r="F701" s="74"/>
      <c r="G701" s="76"/>
      <c r="H701" s="23"/>
      <c r="I701" s="24"/>
      <c r="J701" s="25"/>
      <c r="K701" s="24"/>
      <c r="L701" s="74"/>
      <c r="M701" s="24"/>
    </row>
    <row r="702" spans="1:13" ht="20.100000000000001" customHeight="1" x14ac:dyDescent="0.2">
      <c r="A702" s="23">
        <f>ROW('Wash Sale Tracker'!A707)</f>
        <v>707</v>
      </c>
      <c r="B702" s="24"/>
      <c r="C702" s="24"/>
      <c r="D702" s="75"/>
      <c r="E702" s="76"/>
      <c r="F702" s="74"/>
      <c r="G702" s="76"/>
      <c r="H702" s="23"/>
      <c r="I702" s="24"/>
      <c r="J702" s="25"/>
      <c r="K702" s="24"/>
      <c r="L702" s="74"/>
      <c r="M702" s="24"/>
    </row>
    <row r="703" spans="1:13" ht="20.100000000000001" customHeight="1" x14ac:dyDescent="0.2">
      <c r="A703" s="23">
        <f>ROW('Wash Sale Tracker'!A708)</f>
        <v>708</v>
      </c>
      <c r="B703" s="24"/>
      <c r="C703" s="24"/>
      <c r="D703" s="75"/>
      <c r="E703" s="76"/>
      <c r="F703" s="74"/>
      <c r="G703" s="76"/>
      <c r="H703" s="23"/>
      <c r="I703" s="24"/>
      <c r="J703" s="25"/>
      <c r="K703" s="24"/>
      <c r="L703" s="74"/>
      <c r="M703" s="24"/>
    </row>
    <row r="704" spans="1:13" ht="20.100000000000001" customHeight="1" x14ac:dyDescent="0.2">
      <c r="A704" s="23">
        <f>ROW('Wash Sale Tracker'!A709)</f>
        <v>709</v>
      </c>
      <c r="B704" s="24"/>
      <c r="C704" s="24"/>
      <c r="D704" s="75"/>
      <c r="E704" s="76"/>
      <c r="F704" s="74"/>
      <c r="G704" s="76"/>
      <c r="H704" s="23"/>
      <c r="I704" s="24"/>
      <c r="J704" s="25"/>
      <c r="K704" s="24"/>
      <c r="L704" s="74"/>
      <c r="M704" s="24"/>
    </row>
    <row r="705" spans="1:13" ht="20.100000000000001" customHeight="1" x14ac:dyDescent="0.2">
      <c r="A705" s="23">
        <f>ROW('Wash Sale Tracker'!A710)</f>
        <v>710</v>
      </c>
      <c r="B705" s="24"/>
      <c r="C705" s="24"/>
      <c r="D705" s="75"/>
      <c r="E705" s="76"/>
      <c r="F705" s="74"/>
      <c r="G705" s="76"/>
      <c r="H705" s="23"/>
      <c r="I705" s="24"/>
      <c r="J705" s="25"/>
      <c r="K705" s="24"/>
      <c r="L705" s="74"/>
      <c r="M705" s="24"/>
    </row>
    <row r="706" spans="1:13" ht="20.100000000000001" customHeight="1" x14ac:dyDescent="0.2">
      <c r="A706" s="23">
        <f>ROW('Wash Sale Tracker'!A711)</f>
        <v>711</v>
      </c>
      <c r="B706" s="24"/>
      <c r="C706" s="24"/>
      <c r="D706" s="75"/>
      <c r="E706" s="76"/>
      <c r="F706" s="74"/>
      <c r="G706" s="76"/>
      <c r="H706" s="23"/>
      <c r="I706" s="24"/>
      <c r="J706" s="25"/>
      <c r="K706" s="24"/>
      <c r="L706" s="74"/>
      <c r="M706" s="24"/>
    </row>
    <row r="707" spans="1:13" ht="20.100000000000001" customHeight="1" x14ac:dyDescent="0.2">
      <c r="A707" s="23">
        <f>ROW('Wash Sale Tracker'!A712)</f>
        <v>712</v>
      </c>
      <c r="B707" s="24"/>
      <c r="C707" s="24"/>
      <c r="D707" s="75"/>
      <c r="E707" s="76"/>
      <c r="F707" s="74"/>
      <c r="G707" s="76"/>
      <c r="H707" s="23"/>
      <c r="I707" s="24"/>
      <c r="J707" s="25"/>
      <c r="K707" s="24"/>
      <c r="L707" s="74"/>
      <c r="M707" s="24"/>
    </row>
    <row r="708" spans="1:13" ht="20.100000000000001" customHeight="1" x14ac:dyDescent="0.2">
      <c r="A708" s="23">
        <f>ROW('Wash Sale Tracker'!A713)</f>
        <v>713</v>
      </c>
      <c r="B708" s="24"/>
      <c r="C708" s="24"/>
      <c r="D708" s="75"/>
      <c r="E708" s="76"/>
      <c r="F708" s="74"/>
      <c r="G708" s="76"/>
      <c r="H708" s="23"/>
      <c r="I708" s="24"/>
      <c r="J708" s="25"/>
      <c r="K708" s="24"/>
      <c r="L708" s="74"/>
      <c r="M708" s="24"/>
    </row>
    <row r="709" spans="1:13" ht="20.100000000000001" customHeight="1" x14ac:dyDescent="0.2">
      <c r="A709" s="23">
        <f>ROW('Wash Sale Tracker'!A714)</f>
        <v>714</v>
      </c>
      <c r="B709" s="24"/>
      <c r="C709" s="24"/>
      <c r="D709" s="75"/>
      <c r="E709" s="76"/>
      <c r="F709" s="74"/>
      <c r="G709" s="76"/>
      <c r="H709" s="23"/>
      <c r="I709" s="24"/>
      <c r="J709" s="25"/>
      <c r="K709" s="24"/>
      <c r="L709" s="74"/>
      <c r="M709" s="24"/>
    </row>
    <row r="710" spans="1:13" ht="20.100000000000001" customHeight="1" x14ac:dyDescent="0.2">
      <c r="A710" s="23">
        <f>ROW('Wash Sale Tracker'!A715)</f>
        <v>715</v>
      </c>
      <c r="B710" s="24"/>
      <c r="C710" s="24"/>
      <c r="D710" s="75"/>
      <c r="E710" s="76"/>
      <c r="F710" s="74"/>
      <c r="G710" s="76"/>
      <c r="H710" s="23"/>
      <c r="I710" s="24"/>
      <c r="J710" s="25"/>
      <c r="K710" s="24"/>
      <c r="L710" s="74"/>
      <c r="M710" s="24"/>
    </row>
    <row r="711" spans="1:13" ht="20.100000000000001" customHeight="1" x14ac:dyDescent="0.2">
      <c r="A711" s="23">
        <f>ROW('Wash Sale Tracker'!A716)</f>
        <v>716</v>
      </c>
      <c r="B711" s="24"/>
      <c r="C711" s="24"/>
      <c r="D711" s="75"/>
      <c r="E711" s="76"/>
      <c r="F711" s="74"/>
      <c r="G711" s="76"/>
      <c r="H711" s="23"/>
      <c r="I711" s="24"/>
      <c r="J711" s="25"/>
      <c r="K711" s="24"/>
      <c r="L711" s="74"/>
      <c r="M711" s="24"/>
    </row>
    <row r="712" spans="1:13" ht="20.100000000000001" customHeight="1" x14ac:dyDescent="0.2">
      <c r="A712" s="23">
        <f>ROW('Wash Sale Tracker'!A717)</f>
        <v>717</v>
      </c>
      <c r="B712" s="24"/>
      <c r="C712" s="24"/>
      <c r="D712" s="75"/>
      <c r="E712" s="76"/>
      <c r="F712" s="74"/>
      <c r="G712" s="76"/>
      <c r="H712" s="23"/>
      <c r="I712" s="24"/>
      <c r="J712" s="25"/>
      <c r="K712" s="24"/>
      <c r="L712" s="74"/>
      <c r="M712" s="24"/>
    </row>
    <row r="713" spans="1:13" ht="20.100000000000001" customHeight="1" x14ac:dyDescent="0.2">
      <c r="A713" s="23">
        <f>ROW('Wash Sale Tracker'!A718)</f>
        <v>718</v>
      </c>
      <c r="B713" s="24"/>
      <c r="C713" s="24"/>
      <c r="D713" s="75"/>
      <c r="E713" s="76"/>
      <c r="F713" s="74"/>
      <c r="G713" s="76"/>
      <c r="H713" s="23"/>
      <c r="I713" s="24"/>
      <c r="J713" s="25"/>
      <c r="K713" s="24"/>
      <c r="L713" s="74"/>
      <c r="M713" s="24"/>
    </row>
    <row r="714" spans="1:13" ht="20.100000000000001" customHeight="1" x14ac:dyDescent="0.2">
      <c r="A714" s="23">
        <f>ROW('Wash Sale Tracker'!A719)</f>
        <v>719</v>
      </c>
      <c r="B714" s="24"/>
      <c r="C714" s="24"/>
      <c r="D714" s="75"/>
      <c r="E714" s="76"/>
      <c r="F714" s="74"/>
      <c r="G714" s="76"/>
      <c r="H714" s="23"/>
      <c r="I714" s="24"/>
      <c r="J714" s="25"/>
      <c r="K714" s="24"/>
      <c r="L714" s="74"/>
      <c r="M714" s="24"/>
    </row>
    <row r="715" spans="1:13" ht="20.100000000000001" customHeight="1" x14ac:dyDescent="0.2">
      <c r="A715" s="23">
        <f>ROW('Wash Sale Tracker'!A720)</f>
        <v>720</v>
      </c>
      <c r="B715" s="24"/>
      <c r="C715" s="24"/>
      <c r="D715" s="75"/>
      <c r="E715" s="76"/>
      <c r="F715" s="74"/>
      <c r="G715" s="76"/>
      <c r="H715" s="23"/>
      <c r="I715" s="24"/>
      <c r="J715" s="25"/>
      <c r="K715" s="24"/>
      <c r="L715" s="74"/>
      <c r="M715" s="24"/>
    </row>
    <row r="716" spans="1:13" ht="20.100000000000001" customHeight="1" x14ac:dyDescent="0.2">
      <c r="A716" s="23">
        <f>ROW('Wash Sale Tracker'!A721)</f>
        <v>721</v>
      </c>
      <c r="B716" s="24"/>
      <c r="C716" s="24"/>
      <c r="D716" s="75"/>
      <c r="E716" s="76"/>
      <c r="F716" s="74"/>
      <c r="G716" s="76"/>
      <c r="H716" s="23"/>
      <c r="I716" s="24"/>
      <c r="J716" s="25"/>
      <c r="K716" s="24"/>
      <c r="L716" s="74"/>
      <c r="M716" s="24"/>
    </row>
    <row r="717" spans="1:13" ht="20.100000000000001" customHeight="1" x14ac:dyDescent="0.2">
      <c r="A717" s="23">
        <f>ROW('Wash Sale Tracker'!A722)</f>
        <v>722</v>
      </c>
      <c r="B717" s="24"/>
      <c r="C717" s="24"/>
      <c r="D717" s="75"/>
      <c r="E717" s="76"/>
      <c r="F717" s="74"/>
      <c r="G717" s="76"/>
      <c r="H717" s="23"/>
      <c r="I717" s="24"/>
      <c r="J717" s="25"/>
      <c r="K717" s="24"/>
      <c r="L717" s="74"/>
      <c r="M717" s="24"/>
    </row>
    <row r="718" spans="1:13" ht="20.100000000000001" customHeight="1" x14ac:dyDescent="0.2">
      <c r="A718" s="23">
        <f>ROW('Wash Sale Tracker'!A723)</f>
        <v>723</v>
      </c>
      <c r="B718" s="24"/>
      <c r="C718" s="24"/>
      <c r="D718" s="75"/>
      <c r="E718" s="76"/>
      <c r="F718" s="74"/>
      <c r="G718" s="76"/>
      <c r="H718" s="23"/>
      <c r="I718" s="24"/>
      <c r="J718" s="25"/>
      <c r="K718" s="24"/>
      <c r="L718" s="74"/>
      <c r="M718" s="24"/>
    </row>
    <row r="719" spans="1:13" ht="20.100000000000001" customHeight="1" x14ac:dyDescent="0.2">
      <c r="A719" s="23">
        <f>ROW('Wash Sale Tracker'!A724)</f>
        <v>724</v>
      </c>
      <c r="B719" s="24"/>
      <c r="C719" s="24"/>
      <c r="D719" s="75"/>
      <c r="E719" s="76"/>
      <c r="F719" s="74"/>
      <c r="G719" s="76"/>
      <c r="H719" s="23"/>
      <c r="I719" s="24"/>
      <c r="J719" s="25"/>
      <c r="K719" s="24"/>
      <c r="L719" s="74"/>
      <c r="M719" s="24"/>
    </row>
    <row r="720" spans="1:13" ht="20.100000000000001" customHeight="1" x14ac:dyDescent="0.2">
      <c r="A720" s="23">
        <f>ROW('Wash Sale Tracker'!A725)</f>
        <v>725</v>
      </c>
      <c r="B720" s="24"/>
      <c r="C720" s="24"/>
      <c r="D720" s="75"/>
      <c r="E720" s="76"/>
      <c r="F720" s="74"/>
      <c r="G720" s="76"/>
      <c r="H720" s="23"/>
      <c r="I720" s="24"/>
      <c r="J720" s="25"/>
      <c r="K720" s="24"/>
      <c r="L720" s="74"/>
      <c r="M720" s="24"/>
    </row>
    <row r="721" spans="1:13" ht="20.100000000000001" customHeight="1" x14ac:dyDescent="0.2">
      <c r="A721" s="23">
        <f>ROW('Wash Sale Tracker'!A726)</f>
        <v>726</v>
      </c>
      <c r="B721" s="24"/>
      <c r="C721" s="24"/>
      <c r="D721" s="75"/>
      <c r="E721" s="76"/>
      <c r="F721" s="74"/>
      <c r="G721" s="76"/>
      <c r="H721" s="23"/>
      <c r="I721" s="24"/>
      <c r="J721" s="25"/>
      <c r="K721" s="24"/>
      <c r="L721" s="74"/>
      <c r="M721" s="24"/>
    </row>
    <row r="722" spans="1:13" ht="20.100000000000001" customHeight="1" x14ac:dyDescent="0.2">
      <c r="A722" s="23">
        <f>ROW('Wash Sale Tracker'!A727)</f>
        <v>727</v>
      </c>
      <c r="B722" s="24"/>
      <c r="C722" s="24"/>
      <c r="D722" s="75"/>
      <c r="E722" s="76"/>
      <c r="F722" s="74"/>
      <c r="G722" s="76"/>
      <c r="H722" s="23"/>
      <c r="I722" s="24"/>
      <c r="J722" s="25"/>
      <c r="K722" s="24"/>
      <c r="L722" s="74"/>
      <c r="M722" s="24"/>
    </row>
    <row r="723" spans="1:13" ht="20.100000000000001" customHeight="1" x14ac:dyDescent="0.2">
      <c r="A723" s="23">
        <f>ROW('Wash Sale Tracker'!A728)</f>
        <v>728</v>
      </c>
      <c r="B723" s="24"/>
      <c r="C723" s="24"/>
      <c r="D723" s="75"/>
      <c r="E723" s="76"/>
      <c r="F723" s="74"/>
      <c r="G723" s="76"/>
      <c r="H723" s="23"/>
      <c r="I723" s="24"/>
      <c r="J723" s="25"/>
      <c r="K723" s="24"/>
      <c r="L723" s="74"/>
      <c r="M723" s="24"/>
    </row>
    <row r="724" spans="1:13" ht="20.100000000000001" customHeight="1" x14ac:dyDescent="0.2">
      <c r="A724" s="23">
        <f>ROW('Wash Sale Tracker'!A729)</f>
        <v>729</v>
      </c>
      <c r="B724" s="24"/>
      <c r="C724" s="24"/>
      <c r="D724" s="75"/>
      <c r="E724" s="76"/>
      <c r="F724" s="74"/>
      <c r="G724" s="76"/>
      <c r="H724" s="23"/>
      <c r="I724" s="24"/>
      <c r="J724" s="25"/>
      <c r="K724" s="24"/>
      <c r="L724" s="74"/>
      <c r="M724" s="24"/>
    </row>
    <row r="725" spans="1:13" ht="20.100000000000001" customHeight="1" x14ac:dyDescent="0.2">
      <c r="A725" s="23">
        <f>ROW('Wash Sale Tracker'!A730)</f>
        <v>730</v>
      </c>
      <c r="B725" s="24"/>
      <c r="C725" s="24"/>
      <c r="D725" s="75"/>
      <c r="E725" s="76"/>
      <c r="F725" s="74"/>
      <c r="G725" s="76"/>
      <c r="H725" s="23"/>
      <c r="I725" s="24"/>
      <c r="J725" s="25"/>
      <c r="K725" s="24"/>
      <c r="L725" s="74"/>
      <c r="M725" s="24"/>
    </row>
    <row r="726" spans="1:13" ht="20.100000000000001" customHeight="1" x14ac:dyDescent="0.2">
      <c r="A726" s="23">
        <f>ROW('Wash Sale Tracker'!A731)</f>
        <v>731</v>
      </c>
      <c r="B726" s="24"/>
      <c r="C726" s="24"/>
      <c r="D726" s="75"/>
      <c r="E726" s="76"/>
      <c r="F726" s="74"/>
      <c r="G726" s="76"/>
      <c r="H726" s="23"/>
      <c r="I726" s="24"/>
      <c r="J726" s="25"/>
      <c r="K726" s="24"/>
      <c r="L726" s="74"/>
      <c r="M726" s="24"/>
    </row>
    <row r="727" spans="1:13" ht="20.100000000000001" customHeight="1" x14ac:dyDescent="0.2">
      <c r="A727" s="23">
        <f>ROW('Wash Sale Tracker'!A732)</f>
        <v>732</v>
      </c>
      <c r="B727" s="24"/>
      <c r="C727" s="24"/>
      <c r="D727" s="75"/>
      <c r="E727" s="76"/>
      <c r="F727" s="74"/>
      <c r="G727" s="76"/>
      <c r="H727" s="23"/>
      <c r="I727" s="24"/>
      <c r="J727" s="25"/>
      <c r="K727" s="24"/>
      <c r="L727" s="74"/>
      <c r="M727" s="24"/>
    </row>
    <row r="728" spans="1:13" ht="20.100000000000001" customHeight="1" x14ac:dyDescent="0.2">
      <c r="A728" s="23">
        <f>ROW('Wash Sale Tracker'!A733)</f>
        <v>733</v>
      </c>
      <c r="B728" s="24"/>
      <c r="C728" s="24"/>
      <c r="D728" s="75"/>
      <c r="E728" s="76"/>
      <c r="F728" s="74"/>
      <c r="G728" s="76"/>
      <c r="H728" s="23"/>
      <c r="I728" s="24"/>
      <c r="J728" s="25"/>
      <c r="K728" s="24"/>
      <c r="L728" s="74"/>
      <c r="M728" s="24"/>
    </row>
    <row r="729" spans="1:13" ht="20.100000000000001" customHeight="1" x14ac:dyDescent="0.2">
      <c r="A729" s="23">
        <f>ROW('Wash Sale Tracker'!A734)</f>
        <v>734</v>
      </c>
      <c r="B729" s="24"/>
      <c r="C729" s="24"/>
      <c r="D729" s="75"/>
      <c r="E729" s="76"/>
      <c r="F729" s="74"/>
      <c r="G729" s="76"/>
      <c r="H729" s="23"/>
      <c r="I729" s="24"/>
      <c r="J729" s="25"/>
      <c r="K729" s="24"/>
      <c r="L729" s="74"/>
      <c r="M729" s="24"/>
    </row>
    <row r="730" spans="1:13" ht="20.100000000000001" customHeight="1" x14ac:dyDescent="0.2">
      <c r="A730" s="23">
        <f>ROW('Wash Sale Tracker'!A735)</f>
        <v>735</v>
      </c>
      <c r="B730" s="24"/>
      <c r="C730" s="24"/>
      <c r="D730" s="75"/>
      <c r="E730" s="76"/>
      <c r="F730" s="74"/>
      <c r="G730" s="76"/>
      <c r="H730" s="23"/>
      <c r="I730" s="24"/>
      <c r="J730" s="25"/>
      <c r="K730" s="24"/>
      <c r="L730" s="74"/>
      <c r="M730" s="24"/>
    </row>
    <row r="731" spans="1:13" ht="20.100000000000001" customHeight="1" x14ac:dyDescent="0.2">
      <c r="A731" s="23">
        <f>ROW('Wash Sale Tracker'!A736)</f>
        <v>736</v>
      </c>
      <c r="B731" s="24"/>
      <c r="C731" s="24"/>
      <c r="D731" s="75"/>
      <c r="E731" s="76"/>
      <c r="F731" s="74"/>
      <c r="G731" s="76"/>
      <c r="H731" s="23"/>
      <c r="I731" s="24"/>
      <c r="J731" s="25"/>
      <c r="K731" s="24"/>
      <c r="L731" s="74"/>
      <c r="M731" s="24"/>
    </row>
    <row r="732" spans="1:13" ht="20.100000000000001" customHeight="1" x14ac:dyDescent="0.2">
      <c r="A732" s="23">
        <f>ROW('Wash Sale Tracker'!A737)</f>
        <v>737</v>
      </c>
      <c r="B732" s="24"/>
      <c r="C732" s="24"/>
      <c r="D732" s="75"/>
      <c r="E732" s="76"/>
      <c r="F732" s="74"/>
      <c r="G732" s="76"/>
      <c r="H732" s="23"/>
      <c r="I732" s="24"/>
      <c r="J732" s="25"/>
      <c r="K732" s="24"/>
      <c r="L732" s="74"/>
      <c r="M732" s="24"/>
    </row>
    <row r="733" spans="1:13" ht="20.100000000000001" customHeight="1" x14ac:dyDescent="0.2">
      <c r="A733" s="23">
        <f>ROW('Wash Sale Tracker'!A738)</f>
        <v>738</v>
      </c>
      <c r="B733" s="24"/>
      <c r="C733" s="24"/>
      <c r="D733" s="75"/>
      <c r="E733" s="76"/>
      <c r="F733" s="74"/>
      <c r="G733" s="76"/>
      <c r="H733" s="23"/>
      <c r="I733" s="24"/>
      <c r="J733" s="25"/>
      <c r="K733" s="24"/>
      <c r="L733" s="74"/>
      <c r="M733" s="24"/>
    </row>
    <row r="734" spans="1:13" ht="20.100000000000001" customHeight="1" x14ac:dyDescent="0.2">
      <c r="A734" s="23">
        <f>ROW('Wash Sale Tracker'!A739)</f>
        <v>739</v>
      </c>
      <c r="B734" s="24"/>
      <c r="C734" s="24"/>
      <c r="D734" s="75"/>
      <c r="E734" s="76"/>
      <c r="F734" s="74"/>
      <c r="G734" s="76"/>
      <c r="H734" s="23"/>
      <c r="I734" s="24"/>
      <c r="J734" s="25"/>
      <c r="K734" s="24"/>
      <c r="L734" s="74"/>
      <c r="M734" s="24"/>
    </row>
    <row r="735" spans="1:13" ht="20.100000000000001" customHeight="1" x14ac:dyDescent="0.2">
      <c r="A735" s="23">
        <f>ROW('Wash Sale Tracker'!A740)</f>
        <v>740</v>
      </c>
      <c r="B735" s="24"/>
      <c r="C735" s="24"/>
      <c r="D735" s="75"/>
      <c r="E735" s="76"/>
      <c r="F735" s="74"/>
      <c r="G735" s="76"/>
      <c r="H735" s="23"/>
      <c r="I735" s="24"/>
      <c r="J735" s="25"/>
      <c r="K735" s="24"/>
      <c r="L735" s="74"/>
      <c r="M735" s="24"/>
    </row>
    <row r="736" spans="1:13" ht="20.100000000000001" customHeight="1" x14ac:dyDescent="0.2">
      <c r="A736" s="23">
        <f>ROW('Wash Sale Tracker'!A741)</f>
        <v>741</v>
      </c>
      <c r="B736" s="24"/>
      <c r="C736" s="24"/>
      <c r="D736" s="75"/>
      <c r="E736" s="76"/>
      <c r="F736" s="74"/>
      <c r="G736" s="76"/>
      <c r="H736" s="23"/>
      <c r="I736" s="24"/>
      <c r="J736" s="25"/>
      <c r="K736" s="24"/>
      <c r="L736" s="74"/>
      <c r="M736" s="24"/>
    </row>
    <row r="737" spans="1:13" ht="20.100000000000001" customHeight="1" x14ac:dyDescent="0.2">
      <c r="A737" s="23">
        <f>ROW('Wash Sale Tracker'!A742)</f>
        <v>742</v>
      </c>
      <c r="B737" s="24"/>
      <c r="C737" s="24"/>
      <c r="D737" s="75"/>
      <c r="E737" s="76"/>
      <c r="F737" s="74"/>
      <c r="G737" s="76"/>
      <c r="H737" s="23"/>
      <c r="I737" s="24"/>
      <c r="J737" s="25"/>
      <c r="K737" s="24"/>
      <c r="L737" s="74"/>
      <c r="M737" s="24"/>
    </row>
    <row r="738" spans="1:13" ht="20.100000000000001" customHeight="1" x14ac:dyDescent="0.2">
      <c r="A738" s="23">
        <f>ROW('Wash Sale Tracker'!A743)</f>
        <v>743</v>
      </c>
      <c r="B738" s="24"/>
      <c r="C738" s="24"/>
      <c r="D738" s="75"/>
      <c r="E738" s="76"/>
      <c r="F738" s="74"/>
      <c r="G738" s="76"/>
      <c r="H738" s="23"/>
      <c r="I738" s="24"/>
      <c r="J738" s="25"/>
      <c r="K738" s="24"/>
      <c r="L738" s="74"/>
      <c r="M738" s="24"/>
    </row>
    <row r="739" spans="1:13" ht="20.100000000000001" customHeight="1" x14ac:dyDescent="0.2">
      <c r="A739" s="23">
        <f>ROW('Wash Sale Tracker'!A744)</f>
        <v>744</v>
      </c>
      <c r="B739" s="24"/>
      <c r="C739" s="24"/>
      <c r="D739" s="75"/>
      <c r="E739" s="76"/>
      <c r="F739" s="74"/>
      <c r="G739" s="76"/>
      <c r="H739" s="23"/>
      <c r="I739" s="24"/>
      <c r="J739" s="25"/>
      <c r="K739" s="24"/>
      <c r="L739" s="74"/>
      <c r="M739" s="24"/>
    </row>
    <row r="740" spans="1:13" ht="20.100000000000001" customHeight="1" x14ac:dyDescent="0.2">
      <c r="A740" s="23">
        <f>ROW('Wash Sale Tracker'!A745)</f>
        <v>745</v>
      </c>
      <c r="B740" s="24"/>
      <c r="C740" s="24"/>
      <c r="D740" s="75"/>
      <c r="E740" s="76"/>
      <c r="F740" s="74"/>
      <c r="G740" s="76"/>
      <c r="H740" s="23"/>
      <c r="I740" s="24"/>
      <c r="J740" s="25"/>
      <c r="K740" s="24"/>
      <c r="L740" s="74"/>
      <c r="M740" s="24"/>
    </row>
    <row r="741" spans="1:13" ht="20.100000000000001" customHeight="1" x14ac:dyDescent="0.2">
      <c r="A741" s="23">
        <f>ROW('Wash Sale Tracker'!A746)</f>
        <v>746</v>
      </c>
      <c r="B741" s="24"/>
      <c r="C741" s="24"/>
      <c r="D741" s="75"/>
      <c r="E741" s="76"/>
      <c r="F741" s="74"/>
      <c r="G741" s="76"/>
      <c r="H741" s="23"/>
      <c r="I741" s="24"/>
      <c r="J741" s="25"/>
      <c r="K741" s="24"/>
      <c r="L741" s="74"/>
      <c r="M741" s="24"/>
    </row>
    <row r="742" spans="1:13" ht="20.100000000000001" customHeight="1" x14ac:dyDescent="0.2">
      <c r="A742" s="23">
        <f>ROW('Wash Sale Tracker'!A747)</f>
        <v>747</v>
      </c>
      <c r="B742" s="24"/>
      <c r="C742" s="24"/>
      <c r="D742" s="75"/>
      <c r="E742" s="76"/>
      <c r="F742" s="74"/>
      <c r="G742" s="76"/>
      <c r="H742" s="23"/>
      <c r="I742" s="24"/>
      <c r="J742" s="25"/>
      <c r="K742" s="24"/>
      <c r="L742" s="74"/>
      <c r="M742" s="24"/>
    </row>
    <row r="743" spans="1:13" ht="20.100000000000001" customHeight="1" x14ac:dyDescent="0.2">
      <c r="A743" s="23">
        <f>ROW('Wash Sale Tracker'!A748)</f>
        <v>748</v>
      </c>
      <c r="B743" s="24"/>
      <c r="C743" s="24"/>
      <c r="D743" s="75"/>
      <c r="E743" s="76"/>
      <c r="F743" s="74"/>
      <c r="G743" s="76"/>
      <c r="H743" s="23"/>
      <c r="I743" s="24"/>
      <c r="J743" s="25"/>
      <c r="K743" s="24"/>
      <c r="L743" s="74"/>
      <c r="M743" s="24"/>
    </row>
    <row r="744" spans="1:13" ht="20.100000000000001" customHeight="1" x14ac:dyDescent="0.2">
      <c r="A744" s="23">
        <f>ROW('Wash Sale Tracker'!A749)</f>
        <v>749</v>
      </c>
      <c r="B744" s="24"/>
      <c r="C744" s="24"/>
      <c r="D744" s="75"/>
      <c r="E744" s="76"/>
      <c r="F744" s="74"/>
      <c r="G744" s="76"/>
      <c r="H744" s="23"/>
      <c r="I744" s="24"/>
      <c r="J744" s="25"/>
      <c r="K744" s="24"/>
      <c r="L744" s="74"/>
      <c r="M744" s="24"/>
    </row>
    <row r="745" spans="1:13" ht="20.100000000000001" customHeight="1" x14ac:dyDescent="0.2">
      <c r="A745" s="23">
        <f>ROW('Wash Sale Tracker'!A750)</f>
        <v>750</v>
      </c>
      <c r="B745" s="24"/>
      <c r="C745" s="24"/>
      <c r="D745" s="75"/>
      <c r="E745" s="76"/>
      <c r="F745" s="74"/>
      <c r="G745" s="76"/>
      <c r="H745" s="23"/>
      <c r="I745" s="24"/>
      <c r="J745" s="25"/>
      <c r="K745" s="24"/>
      <c r="L745" s="74"/>
      <c r="M745" s="24"/>
    </row>
    <row r="746" spans="1:13" ht="20.100000000000001" customHeight="1" x14ac:dyDescent="0.2">
      <c r="A746" s="23">
        <f>ROW('Wash Sale Tracker'!A751)</f>
        <v>751</v>
      </c>
      <c r="B746" s="24"/>
      <c r="C746" s="24"/>
      <c r="D746" s="75"/>
      <c r="E746" s="76"/>
      <c r="F746" s="74"/>
      <c r="G746" s="76"/>
      <c r="H746" s="23"/>
      <c r="I746" s="24"/>
      <c r="J746" s="25"/>
      <c r="K746" s="24"/>
      <c r="L746" s="74"/>
      <c r="M746" s="24"/>
    </row>
    <row r="747" spans="1:13" ht="20.100000000000001" customHeight="1" x14ac:dyDescent="0.2">
      <c r="A747" s="23">
        <f>ROW('Wash Sale Tracker'!A752)</f>
        <v>752</v>
      </c>
      <c r="B747" s="24"/>
      <c r="C747" s="24"/>
      <c r="D747" s="75"/>
      <c r="E747" s="76"/>
      <c r="F747" s="74"/>
      <c r="G747" s="76"/>
      <c r="H747" s="23"/>
      <c r="I747" s="24"/>
      <c r="J747" s="25"/>
      <c r="K747" s="24"/>
      <c r="L747" s="74"/>
      <c r="M747" s="24"/>
    </row>
    <row r="748" spans="1:13" ht="20.100000000000001" customHeight="1" x14ac:dyDescent="0.2">
      <c r="A748" s="23">
        <f>ROW('Wash Sale Tracker'!A753)</f>
        <v>753</v>
      </c>
      <c r="B748" s="24"/>
      <c r="C748" s="24"/>
      <c r="D748" s="75"/>
      <c r="E748" s="76"/>
      <c r="F748" s="74"/>
      <c r="G748" s="76"/>
      <c r="H748" s="23"/>
      <c r="I748" s="24"/>
      <c r="J748" s="25"/>
      <c r="K748" s="24"/>
      <c r="L748" s="74"/>
      <c r="M748" s="24"/>
    </row>
    <row r="749" spans="1:13" ht="20.100000000000001" customHeight="1" x14ac:dyDescent="0.2">
      <c r="A749" s="23">
        <f>ROW('Wash Sale Tracker'!A754)</f>
        <v>754</v>
      </c>
      <c r="B749" s="24"/>
      <c r="C749" s="24"/>
      <c r="D749" s="75"/>
      <c r="E749" s="76"/>
      <c r="F749" s="74"/>
      <c r="G749" s="76"/>
      <c r="H749" s="23"/>
      <c r="I749" s="24"/>
      <c r="J749" s="25"/>
      <c r="K749" s="24"/>
      <c r="L749" s="74"/>
      <c r="M749" s="24"/>
    </row>
    <row r="750" spans="1:13" ht="20.100000000000001" customHeight="1" x14ac:dyDescent="0.2">
      <c r="A750" s="23">
        <f>ROW('Wash Sale Tracker'!A755)</f>
        <v>755</v>
      </c>
      <c r="B750" s="24"/>
      <c r="C750" s="24"/>
      <c r="D750" s="75"/>
      <c r="E750" s="76"/>
      <c r="F750" s="74"/>
      <c r="G750" s="76"/>
      <c r="H750" s="23"/>
      <c r="I750" s="24"/>
      <c r="J750" s="25"/>
      <c r="K750" s="24"/>
      <c r="L750" s="74"/>
      <c r="M750" s="24"/>
    </row>
    <row r="751" spans="1:13" ht="20.100000000000001" customHeight="1" x14ac:dyDescent="0.2">
      <c r="A751" s="23">
        <f>ROW('Wash Sale Tracker'!A756)</f>
        <v>756</v>
      </c>
      <c r="B751" s="24"/>
      <c r="C751" s="24"/>
      <c r="D751" s="75"/>
      <c r="E751" s="76"/>
      <c r="F751" s="74"/>
      <c r="G751" s="76"/>
      <c r="H751" s="23"/>
      <c r="I751" s="24"/>
      <c r="J751" s="25"/>
      <c r="K751" s="24"/>
      <c r="L751" s="74"/>
      <c r="M751" s="24"/>
    </row>
    <row r="752" spans="1:13" ht="20.100000000000001" customHeight="1" x14ac:dyDescent="0.2">
      <c r="A752" s="23">
        <f>ROW('Wash Sale Tracker'!A757)</f>
        <v>757</v>
      </c>
      <c r="B752" s="24"/>
      <c r="C752" s="24"/>
      <c r="D752" s="75"/>
      <c r="E752" s="76"/>
      <c r="F752" s="74"/>
      <c r="G752" s="76"/>
      <c r="H752" s="23"/>
      <c r="I752" s="24"/>
      <c r="J752" s="25"/>
      <c r="K752" s="24"/>
      <c r="L752" s="74"/>
      <c r="M752" s="24"/>
    </row>
    <row r="753" spans="1:13" ht="20.100000000000001" customHeight="1" x14ac:dyDescent="0.2">
      <c r="A753" s="23">
        <f>ROW('Wash Sale Tracker'!A758)</f>
        <v>758</v>
      </c>
      <c r="B753" s="24"/>
      <c r="C753" s="24"/>
      <c r="D753" s="75"/>
      <c r="E753" s="76"/>
      <c r="F753" s="74"/>
      <c r="G753" s="76"/>
      <c r="H753" s="23"/>
      <c r="I753" s="24"/>
      <c r="J753" s="25"/>
      <c r="K753" s="24"/>
      <c r="L753" s="74"/>
      <c r="M753" s="24"/>
    </row>
    <row r="754" spans="1:13" ht="20.100000000000001" customHeight="1" x14ac:dyDescent="0.2">
      <c r="A754" s="23">
        <f>ROW('Wash Sale Tracker'!A759)</f>
        <v>759</v>
      </c>
      <c r="B754" s="24"/>
      <c r="C754" s="24"/>
      <c r="D754" s="75"/>
      <c r="E754" s="76"/>
      <c r="F754" s="74"/>
      <c r="G754" s="76"/>
      <c r="H754" s="23"/>
      <c r="I754" s="24"/>
      <c r="J754" s="25"/>
      <c r="K754" s="24"/>
      <c r="L754" s="74"/>
      <c r="M754" s="24"/>
    </row>
    <row r="755" spans="1:13" ht="20.100000000000001" customHeight="1" x14ac:dyDescent="0.2">
      <c r="A755" s="23">
        <f>ROW('Wash Sale Tracker'!A760)</f>
        <v>760</v>
      </c>
      <c r="B755" s="24"/>
      <c r="C755" s="24"/>
      <c r="D755" s="75"/>
      <c r="E755" s="76"/>
      <c r="F755" s="74"/>
      <c r="G755" s="76"/>
      <c r="H755" s="23"/>
      <c r="I755" s="24"/>
      <c r="J755" s="25"/>
      <c r="K755" s="24"/>
      <c r="L755" s="74"/>
      <c r="M755" s="24"/>
    </row>
    <row r="756" spans="1:13" ht="20.100000000000001" customHeight="1" x14ac:dyDescent="0.2">
      <c r="A756" s="23">
        <f>ROW('Wash Sale Tracker'!A761)</f>
        <v>761</v>
      </c>
      <c r="B756" s="24"/>
      <c r="C756" s="24"/>
      <c r="D756" s="75"/>
      <c r="E756" s="76"/>
      <c r="F756" s="74"/>
      <c r="G756" s="76"/>
      <c r="H756" s="23"/>
      <c r="I756" s="24"/>
      <c r="J756" s="25"/>
      <c r="K756" s="24"/>
      <c r="L756" s="74"/>
      <c r="M756" s="24"/>
    </row>
    <row r="757" spans="1:13" ht="20.100000000000001" customHeight="1" x14ac:dyDescent="0.2">
      <c r="A757" s="23">
        <f>ROW('Wash Sale Tracker'!A762)</f>
        <v>762</v>
      </c>
      <c r="B757" s="24"/>
      <c r="C757" s="24"/>
      <c r="D757" s="75"/>
      <c r="E757" s="76"/>
      <c r="F757" s="74"/>
      <c r="G757" s="76"/>
      <c r="H757" s="23"/>
      <c r="I757" s="24"/>
      <c r="J757" s="25"/>
      <c r="K757" s="24"/>
      <c r="L757" s="74"/>
      <c r="M757" s="24"/>
    </row>
    <row r="758" spans="1:13" ht="20.100000000000001" customHeight="1" x14ac:dyDescent="0.2">
      <c r="A758" s="23">
        <f>ROW('Wash Sale Tracker'!A763)</f>
        <v>763</v>
      </c>
      <c r="B758" s="24"/>
      <c r="C758" s="24"/>
      <c r="D758" s="75"/>
      <c r="E758" s="76"/>
      <c r="F758" s="74"/>
      <c r="G758" s="76"/>
      <c r="H758" s="23"/>
      <c r="I758" s="24"/>
      <c r="J758" s="25"/>
      <c r="K758" s="24"/>
      <c r="L758" s="74"/>
      <c r="M758" s="24"/>
    </row>
    <row r="759" spans="1:13" ht="20.100000000000001" customHeight="1" x14ac:dyDescent="0.2">
      <c r="A759" s="23">
        <f>ROW('Wash Sale Tracker'!A764)</f>
        <v>764</v>
      </c>
      <c r="B759" s="24"/>
      <c r="C759" s="24"/>
      <c r="D759" s="75"/>
      <c r="E759" s="76"/>
      <c r="F759" s="74"/>
      <c r="G759" s="76"/>
      <c r="H759" s="23"/>
      <c r="I759" s="24"/>
      <c r="J759" s="25"/>
      <c r="K759" s="24"/>
      <c r="L759" s="74"/>
      <c r="M759" s="24"/>
    </row>
    <row r="760" spans="1:13" ht="20.100000000000001" customHeight="1" x14ac:dyDescent="0.2">
      <c r="A760" s="23">
        <f>ROW('Wash Sale Tracker'!A765)</f>
        <v>765</v>
      </c>
      <c r="B760" s="24"/>
      <c r="C760" s="24"/>
      <c r="D760" s="75"/>
      <c r="E760" s="76"/>
      <c r="F760" s="74"/>
      <c r="G760" s="76"/>
      <c r="H760" s="23"/>
      <c r="I760" s="24"/>
      <c r="J760" s="25"/>
      <c r="K760" s="24"/>
      <c r="L760" s="74"/>
      <c r="M760" s="24"/>
    </row>
    <row r="761" spans="1:13" ht="20.100000000000001" customHeight="1" x14ac:dyDescent="0.2">
      <c r="A761" s="23">
        <f>ROW('Wash Sale Tracker'!A766)</f>
        <v>766</v>
      </c>
      <c r="B761" s="24"/>
      <c r="C761" s="24"/>
      <c r="D761" s="75"/>
      <c r="E761" s="76"/>
      <c r="F761" s="74"/>
      <c r="G761" s="76"/>
      <c r="H761" s="23"/>
      <c r="I761" s="24"/>
      <c r="J761" s="25"/>
      <c r="K761" s="24"/>
      <c r="L761" s="74"/>
      <c r="M761" s="24"/>
    </row>
    <row r="762" spans="1:13" ht="20.100000000000001" customHeight="1" x14ac:dyDescent="0.2">
      <c r="A762" s="23">
        <f>ROW('Wash Sale Tracker'!A767)</f>
        <v>767</v>
      </c>
      <c r="B762" s="24"/>
      <c r="C762" s="24"/>
      <c r="D762" s="75"/>
      <c r="E762" s="76"/>
      <c r="F762" s="74"/>
      <c r="G762" s="76"/>
      <c r="H762" s="23"/>
      <c r="I762" s="24"/>
      <c r="J762" s="25"/>
      <c r="K762" s="24"/>
      <c r="L762" s="74"/>
      <c r="M762" s="24"/>
    </row>
    <row r="763" spans="1:13" ht="20.100000000000001" customHeight="1" x14ac:dyDescent="0.2">
      <c r="A763" s="23">
        <f>ROW('Wash Sale Tracker'!A768)</f>
        <v>768</v>
      </c>
      <c r="B763" s="24"/>
      <c r="C763" s="24"/>
      <c r="D763" s="75"/>
      <c r="E763" s="76"/>
      <c r="F763" s="74"/>
      <c r="G763" s="76"/>
      <c r="H763" s="23"/>
      <c r="I763" s="24"/>
      <c r="J763" s="25"/>
      <c r="K763" s="24"/>
      <c r="L763" s="74"/>
      <c r="M763" s="24"/>
    </row>
    <row r="764" spans="1:13" ht="20.100000000000001" customHeight="1" x14ac:dyDescent="0.2">
      <c r="A764" s="23">
        <f>ROW('Wash Sale Tracker'!A769)</f>
        <v>769</v>
      </c>
      <c r="B764" s="24"/>
      <c r="C764" s="24"/>
      <c r="D764" s="75"/>
      <c r="E764" s="76"/>
      <c r="F764" s="74"/>
      <c r="G764" s="76"/>
      <c r="H764" s="23"/>
      <c r="I764" s="24"/>
      <c r="J764" s="25"/>
      <c r="K764" s="24"/>
      <c r="L764" s="74"/>
      <c r="M764" s="24"/>
    </row>
    <row r="765" spans="1:13" ht="20.100000000000001" customHeight="1" x14ac:dyDescent="0.2">
      <c r="A765" s="23">
        <f>ROW('Wash Sale Tracker'!A770)</f>
        <v>770</v>
      </c>
      <c r="B765" s="24"/>
      <c r="C765" s="24"/>
      <c r="D765" s="75"/>
      <c r="E765" s="76"/>
      <c r="F765" s="74"/>
      <c r="G765" s="76"/>
      <c r="H765" s="23"/>
      <c r="I765" s="24"/>
      <c r="J765" s="25"/>
      <c r="K765" s="24"/>
      <c r="L765" s="74"/>
      <c r="M765" s="24"/>
    </row>
    <row r="766" spans="1:13" ht="20.100000000000001" customHeight="1" x14ac:dyDescent="0.2">
      <c r="A766" s="23">
        <f>ROW('Wash Sale Tracker'!A771)</f>
        <v>771</v>
      </c>
      <c r="B766" s="24"/>
      <c r="C766" s="24"/>
      <c r="D766" s="75"/>
      <c r="E766" s="76"/>
      <c r="F766" s="74"/>
      <c r="G766" s="76"/>
      <c r="H766" s="23"/>
      <c r="I766" s="24"/>
      <c r="J766" s="25"/>
      <c r="K766" s="24"/>
      <c r="L766" s="74"/>
      <c r="M766" s="24"/>
    </row>
    <row r="767" spans="1:13" ht="20.100000000000001" customHeight="1" x14ac:dyDescent="0.2">
      <c r="A767" s="23">
        <f>ROW('Wash Sale Tracker'!A772)</f>
        <v>772</v>
      </c>
      <c r="B767" s="24"/>
      <c r="C767" s="24"/>
      <c r="D767" s="75"/>
      <c r="E767" s="76"/>
      <c r="F767" s="74"/>
      <c r="G767" s="76"/>
      <c r="H767" s="23"/>
      <c r="I767" s="24"/>
      <c r="J767" s="25"/>
      <c r="K767" s="24"/>
      <c r="L767" s="74"/>
      <c r="M767" s="24"/>
    </row>
    <row r="768" spans="1:13" ht="20.100000000000001" customHeight="1" x14ac:dyDescent="0.2">
      <c r="A768" s="23">
        <f>ROW('Wash Sale Tracker'!A773)</f>
        <v>773</v>
      </c>
      <c r="B768" s="24"/>
      <c r="C768" s="24"/>
      <c r="D768" s="75"/>
      <c r="E768" s="76"/>
      <c r="F768" s="74"/>
      <c r="G768" s="76"/>
      <c r="H768" s="23"/>
      <c r="I768" s="24"/>
      <c r="J768" s="25"/>
      <c r="K768" s="24"/>
      <c r="L768" s="74"/>
      <c r="M768" s="24"/>
    </row>
    <row r="769" spans="1:13" ht="20.100000000000001" customHeight="1" x14ac:dyDescent="0.2">
      <c r="A769" s="23">
        <f>ROW('Wash Sale Tracker'!A774)</f>
        <v>774</v>
      </c>
      <c r="B769" s="24"/>
      <c r="C769" s="24"/>
      <c r="D769" s="75"/>
      <c r="E769" s="76"/>
      <c r="F769" s="74"/>
      <c r="G769" s="76"/>
      <c r="H769" s="23"/>
      <c r="I769" s="24"/>
      <c r="J769" s="25"/>
      <c r="K769" s="24"/>
      <c r="L769" s="74"/>
      <c r="M769" s="24"/>
    </row>
    <row r="770" spans="1:13" ht="20.100000000000001" customHeight="1" x14ac:dyDescent="0.2">
      <c r="A770" s="23">
        <f>ROW('Wash Sale Tracker'!A775)</f>
        <v>775</v>
      </c>
      <c r="B770" s="24"/>
      <c r="C770" s="24"/>
      <c r="D770" s="75"/>
      <c r="E770" s="76"/>
      <c r="F770" s="74"/>
      <c r="G770" s="76"/>
      <c r="H770" s="23"/>
      <c r="I770" s="24"/>
      <c r="J770" s="25"/>
      <c r="K770" s="24"/>
      <c r="L770" s="74"/>
      <c r="M770" s="24"/>
    </row>
    <row r="771" spans="1:13" ht="20.100000000000001" customHeight="1" x14ac:dyDescent="0.2">
      <c r="A771" s="23">
        <f>ROW('Wash Sale Tracker'!A776)</f>
        <v>776</v>
      </c>
      <c r="B771" s="24"/>
      <c r="C771" s="24"/>
      <c r="D771" s="75"/>
      <c r="E771" s="76"/>
      <c r="F771" s="74"/>
      <c r="G771" s="76"/>
      <c r="H771" s="23"/>
      <c r="I771" s="24"/>
      <c r="J771" s="25"/>
      <c r="K771" s="24"/>
      <c r="L771" s="74"/>
      <c r="M771" s="24"/>
    </row>
    <row r="772" spans="1:13" ht="20.100000000000001" customHeight="1" x14ac:dyDescent="0.2">
      <c r="A772" s="23">
        <f>ROW('Wash Sale Tracker'!A777)</f>
        <v>777</v>
      </c>
      <c r="B772" s="24"/>
      <c r="C772" s="24"/>
      <c r="D772" s="75"/>
      <c r="E772" s="76"/>
      <c r="F772" s="74"/>
      <c r="G772" s="76"/>
      <c r="H772" s="23"/>
      <c r="I772" s="24"/>
      <c r="J772" s="25"/>
      <c r="K772" s="24"/>
      <c r="L772" s="74"/>
      <c r="M772" s="24"/>
    </row>
    <row r="773" spans="1:13" ht="20.100000000000001" customHeight="1" x14ac:dyDescent="0.2">
      <c r="A773" s="23">
        <f>ROW('Wash Sale Tracker'!A778)</f>
        <v>778</v>
      </c>
      <c r="B773" s="24"/>
      <c r="C773" s="24"/>
      <c r="D773" s="75"/>
      <c r="E773" s="76"/>
      <c r="F773" s="74"/>
      <c r="G773" s="76"/>
      <c r="H773" s="23"/>
      <c r="I773" s="24"/>
      <c r="J773" s="25"/>
      <c r="K773" s="24"/>
      <c r="L773" s="74"/>
      <c r="M773" s="24"/>
    </row>
    <row r="774" spans="1:13" ht="20.100000000000001" customHeight="1" x14ac:dyDescent="0.2">
      <c r="A774" s="23">
        <f>ROW('Wash Sale Tracker'!A779)</f>
        <v>779</v>
      </c>
      <c r="B774" s="24"/>
      <c r="C774" s="24"/>
      <c r="D774" s="75"/>
      <c r="E774" s="76"/>
      <c r="F774" s="74"/>
      <c r="G774" s="76"/>
      <c r="H774" s="23"/>
      <c r="I774" s="24"/>
      <c r="J774" s="25"/>
      <c r="K774" s="24"/>
      <c r="L774" s="74"/>
      <c r="M774" s="24"/>
    </row>
    <row r="775" spans="1:13" ht="20.100000000000001" customHeight="1" x14ac:dyDescent="0.2">
      <c r="A775" s="23">
        <f>ROW('Wash Sale Tracker'!A780)</f>
        <v>780</v>
      </c>
      <c r="B775" s="24"/>
      <c r="C775" s="24"/>
      <c r="D775" s="75"/>
      <c r="E775" s="76"/>
      <c r="F775" s="74"/>
      <c r="G775" s="76"/>
      <c r="H775" s="23"/>
      <c r="I775" s="24"/>
      <c r="J775" s="25"/>
      <c r="K775" s="24"/>
      <c r="L775" s="74"/>
      <c r="M775" s="24"/>
    </row>
    <row r="776" spans="1:13" ht="20.100000000000001" customHeight="1" x14ac:dyDescent="0.2">
      <c r="A776" s="23">
        <f>ROW('Wash Sale Tracker'!A781)</f>
        <v>781</v>
      </c>
      <c r="B776" s="24"/>
      <c r="C776" s="24"/>
      <c r="D776" s="75"/>
      <c r="E776" s="76"/>
      <c r="F776" s="74"/>
      <c r="G776" s="76"/>
      <c r="H776" s="23"/>
      <c r="I776" s="24"/>
      <c r="J776" s="25"/>
      <c r="K776" s="24"/>
      <c r="L776" s="74"/>
      <c r="M776" s="24"/>
    </row>
    <row r="777" spans="1:13" ht="20.100000000000001" customHeight="1" x14ac:dyDescent="0.2">
      <c r="A777" s="23">
        <f>ROW('Wash Sale Tracker'!A782)</f>
        <v>782</v>
      </c>
      <c r="B777" s="24"/>
      <c r="C777" s="24"/>
      <c r="D777" s="75"/>
      <c r="E777" s="76"/>
      <c r="F777" s="74"/>
      <c r="G777" s="76"/>
      <c r="H777" s="23"/>
      <c r="I777" s="24"/>
      <c r="J777" s="25"/>
      <c r="K777" s="24"/>
      <c r="L777" s="74"/>
      <c r="M777" s="24"/>
    </row>
    <row r="778" spans="1:13" ht="20.100000000000001" customHeight="1" x14ac:dyDescent="0.2">
      <c r="A778" s="23">
        <f>ROW('Wash Sale Tracker'!A783)</f>
        <v>783</v>
      </c>
      <c r="B778" s="24"/>
      <c r="C778" s="24"/>
      <c r="D778" s="75"/>
      <c r="E778" s="76"/>
      <c r="F778" s="74"/>
      <c r="G778" s="76"/>
      <c r="H778" s="23"/>
      <c r="I778" s="24"/>
      <c r="J778" s="25"/>
      <c r="K778" s="24"/>
      <c r="L778" s="74"/>
      <c r="M778" s="24"/>
    </row>
    <row r="779" spans="1:13" ht="20.100000000000001" customHeight="1" x14ac:dyDescent="0.2">
      <c r="A779" s="23">
        <f>ROW('Wash Sale Tracker'!A784)</f>
        <v>784</v>
      </c>
      <c r="B779" s="24"/>
      <c r="C779" s="24"/>
      <c r="D779" s="75"/>
      <c r="E779" s="76"/>
      <c r="F779" s="74"/>
      <c r="G779" s="76"/>
      <c r="H779" s="23"/>
      <c r="I779" s="24"/>
      <c r="J779" s="25"/>
      <c r="K779" s="24"/>
      <c r="L779" s="74"/>
      <c r="M779" s="24"/>
    </row>
    <row r="780" spans="1:13" ht="20.100000000000001" customHeight="1" x14ac:dyDescent="0.2">
      <c r="A780" s="23">
        <f>ROW('Wash Sale Tracker'!A785)</f>
        <v>785</v>
      </c>
      <c r="B780" s="24"/>
      <c r="C780" s="24"/>
      <c r="D780" s="75"/>
      <c r="E780" s="76"/>
      <c r="F780" s="74"/>
      <c r="G780" s="76"/>
      <c r="H780" s="23"/>
      <c r="I780" s="24"/>
      <c r="J780" s="25"/>
      <c r="K780" s="24"/>
      <c r="L780" s="74"/>
      <c r="M780" s="24"/>
    </row>
    <row r="781" spans="1:13" ht="20.100000000000001" customHeight="1" x14ac:dyDescent="0.2">
      <c r="A781" s="23">
        <f>ROW('Wash Sale Tracker'!A786)</f>
        <v>786</v>
      </c>
      <c r="B781" s="24"/>
      <c r="C781" s="24"/>
      <c r="D781" s="75"/>
      <c r="E781" s="76"/>
      <c r="F781" s="74"/>
      <c r="G781" s="76"/>
      <c r="H781" s="23"/>
      <c r="I781" s="24"/>
      <c r="J781" s="25"/>
      <c r="K781" s="24"/>
      <c r="L781" s="74"/>
      <c r="M781" s="24"/>
    </row>
    <row r="782" spans="1:13" ht="20.100000000000001" customHeight="1" x14ac:dyDescent="0.2">
      <c r="A782" s="23">
        <f>ROW('Wash Sale Tracker'!A787)</f>
        <v>787</v>
      </c>
      <c r="B782" s="24"/>
      <c r="C782" s="24"/>
      <c r="D782" s="75"/>
      <c r="E782" s="76"/>
      <c r="F782" s="74"/>
      <c r="G782" s="76"/>
      <c r="H782" s="23"/>
      <c r="I782" s="24"/>
      <c r="J782" s="25"/>
      <c r="K782" s="24"/>
      <c r="L782" s="74"/>
      <c r="M782" s="24"/>
    </row>
    <row r="783" spans="1:13" ht="20.100000000000001" customHeight="1" x14ac:dyDescent="0.2">
      <c r="A783" s="23">
        <f>ROW('Wash Sale Tracker'!A788)</f>
        <v>788</v>
      </c>
      <c r="B783" s="24"/>
      <c r="C783" s="24"/>
      <c r="D783" s="75"/>
      <c r="E783" s="76"/>
      <c r="F783" s="74"/>
      <c r="G783" s="76"/>
      <c r="H783" s="23"/>
      <c r="I783" s="24"/>
      <c r="J783" s="25"/>
      <c r="K783" s="24"/>
      <c r="L783" s="74"/>
      <c r="M783" s="24"/>
    </row>
    <row r="784" spans="1:13" ht="20.100000000000001" customHeight="1" x14ac:dyDescent="0.2">
      <c r="A784" s="23">
        <f>ROW('Wash Sale Tracker'!A789)</f>
        <v>789</v>
      </c>
      <c r="B784" s="24"/>
      <c r="C784" s="24"/>
      <c r="D784" s="75"/>
      <c r="E784" s="76"/>
      <c r="F784" s="74"/>
      <c r="G784" s="76"/>
      <c r="H784" s="23"/>
      <c r="I784" s="24"/>
      <c r="J784" s="25"/>
      <c r="K784" s="24"/>
      <c r="L784" s="74"/>
      <c r="M784" s="24"/>
    </row>
    <row r="785" spans="1:13" ht="20.100000000000001" customHeight="1" x14ac:dyDescent="0.2">
      <c r="A785" s="23">
        <f>ROW('Wash Sale Tracker'!A790)</f>
        <v>790</v>
      </c>
      <c r="B785" s="24"/>
      <c r="C785" s="24"/>
      <c r="D785" s="75"/>
      <c r="E785" s="76"/>
      <c r="F785" s="74"/>
      <c r="G785" s="76"/>
      <c r="H785" s="23"/>
      <c r="I785" s="24"/>
      <c r="J785" s="25"/>
      <c r="K785" s="24"/>
      <c r="L785" s="74"/>
      <c r="M785" s="24"/>
    </row>
    <row r="786" spans="1:13" ht="20.100000000000001" customHeight="1" x14ac:dyDescent="0.2">
      <c r="A786" s="23">
        <f>ROW('Wash Sale Tracker'!A791)</f>
        <v>791</v>
      </c>
      <c r="B786" s="24"/>
      <c r="C786" s="24"/>
      <c r="D786" s="75"/>
      <c r="E786" s="76"/>
      <c r="F786" s="74"/>
      <c r="G786" s="76"/>
      <c r="H786" s="23"/>
      <c r="I786" s="24"/>
      <c r="J786" s="25"/>
      <c r="K786" s="24"/>
      <c r="L786" s="74"/>
      <c r="M786" s="24"/>
    </row>
    <row r="787" spans="1:13" ht="20.100000000000001" customHeight="1" x14ac:dyDescent="0.2">
      <c r="A787" s="23">
        <f>ROW('Wash Sale Tracker'!A792)</f>
        <v>792</v>
      </c>
      <c r="B787" s="24"/>
      <c r="C787" s="24"/>
      <c r="D787" s="75"/>
      <c r="E787" s="76"/>
      <c r="F787" s="74"/>
      <c r="G787" s="76"/>
      <c r="H787" s="23"/>
      <c r="I787" s="24"/>
      <c r="J787" s="25"/>
      <c r="K787" s="24"/>
      <c r="L787" s="74"/>
      <c r="M787" s="24"/>
    </row>
    <row r="788" spans="1:13" ht="20.100000000000001" customHeight="1" x14ac:dyDescent="0.2">
      <c r="A788" s="23">
        <f>ROW('Wash Sale Tracker'!A793)</f>
        <v>793</v>
      </c>
      <c r="B788" s="24"/>
      <c r="C788" s="24"/>
      <c r="D788" s="75"/>
      <c r="E788" s="76"/>
      <c r="F788" s="74"/>
      <c r="G788" s="76"/>
      <c r="H788" s="23"/>
      <c r="I788" s="24"/>
      <c r="J788" s="25"/>
      <c r="K788" s="24"/>
      <c r="L788" s="74"/>
      <c r="M788" s="24"/>
    </row>
    <row r="789" spans="1:13" ht="20.100000000000001" customHeight="1" x14ac:dyDescent="0.2">
      <c r="A789" s="23">
        <f>ROW('Wash Sale Tracker'!A794)</f>
        <v>794</v>
      </c>
      <c r="B789" s="24"/>
      <c r="C789" s="24"/>
      <c r="D789" s="75"/>
      <c r="E789" s="76"/>
      <c r="F789" s="74"/>
      <c r="G789" s="76"/>
      <c r="H789" s="23"/>
      <c r="I789" s="24"/>
      <c r="J789" s="25"/>
      <c r="K789" s="24"/>
      <c r="L789" s="74"/>
      <c r="M789" s="24"/>
    </row>
    <row r="790" spans="1:13" ht="20.100000000000001" customHeight="1" x14ac:dyDescent="0.2">
      <c r="A790" s="23">
        <f>ROW('Wash Sale Tracker'!A795)</f>
        <v>795</v>
      </c>
      <c r="B790" s="24"/>
      <c r="C790" s="24"/>
      <c r="D790" s="75"/>
      <c r="E790" s="76"/>
      <c r="F790" s="74"/>
      <c r="G790" s="76"/>
      <c r="H790" s="23"/>
      <c r="I790" s="24"/>
      <c r="J790" s="25"/>
      <c r="K790" s="24"/>
      <c r="L790" s="74"/>
      <c r="M790" s="24"/>
    </row>
    <row r="791" spans="1:13" ht="20.100000000000001" customHeight="1" x14ac:dyDescent="0.2">
      <c r="A791" s="23">
        <f>ROW('Wash Sale Tracker'!A796)</f>
        <v>796</v>
      </c>
      <c r="B791" s="24"/>
      <c r="C791" s="24"/>
      <c r="D791" s="75"/>
      <c r="E791" s="76"/>
      <c r="F791" s="74"/>
      <c r="G791" s="76"/>
      <c r="H791" s="23"/>
      <c r="I791" s="24"/>
      <c r="J791" s="25"/>
      <c r="K791" s="24"/>
      <c r="L791" s="74"/>
      <c r="M791" s="24"/>
    </row>
  </sheetData>
  <mergeCells count="6">
    <mergeCell ref="A1:M1"/>
    <mergeCell ref="A5:M5"/>
    <mergeCell ref="A6:M6"/>
    <mergeCell ref="A4:M4"/>
    <mergeCell ref="A7:M7"/>
    <mergeCell ref="A2:M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workbookViewId="0"/>
  </sheetViews>
  <sheetFormatPr defaultRowHeight="15" x14ac:dyDescent="0.2"/>
  <cols>
    <col min="1" max="1" width="6.05078125" style="53" customWidth="1"/>
    <col min="2" max="2" width="23.9453125" style="53" customWidth="1"/>
    <col min="3" max="3" width="85.015625" style="53" customWidth="1"/>
    <col min="4" max="6" width="4.03515625" style="53" customWidth="1"/>
  </cols>
  <sheetData>
    <row r="1" spans="1:6" ht="20.100000000000001" customHeight="1" x14ac:dyDescent="0.2">
      <c r="A1" s="95" t="s">
        <v>77</v>
      </c>
      <c r="B1" s="78"/>
      <c r="C1" s="78"/>
      <c r="D1" s="78"/>
      <c r="E1" s="78"/>
      <c r="F1" s="78"/>
    </row>
    <row r="2" spans="1:6" ht="20.100000000000001" customHeight="1" x14ac:dyDescent="0.2">
      <c r="A2" s="14"/>
      <c r="B2" s="14"/>
      <c r="C2" s="14"/>
      <c r="D2" s="14"/>
      <c r="E2" s="14"/>
      <c r="F2" s="14"/>
    </row>
    <row r="3" spans="1:6" ht="20.100000000000001" customHeight="1" x14ac:dyDescent="0.2">
      <c r="A3" s="97" t="s">
        <v>78</v>
      </c>
      <c r="B3" s="78"/>
      <c r="C3" s="78"/>
      <c r="D3" s="78"/>
      <c r="E3" s="78"/>
      <c r="F3" s="78"/>
    </row>
    <row r="4" spans="1:6" ht="20.100000000000001" customHeight="1" x14ac:dyDescent="0.2">
      <c r="A4" s="15" t="s">
        <v>79</v>
      </c>
      <c r="B4" s="14" t="s">
        <v>80</v>
      </c>
      <c r="C4" s="14" t="s">
        <v>81</v>
      </c>
      <c r="D4" s="14"/>
      <c r="E4" s="14"/>
      <c r="F4" s="14"/>
    </row>
    <row r="5" spans="1:6" ht="20.100000000000001" customHeight="1" x14ac:dyDescent="0.2">
      <c r="A5" s="15" t="s">
        <v>82</v>
      </c>
      <c r="B5" s="14" t="s">
        <v>83</v>
      </c>
      <c r="C5" s="14" t="s">
        <v>84</v>
      </c>
      <c r="D5" s="14"/>
      <c r="E5" s="14"/>
      <c r="F5" s="14"/>
    </row>
    <row r="6" spans="1:6" ht="20.100000000000001" customHeight="1" x14ac:dyDescent="0.2">
      <c r="A6" s="15" t="s">
        <v>85</v>
      </c>
      <c r="B6" s="14" t="s">
        <v>86</v>
      </c>
      <c r="C6" s="14" t="s">
        <v>87</v>
      </c>
      <c r="D6" s="14"/>
      <c r="E6" s="14"/>
      <c r="F6" s="14"/>
    </row>
    <row r="7" spans="1:6" ht="20.100000000000001" customHeight="1" x14ac:dyDescent="0.2">
      <c r="A7" s="15" t="s">
        <v>88</v>
      </c>
      <c r="B7" s="14" t="s">
        <v>89</v>
      </c>
      <c r="C7" s="14" t="s">
        <v>90</v>
      </c>
      <c r="D7" s="14"/>
      <c r="E7" s="14"/>
      <c r="F7" s="14"/>
    </row>
    <row r="8" spans="1:6" ht="20.100000000000001" customHeight="1" x14ac:dyDescent="0.2">
      <c r="A8" s="14" t="s">
        <v>91</v>
      </c>
      <c r="B8" s="14" t="s">
        <v>92</v>
      </c>
      <c r="C8" s="14" t="s">
        <v>93</v>
      </c>
      <c r="D8" s="14"/>
      <c r="E8" s="14"/>
      <c r="F8" s="14"/>
    </row>
    <row r="9" spans="1:6" ht="20.100000000000001" customHeight="1" x14ac:dyDescent="0.2">
      <c r="A9" s="96"/>
      <c r="B9" s="78"/>
      <c r="C9" s="78"/>
      <c r="D9" s="78"/>
      <c r="E9" s="78"/>
      <c r="F9" s="78"/>
    </row>
    <row r="10" spans="1:6" ht="20.100000000000001" customHeight="1" x14ac:dyDescent="0.2">
      <c r="A10" s="94" t="s">
        <v>94</v>
      </c>
      <c r="B10" s="78"/>
      <c r="C10" s="78"/>
      <c r="D10" s="78"/>
      <c r="E10" s="78"/>
      <c r="F10" s="78"/>
    </row>
    <row r="11" spans="1:6" ht="20.100000000000001" customHeight="1" x14ac:dyDescent="0.2">
      <c r="A11" s="14" t="s">
        <v>95</v>
      </c>
      <c r="B11" s="14" t="s">
        <v>96</v>
      </c>
      <c r="C11" s="14" t="s">
        <v>97</v>
      </c>
      <c r="D11" s="14"/>
      <c r="E11" s="14"/>
      <c r="F11" s="14"/>
    </row>
    <row r="12" spans="1:6" ht="20.100000000000001" customHeight="1" x14ac:dyDescent="0.2">
      <c r="A12" s="14" t="s">
        <v>95</v>
      </c>
      <c r="B12" s="14" t="s">
        <v>98</v>
      </c>
      <c r="C12" s="14" t="s">
        <v>99</v>
      </c>
      <c r="D12" s="14"/>
      <c r="E12" s="14"/>
      <c r="F12" s="14"/>
    </row>
    <row r="13" spans="1:6" ht="20.100000000000001" customHeight="1" x14ac:dyDescent="0.2">
      <c r="A13" s="14" t="s">
        <v>95</v>
      </c>
      <c r="B13" s="14" t="s">
        <v>100</v>
      </c>
      <c r="C13" s="14" t="s">
        <v>101</v>
      </c>
      <c r="D13" s="14"/>
      <c r="E13" s="14"/>
      <c r="F13" s="14"/>
    </row>
    <row r="14" spans="1:6" ht="20.100000000000001" customHeight="1" x14ac:dyDescent="0.2">
      <c r="A14" s="14"/>
      <c r="B14" s="14"/>
      <c r="C14" s="14"/>
      <c r="D14" s="14"/>
      <c r="E14" s="14"/>
      <c r="F14" s="14"/>
    </row>
    <row r="15" spans="1:6" ht="20.100000000000001" customHeight="1" x14ac:dyDescent="0.2">
      <c r="A15" s="94" t="s">
        <v>102</v>
      </c>
      <c r="B15" s="78"/>
      <c r="C15" s="78"/>
      <c r="D15" s="78"/>
      <c r="E15" s="78"/>
      <c r="F15" s="78"/>
    </row>
    <row r="16" spans="1:6" ht="20.100000000000001" customHeight="1" x14ac:dyDescent="0.2">
      <c r="A16" s="14" t="s">
        <v>95</v>
      </c>
      <c r="B16" s="14" t="s">
        <v>103</v>
      </c>
      <c r="C16" s="14" t="s">
        <v>104</v>
      </c>
      <c r="D16" s="14"/>
      <c r="E16" s="14"/>
      <c r="F16" s="14"/>
    </row>
    <row r="17" spans="1:6" ht="20.100000000000001" customHeight="1" x14ac:dyDescent="0.2">
      <c r="A17" s="14" t="s">
        <v>95</v>
      </c>
      <c r="B17" s="14" t="s">
        <v>105</v>
      </c>
      <c r="C17" s="14" t="s">
        <v>106</v>
      </c>
      <c r="D17" s="14"/>
      <c r="E17" s="14"/>
      <c r="F17" s="14"/>
    </row>
    <row r="18" spans="1:6" ht="20.100000000000001" customHeight="1" x14ac:dyDescent="0.2">
      <c r="A18" s="14" t="s">
        <v>95</v>
      </c>
      <c r="B18" s="14" t="s">
        <v>107</v>
      </c>
      <c r="C18" s="14" t="s">
        <v>108</v>
      </c>
      <c r="D18" s="14"/>
      <c r="E18" s="14"/>
      <c r="F18" s="14"/>
    </row>
    <row r="19" spans="1:6" ht="20.100000000000001" customHeight="1" x14ac:dyDescent="0.2">
      <c r="A19" s="14"/>
      <c r="B19" s="14"/>
      <c r="C19" s="14"/>
      <c r="D19" s="14"/>
      <c r="E19" s="14"/>
      <c r="F19" s="14"/>
    </row>
    <row r="20" spans="1:6" ht="20.100000000000001" customHeight="1" x14ac:dyDescent="0.2">
      <c r="A20" s="94" t="s">
        <v>109</v>
      </c>
      <c r="B20" s="78"/>
      <c r="C20" s="78"/>
      <c r="D20" s="78"/>
      <c r="E20" s="78"/>
      <c r="F20" s="78"/>
    </row>
    <row r="21" spans="1:6" ht="20.100000000000001" customHeight="1" x14ac:dyDescent="0.2">
      <c r="A21" s="14" t="s">
        <v>95</v>
      </c>
      <c r="B21" s="14" t="s">
        <v>110</v>
      </c>
      <c r="C21" s="14" t="s">
        <v>111</v>
      </c>
      <c r="D21" s="14"/>
      <c r="E21" s="14"/>
      <c r="F21" s="14"/>
    </row>
    <row r="22" spans="1:6" ht="20.100000000000001" customHeight="1" x14ac:dyDescent="0.2">
      <c r="A22" s="14" t="s">
        <v>95</v>
      </c>
      <c r="B22" s="14" t="s">
        <v>112</v>
      </c>
      <c r="C22" s="14" t="s">
        <v>113</v>
      </c>
      <c r="D22" s="14"/>
      <c r="E22" s="14"/>
      <c r="F22" s="14"/>
    </row>
    <row r="23" spans="1:6" ht="20.100000000000001" customHeight="1" x14ac:dyDescent="0.2">
      <c r="A23" s="14" t="s">
        <v>95</v>
      </c>
      <c r="B23" s="14" t="s">
        <v>114</v>
      </c>
      <c r="C23" s="14" t="s">
        <v>115</v>
      </c>
      <c r="D23" s="14"/>
      <c r="E23" s="14"/>
      <c r="F23" s="14"/>
    </row>
    <row r="24" spans="1:6" ht="20.100000000000001" customHeight="1" x14ac:dyDescent="0.2">
      <c r="A24" s="14" t="s">
        <v>95</v>
      </c>
      <c r="B24" s="14" t="s">
        <v>116</v>
      </c>
      <c r="C24" s="14" t="s">
        <v>117</v>
      </c>
      <c r="D24" s="14"/>
      <c r="E24" s="14"/>
      <c r="F24" s="14"/>
    </row>
    <row r="25" spans="1:6" ht="20.100000000000001" customHeight="1" x14ac:dyDescent="0.2">
      <c r="A25" s="14" t="s">
        <v>95</v>
      </c>
      <c r="B25" s="14" t="s">
        <v>118</v>
      </c>
      <c r="C25" s="14" t="s">
        <v>119</v>
      </c>
      <c r="D25" s="14"/>
      <c r="E25" s="14"/>
      <c r="F25" s="14"/>
    </row>
    <row r="26" spans="1:6" ht="20.100000000000001" customHeight="1" x14ac:dyDescent="0.2">
      <c r="A26" s="14" t="s">
        <v>120</v>
      </c>
      <c r="B26" s="14" t="s">
        <v>121</v>
      </c>
      <c r="C26" s="14" t="s">
        <v>122</v>
      </c>
      <c r="D26" s="14"/>
      <c r="E26" s="14"/>
      <c r="F26" s="14"/>
    </row>
    <row r="27" spans="1:6" ht="20.100000000000001" customHeight="1" x14ac:dyDescent="0.2">
      <c r="A27" s="14" t="s">
        <v>120</v>
      </c>
      <c r="B27" s="14" t="s">
        <v>123</v>
      </c>
      <c r="C27" s="14" t="s">
        <v>124</v>
      </c>
      <c r="D27" s="14"/>
      <c r="E27" s="14"/>
      <c r="F27" s="14"/>
    </row>
    <row r="28" spans="1:6" ht="20.100000000000001" customHeight="1" x14ac:dyDescent="0.2">
      <c r="A28" s="14"/>
      <c r="B28" s="14"/>
      <c r="C28" s="14"/>
      <c r="D28" s="14"/>
      <c r="E28" s="14"/>
      <c r="F28" s="14"/>
    </row>
    <row r="29" spans="1:6" ht="20.100000000000001" customHeight="1" x14ac:dyDescent="0.2">
      <c r="A29" s="14"/>
      <c r="B29" s="14"/>
      <c r="C29" s="14"/>
      <c r="D29" s="14"/>
      <c r="E29" s="14"/>
      <c r="F29" s="14"/>
    </row>
    <row r="30" spans="1:6" ht="20.100000000000001" customHeight="1" x14ac:dyDescent="0.2">
      <c r="A30" s="14"/>
      <c r="B30" s="14"/>
      <c r="C30" s="14"/>
      <c r="D30" s="14"/>
      <c r="E30" s="14"/>
      <c r="F30" s="14"/>
    </row>
  </sheetData>
  <mergeCells count="6">
    <mergeCell ref="A10:F10"/>
    <mergeCell ref="A1:F1"/>
    <mergeCell ref="A9:F9"/>
    <mergeCell ref="A3:F3"/>
    <mergeCell ref="A20:F20"/>
    <mergeCell ref="A15:F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3"/>
  <sheetViews>
    <sheetView showGridLines="0" workbookViewId="0"/>
  </sheetViews>
  <sheetFormatPr defaultRowHeight="15" x14ac:dyDescent="0.2"/>
  <cols>
    <col min="1" max="1" width="18.0234375" style="53" customWidth="1"/>
    <col min="2" max="2" width="9.953125" style="53" customWidth="1"/>
    <col min="3" max="3" width="41.96875" style="53" customWidth="1"/>
    <col min="4" max="4" width="37.93359375" style="53" customWidth="1"/>
    <col min="5" max="5" width="39.953125" style="53" customWidth="1"/>
    <col min="6" max="6" width="4.03515625" style="53" customWidth="1"/>
  </cols>
  <sheetData>
    <row r="1" spans="1:6" ht="20.100000000000001" customHeight="1" x14ac:dyDescent="0.2">
      <c r="A1" s="98" t="s">
        <v>125</v>
      </c>
      <c r="B1" s="78"/>
      <c r="C1" s="78"/>
      <c r="D1" s="78"/>
      <c r="E1" s="78"/>
      <c r="F1" s="78"/>
    </row>
    <row r="2" spans="1:6" ht="20.100000000000001" customHeight="1" x14ac:dyDescent="0.2">
      <c r="A2" s="103" t="s">
        <v>126</v>
      </c>
      <c r="B2" s="78"/>
      <c r="C2" s="78"/>
      <c r="D2" s="78"/>
      <c r="E2" s="78"/>
      <c r="F2" s="78"/>
    </row>
    <row r="3" spans="1:6" ht="20.100000000000001" customHeight="1" x14ac:dyDescent="0.2">
      <c r="A3" s="36"/>
      <c r="B3" s="36"/>
      <c r="C3" s="36"/>
      <c r="D3" s="36"/>
      <c r="E3" s="36"/>
      <c r="F3" s="36"/>
    </row>
    <row r="4" spans="1:6" ht="20.100000000000001" customHeight="1" x14ac:dyDescent="0.2">
      <c r="A4" s="101" t="s">
        <v>127</v>
      </c>
      <c r="B4" s="78"/>
      <c r="C4" s="78"/>
      <c r="D4" s="78"/>
      <c r="E4" s="78"/>
      <c r="F4" s="78"/>
    </row>
    <row r="5" spans="1:6" ht="20.100000000000001" customHeight="1" x14ac:dyDescent="0.2">
      <c r="A5" s="102" t="s">
        <v>128</v>
      </c>
      <c r="B5" s="78"/>
      <c r="C5" s="78"/>
      <c r="D5" s="18" t="s">
        <v>129</v>
      </c>
      <c r="E5" s="13"/>
      <c r="F5" s="13"/>
    </row>
    <row r="6" spans="1:6" ht="20.100000000000001" customHeight="1" x14ac:dyDescent="0.2">
      <c r="A6" s="19" t="s">
        <v>130</v>
      </c>
      <c r="B6" s="19" t="s">
        <v>15</v>
      </c>
      <c r="C6" s="19" t="s">
        <v>131</v>
      </c>
      <c r="D6" s="13" t="s">
        <v>132</v>
      </c>
      <c r="E6" s="13"/>
      <c r="F6" s="13"/>
    </row>
    <row r="7" spans="1:6" ht="20.100000000000001" customHeight="1" x14ac:dyDescent="0.2">
      <c r="A7" s="20" t="s">
        <v>130</v>
      </c>
      <c r="B7" s="21" t="s">
        <v>18</v>
      </c>
      <c r="C7" s="20" t="s">
        <v>133</v>
      </c>
      <c r="D7" s="13" t="s">
        <v>134</v>
      </c>
      <c r="E7" s="13"/>
      <c r="F7" s="13"/>
    </row>
    <row r="8" spans="1:6" ht="20.100000000000001" customHeight="1" x14ac:dyDescent="0.2">
      <c r="A8" s="20" t="s">
        <v>130</v>
      </c>
      <c r="B8" s="21" t="s">
        <v>24</v>
      </c>
      <c r="C8" s="20" t="s">
        <v>135</v>
      </c>
      <c r="D8" s="13" t="s">
        <v>136</v>
      </c>
      <c r="E8" s="13"/>
      <c r="F8" s="13"/>
    </row>
    <row r="9" spans="1:6" ht="20.100000000000001" customHeight="1" x14ac:dyDescent="0.2">
      <c r="A9" s="20" t="s">
        <v>130</v>
      </c>
      <c r="B9" s="21" t="s">
        <v>21</v>
      </c>
      <c r="C9" s="20" t="s">
        <v>137</v>
      </c>
      <c r="D9" s="13" t="s">
        <v>138</v>
      </c>
      <c r="E9" s="13"/>
      <c r="F9" s="13"/>
    </row>
    <row r="10" spans="1:6" ht="20.100000000000001" customHeight="1" x14ac:dyDescent="0.2">
      <c r="A10" s="20" t="s">
        <v>130</v>
      </c>
      <c r="B10" s="21" t="s">
        <v>28</v>
      </c>
      <c r="C10" s="20" t="s">
        <v>139</v>
      </c>
      <c r="D10" s="13" t="s">
        <v>140</v>
      </c>
      <c r="E10" s="13"/>
      <c r="F10" s="13"/>
    </row>
    <row r="11" spans="1:6" ht="20.100000000000001" customHeight="1" x14ac:dyDescent="0.2">
      <c r="A11" s="20" t="s">
        <v>130</v>
      </c>
      <c r="B11" s="21" t="s">
        <v>31</v>
      </c>
      <c r="C11" s="20" t="s">
        <v>141</v>
      </c>
      <c r="D11" s="13" t="s">
        <v>136</v>
      </c>
      <c r="E11" s="13"/>
      <c r="F11" s="13"/>
    </row>
    <row r="12" spans="1:6" ht="20.100000000000001" customHeight="1" x14ac:dyDescent="0.2">
      <c r="A12" s="20"/>
      <c r="B12" s="21"/>
      <c r="C12" s="20"/>
      <c r="D12" s="13"/>
      <c r="E12" s="13"/>
      <c r="F12" s="13"/>
    </row>
    <row r="13" spans="1:6" ht="20.100000000000001" customHeight="1" x14ac:dyDescent="0.2">
      <c r="A13" s="13"/>
      <c r="B13" s="13"/>
      <c r="C13" s="13"/>
      <c r="D13" s="13"/>
      <c r="E13" s="13"/>
      <c r="F13" s="13"/>
    </row>
    <row r="14" spans="1:6" ht="20.100000000000001" customHeight="1" x14ac:dyDescent="0.2">
      <c r="A14" s="101" t="s">
        <v>142</v>
      </c>
      <c r="B14" s="78"/>
      <c r="C14" s="78"/>
      <c r="D14" s="78"/>
      <c r="E14" s="78"/>
      <c r="F14" s="78"/>
    </row>
    <row r="15" spans="1:6" ht="20.100000000000001" customHeight="1" x14ac:dyDescent="0.2">
      <c r="A15" s="102" t="s">
        <v>128</v>
      </c>
      <c r="B15" s="78"/>
      <c r="C15" s="78"/>
      <c r="D15" s="18" t="s">
        <v>143</v>
      </c>
      <c r="E15" s="13"/>
      <c r="F15" s="13"/>
    </row>
    <row r="16" spans="1:6" ht="20.100000000000001" customHeight="1" x14ac:dyDescent="0.2">
      <c r="A16" s="19" t="s">
        <v>144</v>
      </c>
      <c r="B16" s="19" t="s">
        <v>145</v>
      </c>
      <c r="C16" s="19" t="s">
        <v>146</v>
      </c>
      <c r="D16" s="13" t="s">
        <v>147</v>
      </c>
      <c r="E16" s="13"/>
      <c r="F16" s="13"/>
    </row>
    <row r="17" spans="1:6" ht="20.100000000000001" customHeight="1" x14ac:dyDescent="0.2">
      <c r="A17" s="20" t="s">
        <v>144</v>
      </c>
      <c r="B17" s="21" t="s">
        <v>148</v>
      </c>
      <c r="C17" s="20" t="s">
        <v>149</v>
      </c>
      <c r="D17" s="13" t="s">
        <v>150</v>
      </c>
      <c r="E17" s="13"/>
      <c r="F17" s="13"/>
    </row>
    <row r="18" spans="1:6" ht="20.100000000000001" customHeight="1" x14ac:dyDescent="0.2">
      <c r="A18" s="20" t="s">
        <v>144</v>
      </c>
      <c r="B18" s="21" t="s">
        <v>151</v>
      </c>
      <c r="C18" s="20" t="s">
        <v>152</v>
      </c>
      <c r="D18" s="13" t="s">
        <v>153</v>
      </c>
      <c r="E18" s="13"/>
      <c r="F18" s="13"/>
    </row>
    <row r="19" spans="1:6" ht="20.100000000000001" customHeight="1" x14ac:dyDescent="0.2">
      <c r="A19" s="20"/>
      <c r="B19" s="21"/>
      <c r="C19" s="20"/>
      <c r="D19" s="13"/>
      <c r="E19" s="13"/>
      <c r="F19" s="13"/>
    </row>
    <row r="20" spans="1:6" ht="20.100000000000001" customHeight="1" x14ac:dyDescent="0.2">
      <c r="A20" s="13"/>
      <c r="B20" s="13"/>
      <c r="C20" s="13"/>
      <c r="D20" s="13"/>
      <c r="E20" s="13"/>
      <c r="F20" s="13"/>
    </row>
    <row r="21" spans="1:6" ht="20.100000000000001" customHeight="1" x14ac:dyDescent="0.2">
      <c r="A21" s="13"/>
      <c r="B21" s="13"/>
      <c r="C21" s="13"/>
      <c r="D21" s="13"/>
      <c r="E21" s="13"/>
      <c r="F21" s="13"/>
    </row>
    <row r="22" spans="1:6" ht="20.100000000000001" customHeight="1" x14ac:dyDescent="0.2">
      <c r="A22" s="104" t="s">
        <v>154</v>
      </c>
      <c r="B22" s="78"/>
      <c r="C22" s="78"/>
      <c r="D22" s="78"/>
      <c r="E22" s="36"/>
      <c r="F22" s="36"/>
    </row>
    <row r="23" spans="1:6" ht="20.100000000000001" customHeight="1" x14ac:dyDescent="0.2">
      <c r="A23" s="16" t="s">
        <v>155</v>
      </c>
      <c r="B23" s="16" t="s">
        <v>4</v>
      </c>
      <c r="C23" s="16" t="s">
        <v>156</v>
      </c>
      <c r="D23" s="17" t="s">
        <v>157</v>
      </c>
      <c r="E23" s="18" t="s">
        <v>129</v>
      </c>
      <c r="F23" s="13"/>
    </row>
    <row r="24" spans="1:6" ht="20.100000000000001" customHeight="1" x14ac:dyDescent="0.2">
      <c r="A24" s="20" t="s">
        <v>158</v>
      </c>
      <c r="B24" s="21" t="s">
        <v>34</v>
      </c>
      <c r="C24" s="20" t="s">
        <v>159</v>
      </c>
      <c r="D24" s="22" t="s">
        <v>160</v>
      </c>
      <c r="E24" s="13" t="s">
        <v>161</v>
      </c>
      <c r="F24" s="13"/>
    </row>
    <row r="25" spans="1:6" ht="20.100000000000001" customHeight="1" x14ac:dyDescent="0.2">
      <c r="A25" s="20" t="s">
        <v>158</v>
      </c>
      <c r="B25" s="21" t="s">
        <v>35</v>
      </c>
      <c r="C25" s="20" t="s">
        <v>162</v>
      </c>
      <c r="D25" s="22" t="s">
        <v>160</v>
      </c>
      <c r="E25" s="13" t="s">
        <v>163</v>
      </c>
      <c r="F25" s="13"/>
    </row>
    <row r="26" spans="1:6" ht="20.100000000000001" customHeight="1" x14ac:dyDescent="0.2">
      <c r="A26" s="20" t="s">
        <v>158</v>
      </c>
      <c r="B26" s="21" t="s">
        <v>36</v>
      </c>
      <c r="C26" s="20" t="s">
        <v>164</v>
      </c>
      <c r="D26" s="22" t="s">
        <v>160</v>
      </c>
      <c r="E26" s="13" t="s">
        <v>165</v>
      </c>
      <c r="F26" s="13"/>
    </row>
    <row r="27" spans="1:6" ht="20.100000000000001" customHeight="1" x14ac:dyDescent="0.2">
      <c r="A27" s="20" t="s">
        <v>158</v>
      </c>
      <c r="B27" s="21" t="s">
        <v>37</v>
      </c>
      <c r="C27" s="20" t="s">
        <v>166</v>
      </c>
      <c r="D27" s="22" t="s">
        <v>167</v>
      </c>
      <c r="E27" s="13" t="s">
        <v>168</v>
      </c>
      <c r="F27" s="13"/>
    </row>
    <row r="28" spans="1:6" ht="20.100000000000001" customHeight="1" x14ac:dyDescent="0.2">
      <c r="A28" s="13"/>
      <c r="B28" s="13"/>
      <c r="C28" s="13"/>
      <c r="D28" s="13"/>
      <c r="E28" s="13"/>
      <c r="F28" s="13"/>
    </row>
    <row r="29" spans="1:6" ht="20.100000000000001" customHeight="1" x14ac:dyDescent="0.2">
      <c r="A29" s="99"/>
      <c r="B29" s="78"/>
      <c r="C29" s="78"/>
      <c r="D29" s="78"/>
      <c r="E29" s="13"/>
      <c r="F29" s="13"/>
    </row>
    <row r="30" spans="1:6" ht="20.100000000000001" customHeight="1" x14ac:dyDescent="0.2">
      <c r="A30" s="100"/>
      <c r="B30" s="78"/>
      <c r="C30" s="78"/>
      <c r="D30" s="13"/>
      <c r="E30" s="13"/>
      <c r="F30" s="13"/>
    </row>
    <row r="31" spans="1:6" ht="49.5" customHeight="1" x14ac:dyDescent="0.2">
      <c r="B31" s="1"/>
    </row>
    <row r="32" spans="1:6" ht="123" customHeight="1" x14ac:dyDescent="0.2">
      <c r="B32" s="1"/>
    </row>
    <row r="33" spans="2:2" ht="135" customHeight="1" x14ac:dyDescent="0.2">
      <c r="B33" s="1"/>
    </row>
  </sheetData>
  <mergeCells count="9">
    <mergeCell ref="A1:F1"/>
    <mergeCell ref="A29:D29"/>
    <mergeCell ref="A30:C30"/>
    <mergeCell ref="A4:F4"/>
    <mergeCell ref="A15:C15"/>
    <mergeCell ref="A2:F2"/>
    <mergeCell ref="A5:C5"/>
    <mergeCell ref="A14:F14"/>
    <mergeCell ref="A22:D2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4</vt:i4>
      </vt:variant>
    </vt:vector>
  </HeadingPairs>
  <TitlesOfParts>
    <vt:vector size="4" baseType="lpstr">
      <vt:lpstr>Wash Sale Tracker</vt:lpstr>
      <vt:lpstr>Wash Basis Adjustments</vt:lpstr>
      <vt:lpstr>Setup &amp; Notes</vt:lpstr>
      <vt:lpstr>Reference 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2026-03-28T02:02:38Z</dcterms:created>
  <dcterms:modified xsi:type="dcterms:W3CDTF">2026-03-28T17:54:09Z</dcterms:modified>
</cp:coreProperties>
</file>